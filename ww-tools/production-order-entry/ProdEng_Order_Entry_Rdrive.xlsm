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urdon-jos\Desktop\Shortcuts\Temp\"/>
    </mc:Choice>
  </mc:AlternateContent>
  <xr:revisionPtr revIDLastSave="0" documentId="13_ncr:1_{4232C5F2-D7C7-4241-941F-ED184BF3288A}" xr6:coauthVersionLast="47" xr6:coauthVersionMax="47" xr10:uidLastSave="{00000000-0000-0000-0000-000000000000}"/>
  <bookViews>
    <workbookView xWindow="-120" yWindow="-120" windowWidth="29040" windowHeight="17520" tabRatio="732" activeTab="2" xr2:uid="{00000000-000D-0000-FFFF-FFFF00000000}"/>
  </bookViews>
  <sheets>
    <sheet name="New_Order" sheetId="1" r:id="rId1"/>
    <sheet name="QuerySheet" sheetId="6" r:id="rId2"/>
    <sheet name="Emails" sheetId="2" r:id="rId3"/>
    <sheet name="Open_Equip" sheetId="3" r:id="rId4"/>
    <sheet name="Open_Parts" sheetId="4" r:id="rId5"/>
    <sheet name="Check" sheetId="5" r:id="rId6"/>
    <sheet name="WW_Personnel_Info" sheetId="10" r:id="rId7"/>
  </sheets>
  <functionGroups builtInGroupCount="19"/>
  <definedNames>
    <definedName name="_xlnm._FilterDatabase" localSheetId="6" hidden="1">WW_Personnel_Info!#REF!</definedName>
    <definedName name="header">WW_Personnel_Info!#REF!</definedName>
    <definedName name="ME_Names">WW_Personnel_Info!#REF!</definedName>
    <definedName name="PC_Initials">INDEX(#REF!,0,MATCH(header,WW_TEST,0))</definedName>
    <definedName name="PC_Names">#REF!</definedName>
    <definedName name="WW_TES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5" i="1" l="1"/>
  <c r="M13" i="1"/>
  <c r="F7" i="2" l="1"/>
  <c r="H7" i="2"/>
  <c r="G7" i="2"/>
  <c r="E7" i="2"/>
  <c r="G8" i="2" l="1"/>
  <c r="H8" i="2" l="1"/>
  <c r="P19" i="1" l="1"/>
  <c r="P20" i="1"/>
  <c r="P21" i="1"/>
  <c r="P22" i="1"/>
  <c r="P23" i="1"/>
  <c r="P24" i="1"/>
  <c r="D25" i="1" l="1"/>
  <c r="F56" i="5"/>
  <c r="E56" i="5"/>
  <c r="F55" i="5"/>
  <c r="E55" i="5"/>
  <c r="F54" i="5"/>
  <c r="E54" i="5"/>
  <c r="F53" i="5"/>
  <c r="E53" i="5"/>
  <c r="F52" i="5"/>
  <c r="E52" i="5"/>
  <c r="F51" i="5"/>
  <c r="E51" i="5"/>
  <c r="F50" i="5"/>
  <c r="E50" i="5"/>
  <c r="F49" i="5"/>
  <c r="E49" i="5"/>
  <c r="F48" i="5"/>
  <c r="E48" i="5"/>
  <c r="F47" i="5"/>
  <c r="E47" i="5"/>
  <c r="F46" i="5"/>
  <c r="E46" i="5"/>
  <c r="F45" i="5"/>
  <c r="E45" i="5"/>
  <c r="F44" i="5"/>
  <c r="E44" i="5"/>
  <c r="F43" i="5"/>
  <c r="E43" i="5"/>
  <c r="F42" i="5"/>
  <c r="E42" i="5"/>
  <c r="F41" i="5"/>
  <c r="E41" i="5"/>
  <c r="F40" i="5"/>
  <c r="E40" i="5"/>
  <c r="F39" i="5"/>
  <c r="E39" i="5"/>
  <c r="F38" i="5"/>
  <c r="E38" i="5"/>
  <c r="F37" i="5"/>
  <c r="E37" i="5"/>
  <c r="F36" i="5"/>
  <c r="E36" i="5"/>
  <c r="F35" i="5"/>
  <c r="E35" i="5"/>
  <c r="F34" i="5"/>
  <c r="E34" i="5"/>
  <c r="F33" i="5"/>
  <c r="E33" i="5"/>
  <c r="F32" i="5"/>
  <c r="E32" i="5"/>
  <c r="F31" i="5"/>
  <c r="E31" i="5"/>
  <c r="F30" i="5"/>
  <c r="E30" i="5"/>
  <c r="F29" i="5"/>
  <c r="E29" i="5"/>
  <c r="F28" i="5"/>
  <c r="E28" i="5"/>
  <c r="F27" i="5"/>
  <c r="E27" i="5"/>
  <c r="F26" i="5"/>
  <c r="E26" i="5"/>
  <c r="F25" i="5"/>
  <c r="E25" i="5"/>
  <c r="F24" i="5"/>
  <c r="E24" i="5"/>
  <c r="F23" i="5"/>
  <c r="E23" i="5"/>
  <c r="F22" i="5"/>
  <c r="E22" i="5"/>
  <c r="F21" i="5"/>
  <c r="E21" i="5"/>
  <c r="F20" i="5"/>
  <c r="E20" i="5"/>
  <c r="F19" i="5"/>
  <c r="E19" i="5"/>
  <c r="F18" i="5"/>
  <c r="E18" i="5"/>
  <c r="F17" i="5"/>
  <c r="E17" i="5"/>
  <c r="F16" i="5"/>
  <c r="E16" i="5"/>
  <c r="F15" i="5"/>
  <c r="E15" i="5"/>
  <c r="F14" i="5"/>
  <c r="E14" i="5"/>
  <c r="F13" i="5"/>
  <c r="E13" i="5"/>
  <c r="F12" i="5"/>
  <c r="E12" i="5"/>
  <c r="F11" i="5"/>
  <c r="E11" i="5"/>
  <c r="F10" i="5"/>
  <c r="E10" i="5"/>
  <c r="F9" i="5"/>
  <c r="E9" i="5"/>
  <c r="F8" i="5"/>
  <c r="E8" i="5"/>
  <c r="F7" i="5"/>
  <c r="E7" i="5"/>
  <c r="F6" i="5"/>
  <c r="E6" i="5"/>
  <c r="F5" i="5"/>
  <c r="E5" i="5"/>
  <c r="F4" i="5"/>
  <c r="E4" i="5"/>
  <c r="F3" i="5"/>
  <c r="E3" i="5"/>
  <c r="E268" i="5"/>
  <c r="E267" i="5"/>
  <c r="E266" i="5"/>
  <c r="E265" i="5"/>
  <c r="E264" i="5"/>
  <c r="E263" i="5"/>
  <c r="E262" i="5"/>
  <c r="E261" i="5"/>
  <c r="E260" i="5"/>
  <c r="E259" i="5"/>
  <c r="E258" i="5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</calcChain>
</file>

<file path=xl/sharedStrings.xml><?xml version="1.0" encoding="utf-8"?>
<sst xmlns="http://schemas.openxmlformats.org/spreadsheetml/2006/main" count="33584" uniqueCount="4366">
  <si>
    <t>Order</t>
  </si>
  <si>
    <t>Network</t>
  </si>
  <si>
    <t>Into Eng</t>
  </si>
  <si>
    <t>Approvals</t>
  </si>
  <si>
    <t>Release</t>
  </si>
  <si>
    <t>Prod Date</t>
  </si>
  <si>
    <t>Ship Date</t>
  </si>
  <si>
    <t>File Number</t>
  </si>
  <si>
    <t>Customer PO</t>
  </si>
  <si>
    <t>Scheduler</t>
  </si>
  <si>
    <t>Customer Name</t>
  </si>
  <si>
    <t>Description</t>
  </si>
  <si>
    <t>A/C/E/M</t>
  </si>
  <si>
    <t>Doc Types</t>
  </si>
  <si>
    <t>Industry</t>
  </si>
  <si>
    <t>Active Year</t>
  </si>
  <si>
    <t>A/C/E</t>
  </si>
  <si>
    <t/>
  </si>
  <si>
    <t>A/C/M</t>
  </si>
  <si>
    <t>PC Intials</t>
  </si>
  <si>
    <t>PC Estimate</t>
  </si>
  <si>
    <t>Programming</t>
  </si>
  <si>
    <t>C/E/M</t>
  </si>
  <si>
    <t>C/E</t>
  </si>
  <si>
    <t>ME Intials</t>
  </si>
  <si>
    <t>ME Estimate</t>
  </si>
  <si>
    <t>PM Estimate</t>
  </si>
  <si>
    <t>C/M</t>
  </si>
  <si>
    <t>E</t>
  </si>
  <si>
    <t>Region/AE</t>
  </si>
  <si>
    <t>Price</t>
  </si>
  <si>
    <t>Admin</t>
  </si>
  <si>
    <t>M</t>
  </si>
  <si>
    <t>PMC Level</t>
  </si>
  <si>
    <t>Multi-Plant</t>
  </si>
  <si>
    <t>P.C.</t>
  </si>
  <si>
    <t>M.E.</t>
  </si>
  <si>
    <t>Into Prod Eng</t>
  </si>
  <si>
    <t>PC Initials</t>
  </si>
  <si>
    <t>ME Initials</t>
  </si>
  <si>
    <t>PC Status</t>
  </si>
  <si>
    <t>ME Status</t>
  </si>
  <si>
    <t>Out</t>
  </si>
  <si>
    <t>Apps Out</t>
  </si>
  <si>
    <t>LATE CODES</t>
  </si>
  <si>
    <t>Customer postponed delivery</t>
  </si>
  <si>
    <t>Error in Schedule Planning</t>
  </si>
  <si>
    <t>Missing Material</t>
  </si>
  <si>
    <t>Engineering Late</t>
  </si>
  <si>
    <t>Production short of works capacity</t>
  </si>
  <si>
    <t>Late delivery caused by customer</t>
  </si>
  <si>
    <t>Delivery time confirmed by sales too short</t>
  </si>
  <si>
    <t>New product development / R&amp;D changes</t>
  </si>
  <si>
    <t>Material delivered out of specification</t>
  </si>
  <si>
    <t>PAC1 Open Order Report</t>
  </si>
  <si>
    <t>Sales Doc.</t>
  </si>
  <si>
    <t xml:space="preserve">  Item</t>
  </si>
  <si>
    <t>Material</t>
  </si>
  <si>
    <t>Req.dlv.dt</t>
  </si>
  <si>
    <t>Deliv. date</t>
  </si>
  <si>
    <t>Sold-to party</t>
  </si>
  <si>
    <t>Name 1</t>
  </si>
  <si>
    <t>Order quantity</t>
  </si>
  <si>
    <t>SU</t>
  </si>
  <si>
    <t>BUn</t>
  </si>
  <si>
    <t xml:space="preserve">    Net value</t>
  </si>
  <si>
    <t>Curr.</t>
  </si>
  <si>
    <t>OS</t>
  </si>
  <si>
    <t>Contact (techn.)</t>
  </si>
  <si>
    <t>PO date</t>
  </si>
  <si>
    <t>Created on</t>
  </si>
  <si>
    <t>Confirmed delivery date</t>
  </si>
  <si>
    <t>RD</t>
  </si>
  <si>
    <t>Route</t>
  </si>
  <si>
    <t>Plnt</t>
  </si>
  <si>
    <t>Created by</t>
  </si>
  <si>
    <t>Appl.</t>
  </si>
  <si>
    <t>Pricing dt</t>
  </si>
  <si>
    <t>PCE</t>
  </si>
  <si>
    <t>USD</t>
  </si>
  <si>
    <t>00/00/0000</t>
  </si>
  <si>
    <t>*</t>
  </si>
  <si>
    <t>V133974.B01</t>
  </si>
  <si>
    <t>A</t>
  </si>
  <si>
    <t>V065022.A01</t>
  </si>
  <si>
    <t>Engineering Planning (MTO)</t>
  </si>
  <si>
    <t>MECH,MID,FLEX,IND,GRAV,DDRV,AC</t>
  </si>
  <si>
    <t>V383639.B19</t>
  </si>
  <si>
    <t>V676686.B01</t>
  </si>
  <si>
    <t>EASYSERVE KIT, DVD, ETHERNET CABLES</t>
  </si>
  <si>
    <t>FREIGHT PREPAID</t>
  </si>
  <si>
    <t>MOTION INDUSTRIES</t>
  </si>
  <si>
    <t>NESTLE PURINA PETCARE</t>
  </si>
  <si>
    <t>**</t>
  </si>
  <si>
    <t>V533098.B01</t>
  </si>
  <si>
    <t>FREIGHT INCLUDED</t>
  </si>
  <si>
    <t>V383639.B21</t>
  </si>
  <si>
    <t>CERTIFIED DRAWINGS</t>
  </si>
  <si>
    <t>CHEVRON PHILLIPS CHEMICAL</t>
  </si>
  <si>
    <t>GREAT LAKES CHEESE</t>
  </si>
  <si>
    <t>CEMEX</t>
  </si>
  <si>
    <t>Apps Back</t>
  </si>
  <si>
    <t>MARS WRIGLEY CONFECTIONERY US LLC</t>
  </si>
  <si>
    <t>Act Rel</t>
  </si>
  <si>
    <t>ME</t>
  </si>
  <si>
    <t>E/M</t>
  </si>
  <si>
    <t>PC2</t>
  </si>
  <si>
    <t>ME2</t>
  </si>
  <si>
    <t>PM</t>
  </si>
  <si>
    <t>PE</t>
  </si>
  <si>
    <t>ME Pre-Rel</t>
  </si>
  <si>
    <t>PC Pre-Rel</t>
  </si>
  <si>
    <t>MultiPlant</t>
  </si>
  <si>
    <t>SHERWIN WILLIAMS</t>
  </si>
  <si>
    <t>Part Number</t>
  </si>
  <si>
    <t>Line #</t>
  </si>
  <si>
    <t xml:space="preserve"> </t>
  </si>
  <si>
    <t>V904423.B01</t>
  </si>
  <si>
    <t>V065022.B01</t>
  </si>
  <si>
    <t>B</t>
  </si>
  <si>
    <t>GEORGIA PACIFIC GYPSUM LLC</t>
  </si>
  <si>
    <t>ENTEGRIS INC</t>
  </si>
  <si>
    <t>FT</t>
  </si>
  <si>
    <t>WHITEWATER ENGINEERING LABOR</t>
  </si>
  <si>
    <t>V161914.B03</t>
  </si>
  <si>
    <t>HOPPER,89mm,WHITE VINYL</t>
  </si>
  <si>
    <t>T MARZETTI CO</t>
  </si>
  <si>
    <t>V161914.B01</t>
  </si>
  <si>
    <t>HOPPER,89mm,GRAY VINYL</t>
  </si>
  <si>
    <t>ST MARYS CEMENT</t>
  </si>
  <si>
    <t>V602825.B01</t>
  </si>
  <si>
    <t>HR</t>
  </si>
  <si>
    <t>V056358.B99</t>
  </si>
  <si>
    <t>HORIZ FEEDER MULTICELL 800/70 REPAIR</t>
  </si>
  <si>
    <t>MCCAIN INDUSTRIAL SERVICES</t>
  </si>
  <si>
    <t>AVIENT CORPORATION</t>
  </si>
  <si>
    <t>V138278.B99</t>
  </si>
  <si>
    <t>6000-200 CB SCALE, REPAIR</t>
  </si>
  <si>
    <t>GOLD BOND BUILDING PRODUCTS LLC</t>
  </si>
  <si>
    <t>FREIGHT PREPAID &amp; TO BILL</t>
  </si>
  <si>
    <t>CREDIT MEMO ($81,000.00)</t>
  </si>
  <si>
    <t>WARRANTY</t>
  </si>
  <si>
    <t>TO BE SPECIFIED</t>
  </si>
  <si>
    <t>CREDIT</t>
  </si>
  <si>
    <t>will be adding</t>
  </si>
  <si>
    <t>LINDE GMBH</t>
  </si>
  <si>
    <t>RM</t>
  </si>
  <si>
    <t>GEON PERFORMANCE SOLUTIONS LLC</t>
  </si>
  <si>
    <t>WW_ME_Initials</t>
  </si>
  <si>
    <t>WW_ME_Name</t>
  </si>
  <si>
    <t>WW_ME_Email</t>
  </si>
  <si>
    <t>WW_PC_Initials</t>
  </si>
  <si>
    <t>WW_PC_Name</t>
  </si>
  <si>
    <t>WW_PC_Email</t>
  </si>
  <si>
    <t>WW_ME_FirstName</t>
  </si>
  <si>
    <t>WW_PC_FirstName</t>
  </si>
  <si>
    <t>SIGNAL MOUNTAIN CEMENT CO</t>
  </si>
  <si>
    <t>BAKER PERKINS INC</t>
  </si>
  <si>
    <t>EASYSERVE KIT,USB,ETHERNET CABLES</t>
  </si>
  <si>
    <t>GRAY CONSTRUCTION INC</t>
  </si>
  <si>
    <t>AMERICAN EXTRUSION</t>
  </si>
  <si>
    <t>CHAMPION PETFOODS USA INC</t>
  </si>
  <si>
    <t>N/A</t>
  </si>
  <si>
    <t>V028801.B99</t>
  </si>
  <si>
    <t>TRANSMISSION ASSEMBLY S-40 REPAIR</t>
  </si>
  <si>
    <t>LEISTRITZ ADVANCED TECHNOLOGIES COR</t>
  </si>
  <si>
    <t>COVANTA TULSA RENEW ENERGY LLC</t>
  </si>
  <si>
    <t>DAVIS-STANDARD</t>
  </si>
  <si>
    <t>NESTLE PURINA PETCARE COMPANY</t>
  </si>
  <si>
    <t>SAINT GOBAIN CERAMIC MATERIALS</t>
  </si>
  <si>
    <t>COVANTA STANISLAUS INC</t>
  </si>
  <si>
    <t>W024655.B97</t>
  </si>
  <si>
    <t>BEARING ASSY - DEFECT</t>
  </si>
  <si>
    <t>LEPRINO FOODS COMPANY</t>
  </si>
  <si>
    <t>V470808.B99</t>
  </si>
  <si>
    <t>MECHA, LOW RANGE, REPAIR</t>
  </si>
  <si>
    <t>V473659.B99</t>
  </si>
  <si>
    <t>MID RANGE MECHATRON REPAIR</t>
  </si>
  <si>
    <t>V470808.B97</t>
  </si>
  <si>
    <t>MECHA, LOW RANGE, DEFECTIVE</t>
  </si>
  <si>
    <t>WW_PS_Initials</t>
  </si>
  <si>
    <t>WW_PS_Name</t>
  </si>
  <si>
    <t>WW_PS_FirstName</t>
  </si>
  <si>
    <t>MBS</t>
  </si>
  <si>
    <t>Mary Beth</t>
  </si>
  <si>
    <t>Betsy</t>
  </si>
  <si>
    <t>MPB</t>
  </si>
  <si>
    <t>Mike</t>
  </si>
  <si>
    <t>WW_PS_Email</t>
  </si>
  <si>
    <t>TITAN FLORIDA LLC</t>
  </si>
  <si>
    <t>CERTAINTEED GYPSUM WV INC</t>
  </si>
  <si>
    <t>HM CANADA LIMITED</t>
  </si>
  <si>
    <t>W103635.B99</t>
  </si>
  <si>
    <t>CMT MILL - REPAIR</t>
  </si>
  <si>
    <t>SWEET NEW ENGLAND COMPANY INC</t>
  </si>
  <si>
    <t>IMA NORTH AMERICA INC</t>
  </si>
  <si>
    <t>W002156.B01</t>
  </si>
  <si>
    <t>RA-980-C-RBLD-SN37203 JOURNAL ASSY-RBLD</t>
  </si>
  <si>
    <t>Pump Cylinder - REPAIR</t>
  </si>
  <si>
    <t>V383639.B17</t>
  </si>
  <si>
    <t>Processing Fee</t>
  </si>
  <si>
    <t>PISTON ASSY - REPAIR</t>
  </si>
  <si>
    <t>WARRANTY - CREDIT FOR BELT</t>
  </si>
  <si>
    <t>WARRANTY -CREDIT FOR REWORK</t>
  </si>
  <si>
    <t>V074656.B05</t>
  </si>
  <si>
    <t>PurgeSeal Assy filterelement AW Boh</t>
  </si>
  <si>
    <t>SOURCE ATLANTIC LIMIT</t>
  </si>
  <si>
    <t>V074656.B04</t>
  </si>
  <si>
    <t>PurgeSeal Assy condenser f AW BOH</t>
  </si>
  <si>
    <t>W140657.B01</t>
  </si>
  <si>
    <t>INTL FREIGHT INCLUDED</t>
  </si>
  <si>
    <t>ALPEK POLYESTER MISSISSIPPI INC</t>
  </si>
  <si>
    <t>W146451.B01</t>
  </si>
  <si>
    <t>SC-3018-XL-INSP-RBLD GEAR HOUSING REBILD</t>
  </si>
  <si>
    <t>INNOPHOS INC</t>
  </si>
  <si>
    <t>DAHMES STAINLESS INC</t>
  </si>
  <si>
    <t>W103635.B97</t>
  </si>
  <si>
    <t>WARRANTY - FREIGHT</t>
  </si>
  <si>
    <t>BS AMER TIRE OPS LLC</t>
  </si>
  <si>
    <t>TRITURADORA Y PROCESADORA</t>
  </si>
  <si>
    <t>SERVOFORM MINI -  REPAIR</t>
  </si>
  <si>
    <t>CONE ASSEMBLY - REPAIR</t>
  </si>
  <si>
    <t>V041511.B01</t>
  </si>
  <si>
    <t>Gearbox  P721SPR0050ME (B14,i5) ATEX2D/G</t>
  </si>
  <si>
    <t>AZEK BUILDING PRODUCTS INC</t>
  </si>
  <si>
    <t>AJAY NORTH AMERICA LLC</t>
  </si>
  <si>
    <t>Credit for 3 bad filters</t>
  </si>
  <si>
    <t>IDAHO MILK PRODUCTS</t>
  </si>
  <si>
    <t>Credit for wrong motor installed. ($630.</t>
  </si>
  <si>
    <t>V166641.B02</t>
  </si>
  <si>
    <t>HOPPER,600 SERIES,WHITE POLY,INDUSTRIAL</t>
  </si>
  <si>
    <t>ILC RESOURCES</t>
  </si>
  <si>
    <t>HELIX -  DEFECT</t>
  </si>
  <si>
    <t>Credit for wrong belt</t>
  </si>
  <si>
    <t>V473659.B97</t>
  </si>
  <si>
    <t>MID RANGE MECHATRON DEFECTIVE</t>
  </si>
  <si>
    <t>BLM</t>
  </si>
  <si>
    <t>ALPEK POLYESTER USA LLC</t>
  </si>
  <si>
    <t>POL-TEX</t>
  </si>
  <si>
    <t>CARGILL INCORPORATED</t>
  </si>
  <si>
    <t>V162707.B01</t>
  </si>
  <si>
    <t>SHAFT,T-DRIVE ASSEMBLY, 304SS</t>
  </si>
  <si>
    <t>GENERAL MILLS OPERATIONS LLC</t>
  </si>
  <si>
    <t>Credit for Return of Bin Vent ($4425.84)</t>
  </si>
  <si>
    <t>marybeth.schmidt@coperion.com</t>
  </si>
  <si>
    <t>mike.brown@coperion.com</t>
  </si>
  <si>
    <t>betsy.morgan@coperion.com</t>
  </si>
  <si>
    <t>SCHMIDT-MAR</t>
  </si>
  <si>
    <t>MOR-BET</t>
  </si>
  <si>
    <t>TIMBERTECH</t>
  </si>
  <si>
    <t>Credit for wrong part shipped to custome</t>
  </si>
  <si>
    <t>Credit for rework ($3,900.00)</t>
  </si>
  <si>
    <t>MINTEQ INTERNATIONAL INC</t>
  </si>
  <si>
    <t>YARA COLOMBIA</t>
  </si>
  <si>
    <t>Project cntrl grp correct FAT punch list</t>
  </si>
  <si>
    <t>BROWN-MIC</t>
  </si>
  <si>
    <t>HERSHEY COMPANY</t>
  </si>
  <si>
    <t>Qlar Europe GmbH</t>
  </si>
  <si>
    <t>BRASKEM AMERICA INC</t>
  </si>
  <si>
    <t>PPG INDUSTRIES</t>
  </si>
  <si>
    <t>QLAR (TIANJIN) INDUSTRIAL TECHNOLOG</t>
  </si>
  <si>
    <t>V168297.B01</t>
  </si>
  <si>
    <t>CLAMP,V-BAND,ASSEMBLY</t>
  </si>
  <si>
    <t>V172451.B01</t>
  </si>
  <si>
    <t>HOPPER,35mm,GRAY, Vinyl</t>
  </si>
  <si>
    <t>W053567.B01</t>
  </si>
  <si>
    <t>PISTON,SFM,12MM DIA,140MM LG,304</t>
  </si>
  <si>
    <t>WEIGH MODULE - DEFECT</t>
  </si>
  <si>
    <t>CARGILL INC</t>
  </si>
  <si>
    <t>KAR</t>
  </si>
  <si>
    <t>Katy</t>
  </si>
  <si>
    <t>JASPER PRODUCTS LLC</t>
  </si>
  <si>
    <t>FIRING INDUSTRIES LTD</t>
  </si>
  <si>
    <t>V163482.B01</t>
  </si>
  <si>
    <t>QUILL ASSEMBLY,89mm</t>
  </si>
  <si>
    <t>V162652.B02</t>
  </si>
  <si>
    <t>HOPPER,152mm,PVC,WHITE,FDA/EU1935</t>
  </si>
  <si>
    <t>V164651.B01</t>
  </si>
  <si>
    <t>BUSHING,POLYMER,20X23X21,FLANGED</t>
  </si>
  <si>
    <t>SOLINA USA</t>
  </si>
  <si>
    <t>REPAIR OF SFM - REPAIR</t>
  </si>
  <si>
    <t>REPAIR OFSUGAR SANDER - REPAIR</t>
  </si>
  <si>
    <t>DEMACO</t>
  </si>
  <si>
    <t>IDAHOAN FOODS</t>
  </si>
  <si>
    <t>V152658.B01</t>
  </si>
  <si>
    <t>HXMMA-2.252201001-007</t>
  </si>
  <si>
    <t xml:space="preserve">                                                                                                                                                   PAC1 Open Order Report</t>
  </si>
  <si>
    <t xml:space="preserve">     Net value</t>
  </si>
  <si>
    <t>V383898.B01</t>
  </si>
  <si>
    <t>LEVEL II ENGINEERING</t>
  </si>
  <si>
    <t>SHICK SOLUTIONS</t>
  </si>
  <si>
    <t>602M FEEDER, SINGLE DRIVE, METRIC</t>
  </si>
  <si>
    <t>MECH,LOW,FLEX,IND,GRAV,DDRV,AC</t>
  </si>
  <si>
    <t>V101905.A01</t>
  </si>
  <si>
    <t>FIELD SERVICE START UP</t>
  </si>
  <si>
    <t>EXXONMOBIL PROD SOLUTIONS CO US</t>
  </si>
  <si>
    <t>CEMEX S.A.B. DE C.V.</t>
  </si>
  <si>
    <t>V383639.B07</t>
  </si>
  <si>
    <t>MATERIAL CERTIFICATION</t>
  </si>
  <si>
    <t>LOW RATE VACUUM RECEIVER, 12LRV3</t>
  </si>
  <si>
    <t>W136281.B01</t>
  </si>
  <si>
    <t>DEMOLDER,11 ROW,55A 1/2 THK AGTR,115V</t>
  </si>
  <si>
    <t>W171314.B01</t>
  </si>
  <si>
    <t>K STATE OLATHE INNOVATION CAMPUS IN</t>
  </si>
  <si>
    <t>TESLA INC</t>
  </si>
  <si>
    <t>WW ENG 750</t>
  </si>
  <si>
    <t>V383639.B13</t>
  </si>
  <si>
    <t>MECH,MID,FLEX,SANI,GRAV,DDRV,AC</t>
  </si>
  <si>
    <t>INGREDION INCORPORATED</t>
  </si>
  <si>
    <t>V383639.B03</t>
  </si>
  <si>
    <t>Extended Warranty</t>
  </si>
  <si>
    <t>ECO MATERIAL TECHNOLOGIES LLC</t>
  </si>
  <si>
    <t>NATURASOL</t>
  </si>
  <si>
    <t>PEPSICO</t>
  </si>
  <si>
    <t>EXXONMOBIL OIL CORP</t>
  </si>
  <si>
    <t>EXXONMOBIL OIL CORP PETROCHEMICALS</t>
  </si>
  <si>
    <t>V087989.A01</t>
  </si>
  <si>
    <t>FACTORY ACCEPTENCE TEST (FAT)</t>
  </si>
  <si>
    <t>V131966.A01</t>
  </si>
  <si>
    <t>SYS 1.01 Hygienic Bag Dump Station With</t>
  </si>
  <si>
    <t>GLANBIA FOODS</t>
  </si>
  <si>
    <t>V131968.A01</t>
  </si>
  <si>
    <t>SYS 1.05 24CSER2 - Style III Filter</t>
  </si>
  <si>
    <t>V157259.A01</t>
  </si>
  <si>
    <t>WW ENGINEERING</t>
  </si>
  <si>
    <t>VANDERBILT CHEMICALS LLC</t>
  </si>
  <si>
    <t>W008460.A01</t>
  </si>
  <si>
    <t>WW ENG</t>
  </si>
  <si>
    <t>WILMINGTON TIMBERTECH</t>
  </si>
  <si>
    <t>W008479.A01</t>
  </si>
  <si>
    <t>SYS 5.01 Feeder #7 - WF - Wood Fiber (Un</t>
  </si>
  <si>
    <t>W008480.A01</t>
  </si>
  <si>
    <t>SYS 5.02 Feeder #7A - WF - Wood Fiber (U</t>
  </si>
  <si>
    <t>W008521.A01</t>
  </si>
  <si>
    <t>SYS 6.01 Feeder #3 Talc - Luzenac JetFil</t>
  </si>
  <si>
    <t>W008491.A01</t>
  </si>
  <si>
    <t>SYS 7.01 Feeder #1 RPoly - WPC Recycle (</t>
  </si>
  <si>
    <t>W008492.A01</t>
  </si>
  <si>
    <t>SYS 7.02 Feeder #2 Poly - HDPE Flake</t>
  </si>
  <si>
    <t>W008493.A01</t>
  </si>
  <si>
    <t>SYS 7.03 Feeder #4 - Spherix</t>
  </si>
  <si>
    <t>W008494.A01</t>
  </si>
  <si>
    <t>SYS 7.04 Feeder #5 - L38 - SA1427 Lube</t>
  </si>
  <si>
    <t>W008495.A01</t>
  </si>
  <si>
    <t>SYS 7.05 Feeder #6 Siloxane</t>
  </si>
  <si>
    <t>W008496.A01</t>
  </si>
  <si>
    <t>SYS 7.06 Feeder #8 - Regrind - WPC</t>
  </si>
  <si>
    <t>W008497.A01</t>
  </si>
  <si>
    <t>SYS 7.07 Feeder #6 R&amp;D Trial - Fine Powd</t>
  </si>
  <si>
    <t>W009108.B01</t>
  </si>
  <si>
    <t>CONNECTOR,BFM,24504,150MM DIA,SEEFLEX040</t>
  </si>
  <si>
    <t>POTTERS INDUSTRIES LLC</t>
  </si>
  <si>
    <t>PAY CONTRACTOR FOR FIELD SVC</t>
  </si>
  <si>
    <t>W014672.A01</t>
  </si>
  <si>
    <t>Cyclone, CT51</t>
  </si>
  <si>
    <t>W011807.A01</t>
  </si>
  <si>
    <t>W031111.A01</t>
  </si>
  <si>
    <t>SYS 6.09 Calcium Oxide 1 / High Range Co</t>
  </si>
  <si>
    <t>W031114.A01</t>
  </si>
  <si>
    <t>SYS 7.01 Weighing Start-Up Services</t>
  </si>
  <si>
    <t>W138855.B01</t>
  </si>
  <si>
    <t>MECH,HIGH,FLEX,IND,GRAV,DDRV,AC,EXPL</t>
  </si>
  <si>
    <t>MICHIGAN SUGAR CO</t>
  </si>
  <si>
    <t>W138856.B01</t>
  </si>
  <si>
    <t>MECH,MID,FLEX,IND,GRAV,DDRV,AC,EXPL</t>
  </si>
  <si>
    <t>V715249.B03</t>
  </si>
  <si>
    <t>CABLE,4-PAIR IND SHIELD W/DRAIN, 100' LG</t>
  </si>
  <si>
    <t>W156715.B01</t>
  </si>
  <si>
    <t>1100521391 MULTICOR S160 STANDARD PROTOT</t>
  </si>
  <si>
    <t>COPERION PROCESS SOLUTIONS LLC</t>
  </si>
  <si>
    <t>W156716.B01</t>
  </si>
  <si>
    <t>1100521391 MULTICOR S160 75T/H TRANSMISS</t>
  </si>
  <si>
    <t>V002301.T01</t>
  </si>
  <si>
    <t>Continuous Weighing &amp; Feeding</t>
  </si>
  <si>
    <t>SINOPEC ENGINEERING INCORPORATION</t>
  </si>
  <si>
    <t>W033799.A01</t>
  </si>
  <si>
    <t>V101928.A01</t>
  </si>
  <si>
    <t>FIELD SERVICE STARTUP (PROJECTS)</t>
  </si>
  <si>
    <t>UNITED STATES STEEL CORP.</t>
  </si>
  <si>
    <t>W034836.A01</t>
  </si>
  <si>
    <t>JOHNSON MATTHEY</t>
  </si>
  <si>
    <t>NATURES PATH FOODS USA</t>
  </si>
  <si>
    <t>W077819.B01</t>
  </si>
  <si>
    <t>CONTROL,FLEXICON RETROFIT</t>
  </si>
  <si>
    <t>SGL TECHNIC LLC</t>
  </si>
  <si>
    <t>ALFA LAVAL</t>
  </si>
  <si>
    <t>JM SMUCKER COMPANY</t>
  </si>
  <si>
    <t>EFFEM MEXICO INC</t>
  </si>
  <si>
    <t>VARIOLINE SPARE PARTS SERVICES</t>
  </si>
  <si>
    <t>CAMPBELL SOUP SUPPLY CO LLC</t>
  </si>
  <si>
    <t>V152980.B01</t>
  </si>
  <si>
    <t>HXMMA-3.002201001-007</t>
  </si>
  <si>
    <t>AIRDUSCO INC</t>
  </si>
  <si>
    <t>L&amp;L PRODUCTS</t>
  </si>
  <si>
    <t>V138618.B01</t>
  </si>
  <si>
    <t>HOPPER,600 SERIES,GRAY VINYL,KUMA</t>
  </si>
  <si>
    <t>LOAD CELL MODULE -  REPAIR</t>
  </si>
  <si>
    <t>PHARMAVITE LLC</t>
  </si>
  <si>
    <t>V383639.B15</t>
  </si>
  <si>
    <t xml:space="preserve"> DOCUMENTATION</t>
  </si>
  <si>
    <t>W093872.B01</t>
  </si>
  <si>
    <t>SERVOFORM MINI, SINGLE</t>
  </si>
  <si>
    <t>W116992.B01</t>
  </si>
  <si>
    <t>JELLYCOOK MINI,LIFT,480VAC</t>
  </si>
  <si>
    <t>NEOGRAF SOLUTIONS LLC</t>
  </si>
  <si>
    <t>UNITED STATES PIPE AND FOUNDRY</t>
  </si>
  <si>
    <t>V161949.B01</t>
  </si>
  <si>
    <t>SEAL,DOUBLE LIP 19X35, FDA, EU1935</t>
  </si>
  <si>
    <t>ASH GROVE CEMENT</t>
  </si>
  <si>
    <t>W037637.A01</t>
  </si>
  <si>
    <t>SYS 1.03 [Qty 2] OPERATOR STATION -DOCKI</t>
  </si>
  <si>
    <t>3M COMPANY</t>
  </si>
  <si>
    <t>V154583.B01</t>
  </si>
  <si>
    <t>BOLT, SHOULDER M10 X 25 SS</t>
  </si>
  <si>
    <t>COPERION THAILAND LTD</t>
  </si>
  <si>
    <t>TORAY PLASTICS AMERICA INC</t>
  </si>
  <si>
    <t>DOW CHEMICAL COMPANY</t>
  </si>
  <si>
    <t>BRIDGESTONE AMERICAS TIRE OPERATION</t>
  </si>
  <si>
    <t>7CMT BEARING HOUSING -  REPAIR</t>
  </si>
  <si>
    <t>Credit for Rework ($2,500.00).</t>
  </si>
  <si>
    <t>credit for rework ($250.00)</t>
  </si>
  <si>
    <t>ELECTRIC CABLE COMPOUNDS INC</t>
  </si>
  <si>
    <t>FACTORY ACCEPTANCE TESTING</t>
  </si>
  <si>
    <t>IN</t>
  </si>
  <si>
    <t>V167443.B01</t>
  </si>
  <si>
    <t>SHAFT,T-DRIVE ASSY,SANITARY,304</t>
  </si>
  <si>
    <t>V172436.B01</t>
  </si>
  <si>
    <t>QUILL ASSY,STD &amp; FLT DRVR,LOW RNGE</t>
  </si>
  <si>
    <t>MCCAIN FOODS USA INC</t>
  </si>
  <si>
    <t>V137654.B01</t>
  </si>
  <si>
    <t>HOPPER,1200 SERIES,PVC.WHITE,FDA/EU1935</t>
  </si>
  <si>
    <t>V078801.B01</t>
  </si>
  <si>
    <t>VAO 20100 Analog Output 20mA</t>
  </si>
  <si>
    <t>CEMENTOS PROGRESO S.A.</t>
  </si>
  <si>
    <t>ASH GROVE</t>
  </si>
  <si>
    <t>W181562.B01</t>
  </si>
  <si>
    <t>HXMMD-1.385101151-035,IMPREGLON</t>
  </si>
  <si>
    <t>INDELPRO SA DE CV</t>
  </si>
  <si>
    <t>Credit for local rework ($5,400)</t>
  </si>
  <si>
    <t>ADG</t>
  </si>
  <si>
    <t>GUITHER-ADR</t>
  </si>
  <si>
    <t>Adrian</t>
  </si>
  <si>
    <t>adrian.guither@coperion.com</t>
  </si>
  <si>
    <t>ACP</t>
  </si>
  <si>
    <t>PINNOW-ALE</t>
  </si>
  <si>
    <t>Alex</t>
  </si>
  <si>
    <t>alex.pinnow@coperion.com</t>
  </si>
  <si>
    <t>BCS</t>
  </si>
  <si>
    <t>Brian</t>
  </si>
  <si>
    <t>brian.schmoldt@coperion.com</t>
  </si>
  <si>
    <t>JMA</t>
  </si>
  <si>
    <t>ASBY-JAM</t>
  </si>
  <si>
    <t>James</t>
  </si>
  <si>
    <t>james.asby@coperion.com</t>
  </si>
  <si>
    <t>NJG</t>
  </si>
  <si>
    <t>GREEN-NIC</t>
  </si>
  <si>
    <t>Nick</t>
  </si>
  <si>
    <t>nick.green@coperion.com</t>
  </si>
  <si>
    <t>MARTIN-REE</t>
  </si>
  <si>
    <t>Reed</t>
  </si>
  <si>
    <t>reed.martin@coperion.com</t>
  </si>
  <si>
    <t>RAB</t>
  </si>
  <si>
    <t>BENDER-RIC</t>
  </si>
  <si>
    <t>Richard</t>
  </si>
  <si>
    <t>richard.bender@coperion.com</t>
  </si>
  <si>
    <t>JMP</t>
  </si>
  <si>
    <t>PURDON-JOS</t>
  </si>
  <si>
    <t>Joey</t>
  </si>
  <si>
    <t>joey.purdon@coperion.com</t>
  </si>
  <si>
    <t>SSK</t>
  </si>
  <si>
    <t>KRAHN-STE</t>
  </si>
  <si>
    <t>Steve</t>
  </si>
  <si>
    <t>steve.krahn@coperion.com</t>
  </si>
  <si>
    <t>NGM</t>
  </si>
  <si>
    <t>MOLNAR-NAT</t>
  </si>
  <si>
    <t>Nate</t>
  </si>
  <si>
    <t>nate.molnar@coperion.com</t>
  </si>
  <si>
    <t>NAA</t>
  </si>
  <si>
    <t>ALATRASH-NAN</t>
  </si>
  <si>
    <t>Nancy</t>
  </si>
  <si>
    <t>nancy.alatrash@coperion.com</t>
  </si>
  <si>
    <t>katy.ramaika1@coperion.com</t>
  </si>
  <si>
    <t>COPERION GMBH</t>
  </si>
  <si>
    <t>K-MV-BSP-150-S FINAL ASSY</t>
  </si>
  <si>
    <t>CONFIGURED K2-MV-S60</t>
  </si>
  <si>
    <t>PROTECH EQUIPMENT</t>
  </si>
  <si>
    <t>CONFIGURED K2-ML-S60</t>
  </si>
  <si>
    <t>K-ML-T80 FINAL ASSY</t>
  </si>
  <si>
    <t>CONFIGURED K2-MV-T35</t>
  </si>
  <si>
    <t>SFC GLOBAL SUPPLY CHAIN INC</t>
  </si>
  <si>
    <t>INTERNATIONAL N&amp;H USA INC</t>
  </si>
  <si>
    <t>V138576.B01</t>
  </si>
  <si>
    <t>GEARMOTOR,60RPM,.25HP,90DC,INLINE,CSA</t>
  </si>
  <si>
    <t>BASF CORPORATION</t>
  </si>
  <si>
    <t>KS POTASH CANADA GENERAL PARTNER</t>
  </si>
  <si>
    <t>W024514.B01</t>
  </si>
  <si>
    <t>QUILL ASSEMBLY,152MM</t>
  </si>
  <si>
    <t>V154552.B01</t>
  </si>
  <si>
    <t>SPACER,SS,ID.320,OD.625,THICKNESS.100</t>
  </si>
  <si>
    <t>ERICHSON COMPANY  INC</t>
  </si>
  <si>
    <t>APPLIED INDUSTRIAL TECH INC</t>
  </si>
  <si>
    <t>AURIGA POLYMERS INC</t>
  </si>
  <si>
    <t>PREFERRED GLOBAL EQUIPMENT</t>
  </si>
  <si>
    <t>ROSKAM FOODS</t>
  </si>
  <si>
    <t>ARQ SOLUTIONS RED RIVER LLC</t>
  </si>
  <si>
    <t>ST MARYS CEMENT US LLC</t>
  </si>
  <si>
    <t>JOHN B SANFILIPPO AND SON INC</t>
  </si>
  <si>
    <t>V138265.B01</t>
  </si>
  <si>
    <t>BUSHING, ECCENTRIC 600 FEEDER P/N 67662</t>
  </si>
  <si>
    <t>MATERION BRUSH INC</t>
  </si>
  <si>
    <t>US GYPSUM COMPANY</t>
  </si>
  <si>
    <t>1100545606_COPERION_KTRON</t>
  </si>
  <si>
    <t>BJG</t>
  </si>
  <si>
    <t>BGUAGLIARDO</t>
  </si>
  <si>
    <t>Brandon</t>
  </si>
  <si>
    <t>bguagliardo@coperionktron.com</t>
  </si>
  <si>
    <t>BAM</t>
  </si>
  <si>
    <t>BMARKS</t>
  </si>
  <si>
    <t xml:space="preserve">Bryan </t>
  </si>
  <si>
    <t>bmarks@coperionktron.com</t>
  </si>
  <si>
    <t>JAG</t>
  </si>
  <si>
    <t>JGUZIK</t>
  </si>
  <si>
    <t xml:space="preserve">Jonathan </t>
  </si>
  <si>
    <t>jguzik@coperionktron.com</t>
  </si>
  <si>
    <t>SPO</t>
  </si>
  <si>
    <t>SOLSON</t>
  </si>
  <si>
    <t>Spencer</t>
  </si>
  <si>
    <t>solson@coperionktron.com</t>
  </si>
  <si>
    <t>STC</t>
  </si>
  <si>
    <t>SCOWEN</t>
  </si>
  <si>
    <t>Stephen</t>
  </si>
  <si>
    <t>scowen@coperionktron.com</t>
  </si>
  <si>
    <t>TLE</t>
  </si>
  <si>
    <t>TEASLEY</t>
  </si>
  <si>
    <t xml:space="preserve">Tim </t>
  </si>
  <si>
    <t>teasley@coperionktron.com</t>
  </si>
  <si>
    <t>W190890.B01</t>
  </si>
  <si>
    <t>SA BASE UNIT K2-T35 DR</t>
  </si>
  <si>
    <t>W217207.B01</t>
  </si>
  <si>
    <t>KIT SPU W/120T RETRO W300/600</t>
  </si>
  <si>
    <t>CONFIGURED K2-ML-T60</t>
  </si>
  <si>
    <t>CONFIGURED K-CL-SFS-KT20</t>
  </si>
  <si>
    <t>BCP INGREDIENTS INC</t>
  </si>
  <si>
    <t>902M FEEDER, SINGLE DRIVE, METRIC</t>
  </si>
  <si>
    <t>CONFIGURED K2-ML-D5-T35</t>
  </si>
  <si>
    <t>K-ML-SFS-KT20</t>
  </si>
  <si>
    <t>CONFIGURED K-MV-KS60</t>
  </si>
  <si>
    <t>CONFIGURED K2-ML-D5-S60</t>
  </si>
  <si>
    <t>FREIGHT PPD</t>
  </si>
  <si>
    <t>CONFIGURED K-MV-KT20</t>
  </si>
  <si>
    <t>CONFIGURED K-ML-D5-KT20</t>
  </si>
  <si>
    <t>MP SYSTEMS COMPANY</t>
  </si>
  <si>
    <t>GULF COAST GROWTH VENTURES LLC</t>
  </si>
  <si>
    <t>302M FEEDER, SINGLE DRIVE, METRIC</t>
  </si>
  <si>
    <t>CONFIGURED K2-ML-S100</t>
  </si>
  <si>
    <t>ANDERSEN CORPORATION</t>
  </si>
  <si>
    <t>K3-ML-V200</t>
  </si>
  <si>
    <t>HERITAGE PLASTICS</t>
  </si>
  <si>
    <t>PETROQUIMICA CUYO SAIC</t>
  </si>
  <si>
    <t>NATIONAL BULK EQUIPMENT INC</t>
  </si>
  <si>
    <t>MECH,MID,FLEX,IND,VOL,DDRV,AC</t>
  </si>
  <si>
    <t>Coperion K-Tron (Schweiz) GmbH</t>
  </si>
  <si>
    <t>CONFIGURED K-ML-KS60</t>
  </si>
  <si>
    <t>W211345.B01</t>
  </si>
  <si>
    <t>CONTROLLER KCM-III KD DC 450W</t>
  </si>
  <si>
    <t>BURGESS PIGMENT</t>
  </si>
  <si>
    <t>PAA</t>
  </si>
  <si>
    <t>W339897.B01</t>
  </si>
  <si>
    <t>TRICAN WELL SERVICE LTD</t>
  </si>
  <si>
    <t>K2-MV-T35</t>
  </si>
  <si>
    <t>K-CL-SFS-KT20</t>
  </si>
  <si>
    <t>CURT G JOA INC</t>
  </si>
  <si>
    <t>GEON PERFORMANCE SOLUTIONS</t>
  </si>
  <si>
    <t>SYS 1.03 Mid Range Coni Flex Mechatron</t>
  </si>
  <si>
    <t>W038768.A01</t>
  </si>
  <si>
    <t>SYS 1.04 Gain and weight control</t>
  </si>
  <si>
    <t>W038837.A01</t>
  </si>
  <si>
    <t>SYS 1.04B Gain and weight control</t>
  </si>
  <si>
    <t>W339758.B01</t>
  </si>
  <si>
    <t>W339759.B01</t>
  </si>
  <si>
    <t>US CONEC LTD</t>
  </si>
  <si>
    <t>IMPERIAL OIL</t>
  </si>
  <si>
    <t>W038632.A01</t>
  </si>
  <si>
    <t>HENTZEN COATINGS INC</t>
  </si>
  <si>
    <t>W038635.A01</t>
  </si>
  <si>
    <t>SYS 1.02A 304 SERIES FEEDER CONTROL</t>
  </si>
  <si>
    <t>W310103.T01</t>
  </si>
  <si>
    <t>BPPO-Polyolefin GravimetricFeeding/Weigh</t>
  </si>
  <si>
    <t>FREIGHT PLACEHOLDER</t>
  </si>
  <si>
    <t>W038367.A01</t>
  </si>
  <si>
    <t>W038368.A01</t>
  </si>
  <si>
    <t>SYS 1.01-1 K-TRON K2-ML-S100 Gravimetric</t>
  </si>
  <si>
    <t>W038369.A01</t>
  </si>
  <si>
    <t>SYS 1.01-2 K-TRON K2-ML-S100 Gravimetric</t>
  </si>
  <si>
    <t>W038370.A01</t>
  </si>
  <si>
    <t>SYS 1.01-3 K-TRON K2-ML-S100 Gravimetric</t>
  </si>
  <si>
    <t>W038371.A01</t>
  </si>
  <si>
    <t>SYS 1.01-4 K-TRON K2-ML-S100 Gravimetric</t>
  </si>
  <si>
    <t>W038372.A01</t>
  </si>
  <si>
    <t>SYS 1.01-5 K-TRON K2-ML-S100 Gravimetric</t>
  </si>
  <si>
    <t>W038373.A01</t>
  </si>
  <si>
    <t>SYS 1.01-6 K-TRON K2-ML-S100 Gravimetric</t>
  </si>
  <si>
    <t>W038374.A01</t>
  </si>
  <si>
    <t>SYS 1.01-7 K-TRON K2-ML-S100 Gravimetric</t>
  </si>
  <si>
    <t>W038375.A01</t>
  </si>
  <si>
    <t>SYS 1.01-8 K-TRON K2-ML-S100 Gravimetric</t>
  </si>
  <si>
    <t>W038376.A01</t>
  </si>
  <si>
    <t>SYS 1.01-9 K-TRON K2-ML-S100 Gravimetric</t>
  </si>
  <si>
    <t>W038377.A01</t>
  </si>
  <si>
    <t>SYS 1.01-10 K-TRON K2-ML-S100 Gravimetri</t>
  </si>
  <si>
    <t>W038378.A01</t>
  </si>
  <si>
    <t>SYS 1.01-11 K-TRON K2-ML-S100 Gravimetri</t>
  </si>
  <si>
    <t>W038379.A01</t>
  </si>
  <si>
    <t>SYS 1.01-12 K-TRON K2-ML-S100 Gravimetri</t>
  </si>
  <si>
    <t>W038380.A01</t>
  </si>
  <si>
    <t>SYS 2.01 Material Certifications</t>
  </si>
  <si>
    <t>W038658.A01</t>
  </si>
  <si>
    <t>W038662.A01</t>
  </si>
  <si>
    <t>SYS 1.06 Mid Range Coni Flex Mechatron</t>
  </si>
  <si>
    <t>W038663.A01</t>
  </si>
  <si>
    <t>SYS 1.06A Feeder Stand</t>
  </si>
  <si>
    <t>W038670.A01</t>
  </si>
  <si>
    <t>SYS 2.07 Mid Range Coni Flex Mechatron</t>
  </si>
  <si>
    <t>W038671.A01</t>
  </si>
  <si>
    <t>SYS 2.07A Helix &amp; Nozzle</t>
  </si>
  <si>
    <t>W038672.A01</t>
  </si>
  <si>
    <t>SYS 2.07B Feeder Stand</t>
  </si>
  <si>
    <t>W038679.A01</t>
  </si>
  <si>
    <t>SYS 3.07 Mid Range Coni Flex Mechatron</t>
  </si>
  <si>
    <t>W038680.A01</t>
  </si>
  <si>
    <t>SYS 3.07A Feeder Stand</t>
  </si>
  <si>
    <t>W038685.A01</t>
  </si>
  <si>
    <t>SYS 4.07 Mid Range Coni Flex Mechatron</t>
  </si>
  <si>
    <t>W038686.A01</t>
  </si>
  <si>
    <t>SYS 4.07A Feeder Stand</t>
  </si>
  <si>
    <t>W338082.B01</t>
  </si>
  <si>
    <t>MARS CANADA INC</t>
  </si>
  <si>
    <t>UGSI CHEMICAL FEED INC</t>
  </si>
  <si>
    <t>W188838.B01</t>
  </si>
  <si>
    <t>PICK-UP W/PHOENIX CONN K2M</t>
  </si>
  <si>
    <t>ECOLAB KAY CHEMICAL CO</t>
  </si>
  <si>
    <t>W365241.B01</t>
  </si>
  <si>
    <t>K2-ML-D5-S60</t>
  </si>
  <si>
    <t>COPERION LTDA</t>
  </si>
  <si>
    <t>AMPACET CORPORATION</t>
  </si>
  <si>
    <t>FLEXICON</t>
  </si>
  <si>
    <t>K2-ML-S100 P/N:0000000369</t>
  </si>
  <si>
    <t>K2-ML-S60 P/N:0000000368</t>
  </si>
  <si>
    <t>HOPPER P/N:P5203-23.1</t>
  </si>
  <si>
    <t>HOPPER P/N: P5203-23.1</t>
  </si>
  <si>
    <t>MARS PETCARE US INC</t>
  </si>
  <si>
    <t>W224222.B01</t>
  </si>
  <si>
    <t>AGIT 2 BLADE K2T2T3S6</t>
  </si>
  <si>
    <t>V088600.B01</t>
  </si>
  <si>
    <t>DIT:LW.0.0.0.0.ME.0.0</t>
  </si>
  <si>
    <t>W188814.B01</t>
  </si>
  <si>
    <t>K2M-T60DR SA FRAME W/ PULLEYS</t>
  </si>
  <si>
    <t>KTRON TECHNOLOGIES US</t>
  </si>
  <si>
    <t>W219876.B01</t>
  </si>
  <si>
    <t>W188821.B01</t>
  </si>
  <si>
    <t>SA BASE UNIT K2-S60 DR</t>
  </si>
  <si>
    <t>W188827.B01</t>
  </si>
  <si>
    <t>K2M DR SA QC GT-BELT D2</t>
  </si>
  <si>
    <t>W260162.B01</t>
  </si>
  <si>
    <t>JM HUBER CORPORATION</t>
  </si>
  <si>
    <t>W223714.B01</t>
  </si>
  <si>
    <t>RING CLAMP CONN DN50 *D</t>
  </si>
  <si>
    <t>W209982.B01</t>
  </si>
  <si>
    <t>CELANESE POLYMER PRODUCTS LLC</t>
  </si>
  <si>
    <t>W219932.B01</t>
  </si>
  <si>
    <t>SEKISUI VOLTEK LLC</t>
  </si>
  <si>
    <t>WASHINGTON PENN PLASTIC CO INC</t>
  </si>
  <si>
    <t>W217908.B01</t>
  </si>
  <si>
    <t>W216951.B01</t>
  </si>
  <si>
    <t>RET RING SHFT 15X1 SS</t>
  </si>
  <si>
    <t>W223770.B01</t>
  </si>
  <si>
    <t>W219880.B01</t>
  </si>
  <si>
    <t>BELT, 5MR 900 X 25 SC/HT</t>
  </si>
  <si>
    <t>APTARGROUP INC</t>
  </si>
  <si>
    <t>W213722.B01</t>
  </si>
  <si>
    <t>W219792.B01</t>
  </si>
  <si>
    <t>BELT 2420X610X0.7 PU SWB600</t>
  </si>
  <si>
    <t>RTP CO</t>
  </si>
  <si>
    <t>W220243.B01</t>
  </si>
  <si>
    <t>CPLG BOWEX M28 SPEC-I    SW300</t>
  </si>
  <si>
    <t>HEARTHSIDE FOOD SOLUTIONS LLC</t>
  </si>
  <si>
    <t>CYTEC INDUSTRIES INC</t>
  </si>
  <si>
    <t>W188802.B01</t>
  </si>
  <si>
    <t>BELT 5MR-815-20-SD</t>
  </si>
  <si>
    <t>W223789.B01</t>
  </si>
  <si>
    <t>WEIGH BARS, WEIGH BRDG SWB300</t>
  </si>
  <si>
    <t>W221972.B01</t>
  </si>
  <si>
    <t>W219367.B01</t>
  </si>
  <si>
    <t>SFT-II  FA 90KG N4 W/CABLE</t>
  </si>
  <si>
    <t>W223797.B01</t>
  </si>
  <si>
    <t>COV MUFL 004 TYP04-5CP20/SS</t>
  </si>
  <si>
    <t>W220235.B01</t>
  </si>
  <si>
    <t>CPLG HUB 5/8 BORE T35/S200 K2M</t>
  </si>
  <si>
    <t>MITSUBISHI CHEMICAL AMERICA INC</t>
  </si>
  <si>
    <t>W220245.B01</t>
  </si>
  <si>
    <t>CPLG,SHAFT 12MM K2M</t>
  </si>
  <si>
    <t>W219879.B01</t>
  </si>
  <si>
    <t>W219878.B01</t>
  </si>
  <si>
    <t>BELT, T5 815 X 20</t>
  </si>
  <si>
    <t>W220845.B01</t>
  </si>
  <si>
    <t>SEAL SCREW 24MM ID K2S60</t>
  </si>
  <si>
    <t>W218282.B01</t>
  </si>
  <si>
    <t>WEIGHING UNIT K-SFT-III SWB300</t>
  </si>
  <si>
    <t>TICONA POLYMERS INC</t>
  </si>
  <si>
    <t>W219579.B01</t>
  </si>
  <si>
    <t>KIT FLEX CONN 4"" DIA</t>
  </si>
  <si>
    <t>UNION CARBIDE CORP</t>
  </si>
  <si>
    <t>W220442.B01</t>
  </si>
  <si>
    <t>W221959.B01</t>
  </si>
  <si>
    <t>MOTOR DC 0.45KW 100V 2000RPM</t>
  </si>
  <si>
    <t>J&amp;G SUPPLY, LLC</t>
  </si>
  <si>
    <t>W192626.B01</t>
  </si>
  <si>
    <t>MOTOR DC 0.45KW 200V 2000RPM</t>
  </si>
  <si>
    <t>PALRAM 2000 INC</t>
  </si>
  <si>
    <t>INEOS USA LLC</t>
  </si>
  <si>
    <t>W334703.B01</t>
  </si>
  <si>
    <t>W219629.B01</t>
  </si>
  <si>
    <t>W191515.B01</t>
  </si>
  <si>
    <t>PCB ASSY 450W KCM MOT DRIVE</t>
  </si>
  <si>
    <t>SHPP US LLC</t>
  </si>
  <si>
    <t>V138617.B01</t>
  </si>
  <si>
    <t>HOPPER,600 SERIES,GRAY VINYL</t>
  </si>
  <si>
    <t>MCCAIN FOODS CANADA</t>
  </si>
  <si>
    <t>V147194.B01</t>
  </si>
  <si>
    <t>HX3A-0.385101101-004</t>
  </si>
  <si>
    <t>QUINTA RADDISON INC</t>
  </si>
  <si>
    <t>W225305.B01</t>
  </si>
  <si>
    <t>ELINA TECHNOLOGIES LTD</t>
  </si>
  <si>
    <t>SHAFT, DIRECT DRIVE ACME THREAD</t>
  </si>
  <si>
    <t>SANTOPRENE PRODUCTION PENSACOLA LLC</t>
  </si>
  <si>
    <t>ABBVIE LTD</t>
  </si>
  <si>
    <t>GAF MATERIALS LLC</t>
  </si>
  <si>
    <t>W260160.B01</t>
  </si>
  <si>
    <t>PCB SSY STEPPER DRIVE KCM</t>
  </si>
  <si>
    <t>W220531.B01</t>
  </si>
  <si>
    <t>SEAL AGIT BRG 28MM ID K2T3/S6</t>
  </si>
  <si>
    <t>EQUISTAR CHEMICALS LP</t>
  </si>
  <si>
    <t>AMRIZE CEMENT INC</t>
  </si>
  <si>
    <t>W223793.B01</t>
  </si>
  <si>
    <t>TEKNOR APEX CO</t>
  </si>
  <si>
    <t>W225353.B01</t>
  </si>
  <si>
    <t>COV FRAME REAR ABS K2T2/T3/S6</t>
  </si>
  <si>
    <t>W225350.B01</t>
  </si>
  <si>
    <t>W217955.B01</t>
  </si>
  <si>
    <t>K2M      SA PULLEY 27MM 32B 20</t>
  </si>
  <si>
    <t>W188801.B01</t>
  </si>
  <si>
    <t>W188803.B01</t>
  </si>
  <si>
    <t>SW EQUIPMENT GROUP LLC</t>
  </si>
  <si>
    <t>W223650.B01</t>
  </si>
  <si>
    <t>W223642.B01</t>
  </si>
  <si>
    <t>W223635.B01</t>
  </si>
  <si>
    <t>W223781.B01</t>
  </si>
  <si>
    <t>W221952.B01</t>
  </si>
  <si>
    <t>MTR, DC 450W 200V GRAY WD</t>
  </si>
  <si>
    <t>W195339.B01</t>
  </si>
  <si>
    <t>W219600.B01</t>
  </si>
  <si>
    <t>W221105.B01</t>
  </si>
  <si>
    <t>SCR PAN M6X1X12 D7985A SST</t>
  </si>
  <si>
    <t>W217963.B01</t>
  </si>
  <si>
    <t>K2M      SA PULLEY 27MM 32B 29</t>
  </si>
  <si>
    <t>W193942.B01</t>
  </si>
  <si>
    <t>KEYPAD KCM KD DISPLAY</t>
  </si>
  <si>
    <t>W220540.B01</t>
  </si>
  <si>
    <t>SEAL SCREW 23.2ID/41.9OD K2T60</t>
  </si>
  <si>
    <t>W220533.B01</t>
  </si>
  <si>
    <t>GASKET RING 2.2D D254/224X3</t>
  </si>
  <si>
    <t>W221958.B01</t>
  </si>
  <si>
    <t>MOT ACCES BRUSH 180V BALDOR</t>
  </si>
  <si>
    <t>BERRY GLOBAL INC</t>
  </si>
  <si>
    <t>W221955.B01</t>
  </si>
  <si>
    <t>MTR DC 1.6KW 200V GRY WD</t>
  </si>
  <si>
    <t>W220341.B01</t>
  </si>
  <si>
    <t>SCR CAPTIVE M8X20 SST304 K2M</t>
  </si>
  <si>
    <t>W223737.B01</t>
  </si>
  <si>
    <t>W218085.B01</t>
  </si>
  <si>
    <t>K2T6S1   SA TNSN PUL 25T 5MR</t>
  </si>
  <si>
    <t>FLAGSTONE FOODS LLC</t>
  </si>
  <si>
    <t>JOHNS MANVILLE</t>
  </si>
  <si>
    <t>W225297.B01</t>
  </si>
  <si>
    <t>W361853.B01</t>
  </si>
  <si>
    <t>W220519.B01</t>
  </si>
  <si>
    <t>W194426.B01</t>
  </si>
  <si>
    <t>W221960.B01</t>
  </si>
  <si>
    <t>MOTOR DC 0.45KW 200V 2000 RPM</t>
  </si>
  <si>
    <t>INDIUM CORPORATION OF AMERICA</t>
  </si>
  <si>
    <t>W225250.B01</t>
  </si>
  <si>
    <t>SEAL LIP SCREW SHAFT</t>
  </si>
  <si>
    <t>W219636.B01</t>
  </si>
  <si>
    <t>BRG,BALL 20/42 X 12 2-SEALS</t>
  </si>
  <si>
    <t>SHURTAPE TECHNOLOGIES LLC</t>
  </si>
  <si>
    <t>REPCO</t>
  </si>
  <si>
    <t>V138293.B01</t>
  </si>
  <si>
    <t>SHAFT,ECCENTRIC, 600 SERIES</t>
  </si>
  <si>
    <t>VISCOFAN DE GMBH</t>
  </si>
  <si>
    <t>W225312.B01</t>
  </si>
  <si>
    <t>W220482.B01</t>
  </si>
  <si>
    <t>O-RING,ID14X1.78 MVQ FDA</t>
  </si>
  <si>
    <t>MOTUS GROUP</t>
  </si>
  <si>
    <t>V819449.B01</t>
  </si>
  <si>
    <t>1111 MP,R2,DR,W/G,ISOB</t>
  </si>
  <si>
    <t>ASSOCIATED ELECTRIC COOP INC</t>
  </si>
  <si>
    <t>W217923.B01</t>
  </si>
  <si>
    <t>K2M      SA INPUT SHAFT</t>
  </si>
  <si>
    <t>W225362.B01</t>
  </si>
  <si>
    <t>GSKT O-RING COVER D8X90 NPRN</t>
  </si>
  <si>
    <t>NATUREWORKS LLC</t>
  </si>
  <si>
    <t>W220644.B01</t>
  </si>
  <si>
    <t>SEAL MECH AGITATOR K2T60/S100</t>
  </si>
  <si>
    <t>CARLISLE SYNTEC SYSTEMS</t>
  </si>
  <si>
    <t>TURTLE &amp; HUGHES INC</t>
  </si>
  <si>
    <t>PROCTER &amp; GAMBLE MANUFACTURING CO</t>
  </si>
  <si>
    <t>V151099.B01</t>
  </si>
  <si>
    <t>HXLMA-1.001201001-007</t>
  </si>
  <si>
    <t>W188752.B01</t>
  </si>
  <si>
    <t>K2M GT2 SA INPUT SHAFT</t>
  </si>
  <si>
    <t>DXP ENTERPRISES INC</t>
  </si>
  <si>
    <t>SOLAE LLC</t>
  </si>
  <si>
    <t>ARC TECHNOLOGIES LLC</t>
  </si>
  <si>
    <t>W217962.B01</t>
  </si>
  <si>
    <t>K2M      SA SECOND SHAFT 22MM</t>
  </si>
  <si>
    <t>CONAGRA BRANDS</t>
  </si>
  <si>
    <t>POST CONSUMER BRANDS</t>
  </si>
  <si>
    <t>SABIC INNOVATIVE PLASTICS US LLC</t>
  </si>
  <si>
    <t>W219580.B01</t>
  </si>
  <si>
    <t>KIT FLEX CONN 6"" DIA</t>
  </si>
  <si>
    <t>MARATHON CHEESE CORP</t>
  </si>
  <si>
    <t>W192150.B01</t>
  </si>
  <si>
    <t>BSP100 SA DISK FINE PARTICLE</t>
  </si>
  <si>
    <t>W195313.B01</t>
  </si>
  <si>
    <t>BRASKEM AMERICA</t>
  </si>
  <si>
    <t>W220547.B01</t>
  </si>
  <si>
    <t>SEAL AGIT (AP) D50.8X13 PTFE</t>
  </si>
  <si>
    <t>W166760.B01</t>
  </si>
  <si>
    <t>CONTRLLR,KTRON,0000036186,K-VISION</t>
  </si>
  <si>
    <t>W204911.B01</t>
  </si>
  <si>
    <t>K2-M-S60 FEEDER MODULE</t>
  </si>
  <si>
    <t>W220643.B01</t>
  </si>
  <si>
    <t>SEAL MECH AGIT K2T20/35/S60</t>
  </si>
  <si>
    <t>W334698.B01</t>
  </si>
  <si>
    <t>ADM COMPANY</t>
  </si>
  <si>
    <t>W334651.B01</t>
  </si>
  <si>
    <t>BELT SCRAPER OUTER SW600</t>
  </si>
  <si>
    <t>W219788.B01</t>
  </si>
  <si>
    <t>BELT 2420X305X0.7 PU SWB300</t>
  </si>
  <si>
    <t>FORM FACTORY 1 LLC</t>
  </si>
  <si>
    <t>W220881.B01</t>
  </si>
  <si>
    <t>GEAR,SPUR W17 T120 M0.5 D25.4</t>
  </si>
  <si>
    <t>DAISY BRAND</t>
  </si>
  <si>
    <t>CRI-TECH INC</t>
  </si>
  <si>
    <t>NOVA CHEMICALS CORPORATION</t>
  </si>
  <si>
    <t>W195602.B01</t>
  </si>
  <si>
    <t>MICROFEEDER SA MOTOR STEP ENC</t>
  </si>
  <si>
    <t>W220532.B01</t>
  </si>
  <si>
    <t>SEAL AGIT D50.8X13 PTFE</t>
  </si>
  <si>
    <t>W219635.B01</t>
  </si>
  <si>
    <t>BRG,BALL 25/47 X 12 2-SEALS</t>
  </si>
  <si>
    <t>W226878.B01</t>
  </si>
  <si>
    <t>KIT OUTBOARD BRG LWT35</t>
  </si>
  <si>
    <t>DIAMOND PET FOODS</t>
  </si>
  <si>
    <t>WESCO DISTRIBUTION INC</t>
  </si>
  <si>
    <t>EXXONMOBIL PRODUCT SOLUTIONS COMPAN</t>
  </si>
  <si>
    <t>W191262.B01</t>
  </si>
  <si>
    <t>PCB ASSY ETHERNET IP MDL KCM</t>
  </si>
  <si>
    <t>CARMEUSE AMERICAS</t>
  </si>
  <si>
    <t>V064001.B02</t>
  </si>
  <si>
    <t>VMO 20101 Machine Op. Panel SS, 2PCB</t>
  </si>
  <si>
    <t>KOHLER CO</t>
  </si>
  <si>
    <t>W218017.B01</t>
  </si>
  <si>
    <t>V554943.B01</t>
  </si>
  <si>
    <t>HX6A-1.751200101-007</t>
  </si>
  <si>
    <t>BESPOKE INDUSTRIAL SUPPLY</t>
  </si>
  <si>
    <t>AMPACET SOUTH AMERICA SRL</t>
  </si>
  <si>
    <t>EXTRU TECH INC</t>
  </si>
  <si>
    <t>ADVANCED COMPOSITES MEXICANA SA DE</t>
  </si>
  <si>
    <t>MULLINS CHEESE INC</t>
  </si>
  <si>
    <t>W194425.B01</t>
  </si>
  <si>
    <t>AMERICAN GYPSUM CO</t>
  </si>
  <si>
    <t>MOTT`S LLP</t>
  </si>
  <si>
    <t>VALLEN INTEGRATED SUPPLY INC</t>
  </si>
  <si>
    <t>W219578.B01</t>
  </si>
  <si>
    <t>KIT FLEX CONN 2'' DIA</t>
  </si>
  <si>
    <t>NESTLE USA</t>
  </si>
  <si>
    <t>LYONDELLBASELL ADV. POLYMERS INC</t>
  </si>
  <si>
    <t>SWB 600 CONVEYOR ASSEMBLY</t>
  </si>
  <si>
    <t>W364470.B01</t>
  </si>
  <si>
    <t>WEIGH ROLLER, HASLER</t>
  </si>
  <si>
    <t>CEMENTOS DEL NORTE SA</t>
  </si>
  <si>
    <t>V383588.B01</t>
  </si>
  <si>
    <t>Rep.Kit Drive Strand MULTICELL (2000..)</t>
  </si>
  <si>
    <t>W188815.B01</t>
  </si>
  <si>
    <t>K2M-S100DR SA FRAME W/ PULLEYS</t>
  </si>
  <si>
    <t>W210006.B01</t>
  </si>
  <si>
    <t>W210004.B01</t>
  </si>
  <si>
    <t>RS INTEGRATED SUPPLY US INC</t>
  </si>
  <si>
    <t>W219368.B01</t>
  </si>
  <si>
    <t>W191801.B01</t>
  </si>
  <si>
    <t>DISK OVERMOLDED BSP150S</t>
  </si>
  <si>
    <t>W191803.B01</t>
  </si>
  <si>
    <t>SA DISK OVERMOLDED BSP150S</t>
  </si>
  <si>
    <t>W218403.B01</t>
  </si>
  <si>
    <t>GEARBOX KPL.     K-S-50-150</t>
  </si>
  <si>
    <t>W197325.B01</t>
  </si>
  <si>
    <t>AGITATOR-V FLAT MULT 1D 1/2L</t>
  </si>
  <si>
    <t>W197311.B01</t>
  </si>
  <si>
    <t>BOLT LOWER AGIT MICROFDR</t>
  </si>
  <si>
    <t>W195247.B01</t>
  </si>
  <si>
    <t>SCREEN SH SQ 5.33X5.33</t>
  </si>
  <si>
    <t>W195131.B01</t>
  </si>
  <si>
    <t>FITTING VERTICAL DISCHARGE FER</t>
  </si>
  <si>
    <t>W195027.B01</t>
  </si>
  <si>
    <t>SCREW TCC D OD12 E0</t>
  </si>
  <si>
    <t>W195278.B01</t>
  </si>
  <si>
    <t>SCREW SAC D OD12 E0</t>
  </si>
  <si>
    <t>W190584.B01</t>
  </si>
  <si>
    <t>SCREW M5X15.5/5</t>
  </si>
  <si>
    <t>GARCA DISTRIBUTIONS INC</t>
  </si>
  <si>
    <t>IMERYS WOLLASTONITE USA LLC</t>
  </si>
  <si>
    <t>M&amp;G POLIMEROS MEXICO SA DE CV</t>
  </si>
  <si>
    <t>W221951.B01</t>
  </si>
  <si>
    <t>W216995.B01</t>
  </si>
  <si>
    <t>KEY,PARALLEL A 5X5X18</t>
  </si>
  <si>
    <t>S-160 -  REPAIR</t>
  </si>
  <si>
    <t>V139167.B01</t>
  </si>
  <si>
    <t>QUILL, T-DRIVE</t>
  </si>
  <si>
    <t>W210744.B01</t>
  </si>
  <si>
    <t>BELLOWS SPCL RND D214[8.425]</t>
  </si>
  <si>
    <t>W210711.B01</t>
  </si>
  <si>
    <t>CLAMP VIB TRAY COVER</t>
  </si>
  <si>
    <t>W220169.B01</t>
  </si>
  <si>
    <t>CLAMP BAND 60-254 SST</t>
  </si>
  <si>
    <t>VERTEX PHARMACEUTICALS INCORPORATED</t>
  </si>
  <si>
    <t>CNTRL,INT TERSUS,VEG,VWF,EIP,WEIGHFEEDER</t>
  </si>
  <si>
    <t>FLEX AMERICAS S A DE C V</t>
  </si>
  <si>
    <t>KRAFT HEINZ FOODS COMPANY</t>
  </si>
  <si>
    <t>Credit for customs charges (Credit of 1,</t>
  </si>
  <si>
    <t>HERSMEX S DE RL DE CV</t>
  </si>
  <si>
    <t>AMALGAMATED SUGAR CO</t>
  </si>
  <si>
    <t>W193734.B01</t>
  </si>
  <si>
    <t>FILTER CLEANING UNIT JET MINI</t>
  </si>
  <si>
    <t>LUBRIZOL ADVANCED MATERIALS INC</t>
  </si>
  <si>
    <t>Credit for shipping charges. ($480.00)</t>
  </si>
  <si>
    <t>NORTH STAR BLUESCOPE STEEL LLC</t>
  </si>
  <si>
    <t>CERTAINTEED CANADA INC</t>
  </si>
  <si>
    <t>W361820.B01</t>
  </si>
  <si>
    <t>GEARBOX "B" RED K-PH-KT20 +50</t>
  </si>
  <si>
    <t>W220890.B01</t>
  </si>
  <si>
    <t>PINION 15T 3.5M K2MT6S1</t>
  </si>
  <si>
    <t>W223720.B01</t>
  </si>
  <si>
    <t>SHAFT AGITATOR K2M</t>
  </si>
  <si>
    <t>W220962.B01</t>
  </si>
  <si>
    <t>PUL 30T T5P 30MM FLG 15B</t>
  </si>
  <si>
    <t>CJG</t>
  </si>
  <si>
    <t>GRIFFITHS-CAD</t>
  </si>
  <si>
    <t>Caden</t>
  </si>
  <si>
    <t>caden.griffiths@coperion.com</t>
  </si>
  <si>
    <t>ALM</t>
  </si>
  <si>
    <t>Tony</t>
  </si>
  <si>
    <t>tony.marcella@coperion.com</t>
  </si>
  <si>
    <t>NJH</t>
  </si>
  <si>
    <t>HEMMAN-NAT</t>
  </si>
  <si>
    <t>Nathan</t>
  </si>
  <si>
    <t>nathan.hemman@coperion.com</t>
  </si>
  <si>
    <t>HOSOKAWA MICRON POWDER SYSTEMS</t>
  </si>
  <si>
    <t>COPERION CORPORATION</t>
  </si>
  <si>
    <t>V660480.B01</t>
  </si>
  <si>
    <t>102 FEEDER, INTERNAL CONTROL</t>
  </si>
  <si>
    <t>PROCTER &amp; GAMBLE MANUFACTURING</t>
  </si>
  <si>
    <t>610M FEEDER,SINGLE DRIVE,QK-DIS,METRIC</t>
  </si>
  <si>
    <t>RELCO</t>
  </si>
  <si>
    <t>KC GLOBAL SALES LLC</t>
  </si>
  <si>
    <t>HAF EQUIPMENT</t>
  </si>
  <si>
    <t>W116760.B01</t>
  </si>
  <si>
    <t>SUGAR SANDER ASSEMBLY</t>
  </si>
  <si>
    <t>CABOT CORP</t>
  </si>
  <si>
    <t>CNTRL,INT TERSUS,VEG,VIF,EIP</t>
  </si>
  <si>
    <t>SOURCEPRO LLC</t>
  </si>
  <si>
    <t>602M FEEDER,SINGLE DRIVE,METRIC</t>
  </si>
  <si>
    <t>K-ML-D5-KT20</t>
  </si>
  <si>
    <t>SACO AEI POLYMERS</t>
  </si>
  <si>
    <t>W368691.B01</t>
  </si>
  <si>
    <t>CONFIGURED K-MV-HTD-P</t>
  </si>
  <si>
    <t>W368692.B01</t>
  </si>
  <si>
    <t>FREIGHT PREPAID &amp; ADD</t>
  </si>
  <si>
    <t>MECH,MID,FLEX,SANI,GRAV,SDRV,AC</t>
  </si>
  <si>
    <t>W364232.B01</t>
  </si>
  <si>
    <t>MODEL S160 MULTICOR FLOWMETER FOR 549804</t>
  </si>
  <si>
    <t>MAQUINAS EXACTAS SA</t>
  </si>
  <si>
    <t>PINNACLE POLYMERS LLC</t>
  </si>
  <si>
    <t>W356784.B01</t>
  </si>
  <si>
    <t>BULK BAG UNLOADER W/HOIST</t>
  </si>
  <si>
    <t>W281143.B01</t>
  </si>
  <si>
    <t>SOCK,FLEX 8"ID X 8"LG 1212</t>
  </si>
  <si>
    <t>W218870.B01</t>
  </si>
  <si>
    <t>CLP,HOSE SS 7-5/8"" TO 8-1/2""ID</t>
  </si>
  <si>
    <t>W321311.B01</t>
  </si>
  <si>
    <t>ADP,SS 8" ANSI TO 8" OD!!</t>
  </si>
  <si>
    <t>COVESTRO LLC</t>
  </si>
  <si>
    <t>W039258.A01</t>
  </si>
  <si>
    <t>SYS 1.08 Coperion K-Tron LIW Feeder, T60</t>
  </si>
  <si>
    <t>W039262.A01</t>
  </si>
  <si>
    <t>SYS 2.07 Coperion K-Tron LIW Feeder, T60</t>
  </si>
  <si>
    <t>W039264.A01</t>
  </si>
  <si>
    <t>SYS 4.01 Liquid LIW Feeder - Water</t>
  </si>
  <si>
    <t>W039272.A01</t>
  </si>
  <si>
    <t>SYS 1.02 Coperion K-Tron LIW Feeder, T35</t>
  </si>
  <si>
    <t>W039273.A01</t>
  </si>
  <si>
    <t>SYS 1.04 Coperion K-Tron LIW Feeder, T60</t>
  </si>
  <si>
    <t>W039450.A01</t>
  </si>
  <si>
    <t>SYS 1.01-1 12LRV3 - Style III Filter for</t>
  </si>
  <si>
    <t>W039451.A01</t>
  </si>
  <si>
    <t>SYS 1.01-2 12LRV3 - Style III Filter for</t>
  </si>
  <si>
    <t>W039453.A01</t>
  </si>
  <si>
    <t>SYS 1.01-4 12LRV3 - Style III Filter for</t>
  </si>
  <si>
    <t>W039454.A01</t>
  </si>
  <si>
    <t>SYS 1.01-5 12LRV3 - Style III Filter for</t>
  </si>
  <si>
    <t>W039455.A01</t>
  </si>
  <si>
    <t>SYS 1.01-6 12LRV3 - Style III Filter for</t>
  </si>
  <si>
    <t>W039459.A01</t>
  </si>
  <si>
    <t>SYS 1.02-4 Low Range Coni Flex Mechatron</t>
  </si>
  <si>
    <t>W039460.A01</t>
  </si>
  <si>
    <t>SYS 1.02-5 Low Range Coni Flex Mechatron</t>
  </si>
  <si>
    <t>W039461.A01</t>
  </si>
  <si>
    <t>SYS 1.02-6 Low Range Coni Flex Mechatron</t>
  </si>
  <si>
    <t>W039462.A01</t>
  </si>
  <si>
    <t>SYS 1.03-1 12MV1 - Style III Filter</t>
  </si>
  <si>
    <t>W039463.A01</t>
  </si>
  <si>
    <t>SYS 1.03-2 12MV1 - Style III Filter</t>
  </si>
  <si>
    <t>W039464.A01</t>
  </si>
  <si>
    <t>SYS 1.03-3 12MV1 - Style III Filter</t>
  </si>
  <si>
    <t>W039465.A01</t>
  </si>
  <si>
    <t>SYS 1.03-4 12MV1 - Style III Filter</t>
  </si>
  <si>
    <t>W039466.A01</t>
  </si>
  <si>
    <t>SYS 1.03-5 12MV1 - Style III Filter</t>
  </si>
  <si>
    <t>W039467.A01</t>
  </si>
  <si>
    <t>SYS 1.03-6 12MV1 - Style III Filter</t>
  </si>
  <si>
    <t>W039515.A01</t>
  </si>
  <si>
    <t>SYS CNTRL-8 Weighing and Feeding Start-u</t>
  </si>
  <si>
    <t>STEERAMERICA INC</t>
  </si>
  <si>
    <t>TEXAS LEHIGH CEMENT COMPANY</t>
  </si>
  <si>
    <t>PREMIERE FIBERS LLC</t>
  </si>
  <si>
    <t>STURTEVANT INC</t>
  </si>
  <si>
    <t>AMPACET DE MEXICO S DEL RL DE CV</t>
  </si>
  <si>
    <t>CEMENTOS Y CONCRETOS NACIONALES SA</t>
  </si>
  <si>
    <t>SISTEMAS DE MEDICION ESPECIAL SA DE</t>
  </si>
  <si>
    <t>BENVIC CHEMRES LLC</t>
  </si>
  <si>
    <t>AMERICHEM</t>
  </si>
  <si>
    <t>NEXKEMIA PETROCHEMICALS INC</t>
  </si>
  <si>
    <t>AMRIZE CANADA INC</t>
  </si>
  <si>
    <t>ALBEMARLE CORPORATION</t>
  </si>
  <si>
    <t>V151952.B01</t>
  </si>
  <si>
    <t>HXMMA-1.381201001-008</t>
  </si>
  <si>
    <t>LYONDELLBASELL ADV POLYMERS INC</t>
  </si>
  <si>
    <t>W024514.B02</t>
  </si>
  <si>
    <t>QUILL ASSEMBLY,152MM,SANITARY</t>
  </si>
  <si>
    <t>V162652.B01</t>
  </si>
  <si>
    <t>HOPPER,152mm,PVC,GRAY,FDA/EU1935</t>
  </si>
  <si>
    <t>ABCO INDUSTRIES LIMITED</t>
  </si>
  <si>
    <t>SHAW INDUSTRIES GROUP INC</t>
  </si>
  <si>
    <t>SAPUTO CHEESE</t>
  </si>
  <si>
    <t>W099129.B01</t>
  </si>
  <si>
    <t>HXHMD-3.501200101-035</t>
  </si>
  <si>
    <t>INDORAMA VENTURES POLYMERS</t>
  </si>
  <si>
    <t>V151995.B01</t>
  </si>
  <si>
    <t>HXMMA-1.382201001-008</t>
  </si>
  <si>
    <t>V152612.B01</t>
  </si>
  <si>
    <t>HXMMA-2.251201001-007</t>
  </si>
  <si>
    <t>SANDVIK DEL PERU SA</t>
  </si>
  <si>
    <t>V173516.B01</t>
  </si>
  <si>
    <t>BELT,.03THK,TARGET PLATE,DEA 600,48" I-D</t>
  </si>
  <si>
    <t>ADAMA</t>
  </si>
  <si>
    <t>DANISCO USA INC</t>
  </si>
  <si>
    <t>V383639.B08</t>
  </si>
  <si>
    <t>EXPEDITE FEE</t>
  </si>
  <si>
    <t>BUITONI FOOD COMPANY</t>
  </si>
  <si>
    <t>DUPONT SPECIALTY PRODUCTS USA LLC</t>
  </si>
  <si>
    <t>W219364.B01</t>
  </si>
  <si>
    <t>ALBANESE CONFECTIONARY GROUP INC</t>
  </si>
  <si>
    <t>W339072.B01</t>
  </si>
  <si>
    <t>SA IDLER ROLLER 3.5" X1310MM SWB1200F</t>
  </si>
  <si>
    <t>UOP LLC</t>
  </si>
  <si>
    <t>W024514.B04</t>
  </si>
  <si>
    <t>QUILL ASSEMBLY,152MM,FLT DRV</t>
  </si>
  <si>
    <t>V709627.B01</t>
  </si>
  <si>
    <t>HXMMA-2.251200101-027</t>
  </si>
  <si>
    <t>US SMOKELESS TOBACCO COMPANY</t>
  </si>
  <si>
    <t>ALGOOD FOOD COMPANY</t>
  </si>
  <si>
    <t>V561683.B01</t>
  </si>
  <si>
    <t>HX3A-1.001200001-018</t>
  </si>
  <si>
    <t>W218405.B01</t>
  </si>
  <si>
    <t>KIT GEAR SET 23&amp;38 TH KM</t>
  </si>
  <si>
    <t>DOW CHEMICAL CANADA ULC</t>
  </si>
  <si>
    <t>MIDWEST MANUFACTURING</t>
  </si>
  <si>
    <t>BELLISIO FOODS INC</t>
  </si>
  <si>
    <t>V138542.B01</t>
  </si>
  <si>
    <t>SPROCKET,41CH,10T,.625 BORE</t>
  </si>
  <si>
    <t>V600628.B01</t>
  </si>
  <si>
    <t>BELT,600MM,.03THK,TARGET PLATE,BLUE POLY</t>
  </si>
  <si>
    <t>V173515.B01</t>
  </si>
  <si>
    <t>BELT,.03THK,TARGET PLATE,DEA 600,36" I-D</t>
  </si>
  <si>
    <t>KRATON CORPORATION</t>
  </si>
  <si>
    <t>W193171.B01</t>
  </si>
  <si>
    <t>TUBE DISCH VERT ODV4.5"" KT20</t>
  </si>
  <si>
    <t>HERSHEY CANADA INC</t>
  </si>
  <si>
    <t>V558620.B01</t>
  </si>
  <si>
    <t>HX6A-2.251200101-045</t>
  </si>
  <si>
    <t>V634260.B01</t>
  </si>
  <si>
    <t>HXMMA-1.001200001-032</t>
  </si>
  <si>
    <t>GEORGIA PACIFIC LLC</t>
  </si>
  <si>
    <t>OWENS CORNING INSULATING</t>
  </si>
  <si>
    <t>W224689.B01</t>
  </si>
  <si>
    <t>SCR 37MM CC E100 K2T35 DR</t>
  </si>
  <si>
    <t>W193696.B01</t>
  </si>
  <si>
    <t>V553378.B01</t>
  </si>
  <si>
    <t>HX6A-2.251200101-007</t>
  </si>
  <si>
    <t>W193910.B01</t>
  </si>
  <si>
    <t>SA GUIDE BSP135 POWDER</t>
  </si>
  <si>
    <t>V166150.B01</t>
  </si>
  <si>
    <t>ECCENTRIC LINKAGE ASS'Y,HIGH RANGE</t>
  </si>
  <si>
    <t>V561115.B01</t>
  </si>
  <si>
    <t>HXMMA-0.753200101-008</t>
  </si>
  <si>
    <t>V592254.B01</t>
  </si>
  <si>
    <t>HXMMD-1.751200101-007</t>
  </si>
  <si>
    <t>G&amp;S FOODS</t>
  </si>
  <si>
    <t>AMRIZE BUILDING ENVELOPE LLC</t>
  </si>
  <si>
    <t>CONTROLLER KCM-III KD STEPPER</t>
  </si>
  <si>
    <t>WASHINGTON PENN PLASTIC</t>
  </si>
  <si>
    <t>W191715.B01</t>
  </si>
  <si>
    <t>O-RING,ID88 X 2.6 MVQ</t>
  </si>
  <si>
    <t>W195160.B01</t>
  </si>
  <si>
    <t>O-RING,ID11X1 MVQ FDA</t>
  </si>
  <si>
    <t>W195177.B01</t>
  </si>
  <si>
    <t>O-RING,FERRULE SEAL 53.57X3.53</t>
  </si>
  <si>
    <t>W196379.B01</t>
  </si>
  <si>
    <t>O-RING,ID107.54X3.53 MVQ FDA</t>
  </si>
  <si>
    <t>CONTROLLER KCM-III KD 1600W</t>
  </si>
  <si>
    <t>W190545.B01</t>
  </si>
  <si>
    <t>SEAL SCREW PRG K2T60DR</t>
  </si>
  <si>
    <t>W116684.B01</t>
  </si>
  <si>
    <t>BASKET,K800,WD WIRE,600UM,K2xA-32RA,316</t>
  </si>
  <si>
    <t>ALTERA POLYMERS LLC</t>
  </si>
  <si>
    <t>W217219.B01</t>
  </si>
  <si>
    <t>KIT SWB600/W600 SA INLET FLEX</t>
  </si>
  <si>
    <t>TRAINSER CO</t>
  </si>
  <si>
    <t>V154346.B01</t>
  </si>
  <si>
    <t>BEARING,BRONZE OIL IMPG,.750, TRIANGLE</t>
  </si>
  <si>
    <t>PATHEON API INC</t>
  </si>
  <si>
    <t>W219641.B01</t>
  </si>
  <si>
    <t>BRG,BALL SA 15/35X14 2-SL</t>
  </si>
  <si>
    <t>W338426.B01</t>
  </si>
  <si>
    <t>REALWEAR GLASSES PACKAGE</t>
  </si>
  <si>
    <t>W063782.B01</t>
  </si>
  <si>
    <t>CONNECT ADVISOR LICENSE</t>
  </si>
  <si>
    <t>V802805.B01</t>
  </si>
  <si>
    <t>HXLMD-0.385101111-023</t>
  </si>
  <si>
    <t>BDI USA</t>
  </si>
  <si>
    <t>WESTCHESTER PLASTICS LLC</t>
  </si>
  <si>
    <t>LION COPOLYMER</t>
  </si>
  <si>
    <t>W361833.B01</t>
  </si>
  <si>
    <t>LA INTEGRATED PE JV LLC</t>
  </si>
  <si>
    <t>W204788.B01</t>
  </si>
  <si>
    <t>HOPPER FDR SPHER 2.2D AG</t>
  </si>
  <si>
    <t>FOSTER DELIVERY SCIENCE INC</t>
  </si>
  <si>
    <t>COOK POLYMER TECHNOLOGY</t>
  </si>
  <si>
    <t>W225256.B01</t>
  </si>
  <si>
    <t>RS INTEGRATED SUPPLY PUERTO RICO LL</t>
  </si>
  <si>
    <t>W181135.B02</t>
  </si>
  <si>
    <t>NZDMMF-1.75",FD,6"DT,EB,35FF,316,IMPRGLN</t>
  </si>
  <si>
    <t>MARTIN MARIETTA MATERIALS INC</t>
  </si>
  <si>
    <t>THE QUARTZ CORP</t>
  </si>
  <si>
    <t>SABIC INNOVATIVE PLASTICS</t>
  </si>
  <si>
    <t>Ind prx swtch NJ1,5-8N-Y18812 ATEX 2G/1D</t>
  </si>
  <si>
    <t>INTEPLAST BUILDING PRODUCTS</t>
  </si>
  <si>
    <t>VEOS USA INC</t>
  </si>
  <si>
    <t>V163483.B01</t>
  </si>
  <si>
    <t>ECCENTRIC ASSEMBLY,8mm,304SS</t>
  </si>
  <si>
    <t>K50 REPAIR</t>
  </si>
  <si>
    <t>GIANT CEMENT CO</t>
  </si>
  <si>
    <t>RELEASED</t>
  </si>
  <si>
    <t>W039532.A01</t>
  </si>
  <si>
    <t>FRUIT D'OR</t>
  </si>
  <si>
    <t>MARCELL-ANT</t>
  </si>
  <si>
    <t>RAMAIKA-KATA</t>
  </si>
  <si>
    <t>W195693.B01</t>
  </si>
  <si>
    <t>FA KSU-II W/ LCD</t>
  </si>
  <si>
    <t>W040065.A01</t>
  </si>
  <si>
    <t>W040089.A01</t>
  </si>
  <si>
    <t>SYS 5.04 K-ML-BSP-135</t>
  </si>
  <si>
    <t>W040094.A01</t>
  </si>
  <si>
    <t>SYS 6.04 K-ML-BSP-135</t>
  </si>
  <si>
    <t>W040099.A01</t>
  </si>
  <si>
    <t>SYS 7.04 K-ML-BSP-135</t>
  </si>
  <si>
    <t>W040104.A01</t>
  </si>
  <si>
    <t>SYS 8.04 K-ML-BSP-135</t>
  </si>
  <si>
    <t>W040109.A01</t>
  </si>
  <si>
    <t>SYS 9.04 K-ML-BSP-135</t>
  </si>
  <si>
    <t>W040114.A01</t>
  </si>
  <si>
    <t>SYS 10.04 K-ML-BSP-135</t>
  </si>
  <si>
    <t>W040119.A01</t>
  </si>
  <si>
    <t>SYS 11.04 K-ML-BSP-135</t>
  </si>
  <si>
    <t>W040124.A01</t>
  </si>
  <si>
    <t>SYS 12.04 K-ML-BSP-135</t>
  </si>
  <si>
    <t>W369896.B01</t>
  </si>
  <si>
    <t>CONVEYOR - HD SCREW 5.25DIA</t>
  </si>
  <si>
    <t>W370695.B01</t>
  </si>
  <si>
    <t>FA K-ML-P HEATED W/REFILL SYSTEM</t>
  </si>
  <si>
    <t>W196221.B01</t>
  </si>
  <si>
    <t>K-VISION SA STD UNIT BASE</t>
  </si>
  <si>
    <t>RHEO ENGINEERING</t>
  </si>
  <si>
    <t>W371595.B01</t>
  </si>
  <si>
    <t>CONFIGURED K-ML-D5-KT35</t>
  </si>
  <si>
    <t>W375427.B01</t>
  </si>
  <si>
    <t>NORTHSHORE MINING COMPANY</t>
  </si>
  <si>
    <t>W039997.A01</t>
  </si>
  <si>
    <t>SYS 1.01 RECEIVER SUPPORT STAND</t>
  </si>
  <si>
    <t>W373529.B01</t>
  </si>
  <si>
    <t>CONFIG K2-ML-D5-S60 W/50L HPPR &amp; IMPR964</t>
  </si>
  <si>
    <t>RAVAGO AMERICAS LLC</t>
  </si>
  <si>
    <t>12/29/0025</t>
  </si>
  <si>
    <t>W375845.B01</t>
  </si>
  <si>
    <t>W337232.B01</t>
  </si>
  <si>
    <t>MECH,MID,STEEL,IND,GRAV,DDRV,AC</t>
  </si>
  <si>
    <t>K2-ML-S60 P0000000368.1</t>
  </si>
  <si>
    <t>FLOQUIP ENGINEERING COMPANY</t>
  </si>
  <si>
    <t>CONCEPT2 INC</t>
  </si>
  <si>
    <t>K3-ML-D5-V200 P0000062452.1</t>
  </si>
  <si>
    <t>W374443.B01</t>
  </si>
  <si>
    <t>BXO-42,BELT SCALE,4 IDLER BRIDGE,48",HD</t>
  </si>
  <si>
    <t>W374300.B01</t>
  </si>
  <si>
    <t>CONTROL,INTECONT SATUS,BEMP</t>
  </si>
  <si>
    <t>V172866.B01</t>
  </si>
  <si>
    <t>CABLE, 4-PAIR INDIV SHIELD W/DRAIN 20AWG</t>
  </si>
  <si>
    <t>V901468.B01</t>
  </si>
  <si>
    <t>106 SERIES FEEDER</t>
  </si>
  <si>
    <t>ANIMAL HEALTH INTERNATIONAL INC</t>
  </si>
  <si>
    <t>W168579.B01</t>
  </si>
  <si>
    <t>NEUMAN AND ESSER GRINDING</t>
  </si>
  <si>
    <t>W375190.B01</t>
  </si>
  <si>
    <t>V383639.B10</t>
  </si>
  <si>
    <t>INSPECTION UL</t>
  </si>
  <si>
    <t>W039845.A01</t>
  </si>
  <si>
    <t>W039854.A01</t>
  </si>
  <si>
    <t>SYS 1.15 Agitated Refill Single Screw -</t>
  </si>
  <si>
    <t>W039859.A01</t>
  </si>
  <si>
    <t>SYS 2.11 DEA300 Weigh Belt Feeder</t>
  </si>
  <si>
    <t>W039863.A01</t>
  </si>
  <si>
    <t>SYS 2.22 DEA300 Weigh Belt Feeder</t>
  </si>
  <si>
    <t>W040887.A01</t>
  </si>
  <si>
    <t>W040893.A01</t>
  </si>
  <si>
    <t>SYS 3.09 Replacement Feeder Screw</t>
  </si>
  <si>
    <t>SYENSQO SPECIALTY POLYMERS USA LLC</t>
  </si>
  <si>
    <t>W374440.B01</t>
  </si>
  <si>
    <t>LYONS SALT COMPANY</t>
  </si>
  <si>
    <t>W377552.B01</t>
  </si>
  <si>
    <t>W371813.B01</t>
  </si>
  <si>
    <t>SCREW CONVEYOR ASSY,1",60"I-D,SANI</t>
  </si>
  <si>
    <t>W378799.B01</t>
  </si>
  <si>
    <t>W376889.B01</t>
  </si>
  <si>
    <t>CONFIGURED SWB-600-0-RH</t>
  </si>
  <si>
    <t>W376890.B01</t>
  </si>
  <si>
    <t>CONFIGURED SWB-600-0-LH</t>
  </si>
  <si>
    <t>W373734.B01</t>
  </si>
  <si>
    <t>TATTERSALL SUPPLY LLC</t>
  </si>
  <si>
    <t>W376950.B01</t>
  </si>
  <si>
    <t>FA K2-MV-T60 15L 3.3D FDR HOPPER SAF COV</t>
  </si>
  <si>
    <t>604/610M FDR,DUAL DRIVE,QK-DIS,METRIC</t>
  </si>
  <si>
    <t>W376395.B01</t>
  </si>
  <si>
    <t>CONFIGURED K2-MV-S60 - CLEANOUT 180L</t>
  </si>
  <si>
    <t>SAINT-GOBAIN PPL CORP</t>
  </si>
  <si>
    <t>W379048.B01</t>
  </si>
  <si>
    <t>K2-ML-T60 E600 1100L</t>
  </si>
  <si>
    <t>PACTIV</t>
  </si>
  <si>
    <t>W373594.B01</t>
  </si>
  <si>
    <t>STAND  - 10D H=47'' STL RAL7035</t>
  </si>
  <si>
    <t>W379120.B01</t>
  </si>
  <si>
    <t>BEMP, DUAL IDLER BELT SCALE</t>
  </si>
  <si>
    <t>ARQ SOLUTIONS LLC</t>
  </si>
  <si>
    <t>W376294.B01</t>
  </si>
  <si>
    <t>W376295.B01</t>
  </si>
  <si>
    <t>V684049.B01</t>
  </si>
  <si>
    <t>HXMMA-1.381201011-007</t>
  </si>
  <si>
    <t>V798308.B01</t>
  </si>
  <si>
    <t>NZDMMF-1.375B2000010-007</t>
  </si>
  <si>
    <t>W376296.B01</t>
  </si>
  <si>
    <t>LIQUID SKID ASSEMBLY</t>
  </si>
  <si>
    <t>W374714.B01</t>
  </si>
  <si>
    <t>FLOWMETER - SOLIDS, DLM-26</t>
  </si>
  <si>
    <t>ROANOKE CEMENT COMPANY</t>
  </si>
  <si>
    <t>W375689.B01</t>
  </si>
  <si>
    <t>W374715.B01</t>
  </si>
  <si>
    <t>FLOWMETER - SOLIDS, DLM-6</t>
  </si>
  <si>
    <t>W375690.B01</t>
  </si>
  <si>
    <t>W380283.B01</t>
  </si>
  <si>
    <t>CONFIGURED K2-ML-D5-KT20</t>
  </si>
  <si>
    <t>W371209.B01</t>
  </si>
  <si>
    <t>W376494.B01</t>
  </si>
  <si>
    <t>KEMIRA WATER SOLUTIONS CANADA INC</t>
  </si>
  <si>
    <t>W372313.B01</t>
  </si>
  <si>
    <t>1100557445,EXTERNAL ENGINEERING SERVICES</t>
  </si>
  <si>
    <t>W370016.B01</t>
  </si>
  <si>
    <t>TUBE-CALIBRATOR NEGATIVE W/ TUBE HOPPER</t>
  </si>
  <si>
    <t>W370017.B01</t>
  </si>
  <si>
    <t>SHUT-OFF GATE DN 700 MANUALLY OPERATED</t>
  </si>
  <si>
    <t>W370018.B01</t>
  </si>
  <si>
    <t>COAL DUST FEEDING SYSTEM MULTICOR K50</t>
  </si>
  <si>
    <t>W370019.B01</t>
  </si>
  <si>
    <t>CONDITIONER FOR COMPRESSED AIR FOR K50</t>
  </si>
  <si>
    <t>W370020.B01</t>
  </si>
  <si>
    <t>CONTROL CABINET 600X600X2000 MM</t>
  </si>
  <si>
    <t>V917987.B01</t>
  </si>
  <si>
    <t>SEAWORTHY PACKING AND DELIVERY</t>
  </si>
  <si>
    <t>W379479.B01</t>
  </si>
  <si>
    <t>W379480.B01</t>
  </si>
  <si>
    <t>W377329.B01</t>
  </si>
  <si>
    <t>W375387.B01</t>
  </si>
  <si>
    <t>MECH,AI,GRAV,300,CONT CERTS</t>
  </si>
  <si>
    <t>INSPECTION UL/CSA</t>
  </si>
  <si>
    <t>W376895.B01</t>
  </si>
  <si>
    <t>MECH,HIGH,FLEX,SANI,GRAV,DDRV,AC</t>
  </si>
  <si>
    <t>W375960.B01</t>
  </si>
  <si>
    <t>CONFIGURED SWB-300-N LH STEEL IT</t>
  </si>
  <si>
    <t>W375958.B01</t>
  </si>
  <si>
    <t>CONFIGURED SWB-300-N RH</t>
  </si>
  <si>
    <t>W375959.B01</t>
  </si>
  <si>
    <t>CONFIGURED K-MV-KT20 STEEL IT</t>
  </si>
  <si>
    <t>SWB-300-N</t>
  </si>
  <si>
    <t>OHARA TECHNOLOGIES</t>
  </si>
  <si>
    <t>W374446.B01</t>
  </si>
  <si>
    <t>K-ML-SFS-P 3-GAL UNHTD</t>
  </si>
  <si>
    <t>W375653.B01</t>
  </si>
  <si>
    <t>106M FEEDER, REMOTE MOUNT, DRY FEED</t>
  </si>
  <si>
    <t>ISAAC ENC</t>
  </si>
  <si>
    <t>W377273.B01</t>
  </si>
  <si>
    <t>304M FEEDER, DUAL DRIVE, METRIC</t>
  </si>
  <si>
    <t>INVERSIONES MINERAS LA SOPRESA SA D</t>
  </si>
  <si>
    <t>W377296.B01</t>
  </si>
  <si>
    <t>MECH,HIGH,FLEX,SANI,VOL,DDRV,AC</t>
  </si>
  <si>
    <t>W377297.B01</t>
  </si>
  <si>
    <t>W040864.A01</t>
  </si>
  <si>
    <t>PEPSI COLA SALES &amp; DISTRIBUTION</t>
  </si>
  <si>
    <t>W040863.A01</t>
  </si>
  <si>
    <t>SYS 1.09 Loss In Weight Feeder (T35)</t>
  </si>
  <si>
    <t>W039892.A01</t>
  </si>
  <si>
    <t>W039899.A01</t>
  </si>
  <si>
    <t>SYS 2.01-01 K2-ML-D5-S60 50L PEROXIDE L1</t>
  </si>
  <si>
    <t>W039900.A01</t>
  </si>
  <si>
    <t>SYS 2.01-02 K2-ML-D5-S60 50L PEROXIDE L2</t>
  </si>
  <si>
    <t>W039901.A01</t>
  </si>
  <si>
    <t>SYS 2.01-03 K2-ML-D5-S60 50L CAO PEL L1</t>
  </si>
  <si>
    <t>W039902.A01</t>
  </si>
  <si>
    <t>SYS 2.01-04 K2-ML-D5-S60 50L CAO PEL L2</t>
  </si>
  <si>
    <t>W040784.A01</t>
  </si>
  <si>
    <t>SYS 2.01-05 K2-ML-D5-S60 50L TALC PEL L1</t>
  </si>
  <si>
    <t>W040785.A01</t>
  </si>
  <si>
    <t>SYS 2.01-06 K2-ML-D5-S60 50L TALC PEL L2</t>
  </si>
  <si>
    <t>W040786.A01</t>
  </si>
  <si>
    <t>SYS 2.01-07 K2-ML-D5-S60 50L A/OXI PEL L</t>
  </si>
  <si>
    <t>W040787.A01</t>
  </si>
  <si>
    <t>SYS 2.01-08 K2-ML-D5-S60 50L A/OXI PEL L</t>
  </si>
  <si>
    <t>W040788.A01</t>
  </si>
  <si>
    <t>SYS 2.01-09 K2-ML-D5-S60 80L RB PEL L1</t>
  </si>
  <si>
    <t>W040789.A01</t>
  </si>
  <si>
    <t>SYS 2.01-10 K2-ML-D5-S60 80L RB PEL L2</t>
  </si>
  <si>
    <t>W040790.A01</t>
  </si>
  <si>
    <t>SYS 2.02-01 SWB-300-N, HOP,  STK L1</t>
  </si>
  <si>
    <t>W040791.A01</t>
  </si>
  <si>
    <t>SYS 2.02-02 SWB-300-N, HOP,  STK L2</t>
  </si>
  <si>
    <t>W040792.A01</t>
  </si>
  <si>
    <t>SYS 2.03-01 HOP,AGIT 36"DIA,SS, STK L1</t>
  </si>
  <si>
    <t>W040793.A01</t>
  </si>
  <si>
    <t>SYS 2.03-02 HOP,AGIT 36"DIA,SS, STK L2</t>
  </si>
  <si>
    <t>W379644.B01</t>
  </si>
  <si>
    <t>W372086.B01</t>
  </si>
  <si>
    <t>W379667.B01</t>
  </si>
  <si>
    <t>W379668.B01</t>
  </si>
  <si>
    <t>W379669.B01</t>
  </si>
  <si>
    <t>W379670.B01</t>
  </si>
  <si>
    <t>W372090.B01</t>
  </si>
  <si>
    <t>MECH,LOW,FLEX,IND,GRAV,DD,AC</t>
  </si>
  <si>
    <t>W374422.B01</t>
  </si>
  <si>
    <t>DMO-WEIGHFEEDER,30"X22'8",240"I-D,LH</t>
  </si>
  <si>
    <t>W372651.B01</t>
  </si>
  <si>
    <t>K-ML-HTD-P</t>
  </si>
  <si>
    <t>W376003.B01</t>
  </si>
  <si>
    <t>K-ML-D5-P 2-GAL LIQUID</t>
  </si>
  <si>
    <t>HB FULLER CO</t>
  </si>
  <si>
    <t>W377792.B01</t>
  </si>
  <si>
    <t>CONFIGURED K4G-L-KT20 INTRINSIC SAFE</t>
  </si>
  <si>
    <t>INVISTA CANADA COMPANY</t>
  </si>
  <si>
    <t>W377914.B01</t>
  </si>
  <si>
    <t>W377793.B01</t>
  </si>
  <si>
    <t>CONFIGURED SWB-300-N INTRINSIC SAFE</t>
  </si>
  <si>
    <t>W379915.B01</t>
  </si>
  <si>
    <t>V795863.B01</t>
  </si>
  <si>
    <t>W218695.B01</t>
  </si>
  <si>
    <t>TRANS, 480-230/115F,2KVA</t>
  </si>
  <si>
    <t>W380272.B01</t>
  </si>
  <si>
    <t>KUMA ENGINEERING CO LTD</t>
  </si>
  <si>
    <t>K3-CL-SFS-V100</t>
  </si>
  <si>
    <t>K3-ML-D5-V200</t>
  </si>
  <si>
    <t>K-ML-KT20</t>
  </si>
  <si>
    <t>KCM-III / KD CONTROL MODULE</t>
  </si>
  <si>
    <t>K-ML-KT35 - 0000004640</t>
  </si>
  <si>
    <t>W374797.B01</t>
  </si>
  <si>
    <t>K3-PH-ML-D4-QT35</t>
  </si>
  <si>
    <t>W061676.B01</t>
  </si>
  <si>
    <t>DARLINGTON DAIRY SUPPLY</t>
  </si>
  <si>
    <t>PROVIDENCE CAPITAL FUNDING INC</t>
  </si>
  <si>
    <t>W377049.B01</t>
  </si>
  <si>
    <t>MODEL B80 MULTISTREAM FLOW METER</t>
  </si>
  <si>
    <t>GSI COMPANY</t>
  </si>
  <si>
    <t>W112317.B01</t>
  </si>
  <si>
    <t>COPERION UK LTD</t>
  </si>
  <si>
    <t>W369439.B01</t>
  </si>
  <si>
    <t>KIT,COVER ASM,866D,10"IN,8"V,IND,304</t>
  </si>
  <si>
    <t>AXIOTA US INC</t>
  </si>
  <si>
    <t>W379107.B01</t>
  </si>
  <si>
    <t>612M FEEDER, SD,SANITARY, QK-DIS,METRIC</t>
  </si>
  <si>
    <t>JUVENTUS CHEMICALS AND EQUIPMENT LL</t>
  </si>
  <si>
    <t>W039963.A01</t>
  </si>
  <si>
    <t>W039962.A01</t>
  </si>
  <si>
    <t>SYS 4.24 SIFTER-KEK K650CPV, 304SS</t>
  </si>
  <si>
    <t>W379385.B01</t>
  </si>
  <si>
    <t>CEREAL INGREDIENTS</t>
  </si>
  <si>
    <t>W379899.B01</t>
  </si>
  <si>
    <t>102M SINGLE DRIVE FEEDER</t>
  </si>
  <si>
    <t>PPG INDUSTRIES INC</t>
  </si>
  <si>
    <t>W380204.B01</t>
  </si>
  <si>
    <t>1204M FEEDER, DUAL DRIVE, METRIC</t>
  </si>
  <si>
    <t>KIMBERLY CLARK CORP</t>
  </si>
  <si>
    <t>W373097.B01</t>
  </si>
  <si>
    <t>DMO-WEIGHFEEDER,48"X15'2",134"I-D,LH</t>
  </si>
  <si>
    <t>W373288.B01</t>
  </si>
  <si>
    <t>W373099.B01</t>
  </si>
  <si>
    <t>DMO-WEIGHFEEDER,60"X10'2",92.38"I-D,RH</t>
  </si>
  <si>
    <t>W373539.B01</t>
  </si>
  <si>
    <t>DMO-WEIGHFEEDER,54"X17'8",164"I-D,RH</t>
  </si>
  <si>
    <t>W373540.B01</t>
  </si>
  <si>
    <t>W378003.B01</t>
  </si>
  <si>
    <t>SCAV CONVEYOR ASSY,17'8"X54",CHR CARB,RH</t>
  </si>
  <si>
    <t>W380441.B01</t>
  </si>
  <si>
    <t>K2-ML-S60 GRAVIMETRIC - 0000000368</t>
  </si>
  <si>
    <t>K2-MV-T60</t>
  </si>
  <si>
    <t>W380274.B01</t>
  </si>
  <si>
    <t>MECH,MID,FLEX,GRAV,SDRV,AC,3A</t>
  </si>
  <si>
    <t>CRYSTAL FARMS RDC</t>
  </si>
  <si>
    <t>W380524.B01</t>
  </si>
  <si>
    <t>MANILDRA MILLING</t>
  </si>
  <si>
    <t>F&amp;S FRESH FOODS</t>
  </si>
  <si>
    <t>K2-MV-S60 VOLUMETRIC - 0000000359</t>
  </si>
  <si>
    <t>K2-MV-S60 VOLUMETRIC</t>
  </si>
  <si>
    <t>JVPLASTICS INC</t>
  </si>
  <si>
    <t>W380298.B01</t>
  </si>
  <si>
    <t>CREATIVE DESIGN &amp; MACHINE INC</t>
  </si>
  <si>
    <t>W380299.B01</t>
  </si>
  <si>
    <t>W380300.B01</t>
  </si>
  <si>
    <t>CONFIGURED K-ML-KS60 W/IMPR964</t>
  </si>
  <si>
    <t>W379101.B01</t>
  </si>
  <si>
    <t>CONFIGURED SWB-600-O-LH</t>
  </si>
  <si>
    <t>AGC CHEMICALS AMERICAS INC</t>
  </si>
  <si>
    <t>W380290.B01</t>
  </si>
  <si>
    <t>W380291.B01</t>
  </si>
  <si>
    <t>W380292.B01</t>
  </si>
  <si>
    <t>K2-MV-S60 MODULE</t>
  </si>
  <si>
    <t>W130261.B02</t>
  </si>
  <si>
    <t>MULTICOR K50</t>
  </si>
  <si>
    <t>W379919.B01</t>
  </si>
  <si>
    <t>W379955.B01</t>
  </si>
  <si>
    <t>W379914.B01</t>
  </si>
  <si>
    <t>W380198.B01</t>
  </si>
  <si>
    <t>K2-ML-D5-T35 P0000000363.1</t>
  </si>
  <si>
    <t>W041287.A01</t>
  </si>
  <si>
    <t>CONSOL INNOVATIONS</t>
  </si>
  <si>
    <t>W041290.A01</t>
  </si>
  <si>
    <t>SYS 1.03 12MV1 - Style II Filter</t>
  </si>
  <si>
    <t>W041292.A01</t>
  </si>
  <si>
    <t>SYS 1.06 12MV1 - Style III Filter</t>
  </si>
  <si>
    <t>W041293.A01</t>
  </si>
  <si>
    <t>SYS 1.08 Mid Range Coni Flex Mechatron</t>
  </si>
  <si>
    <t>W041294.A01</t>
  </si>
  <si>
    <t>SYS 1.08A Disocont Tersus VHM Operator</t>
  </si>
  <si>
    <t>W041295.A01</t>
  </si>
  <si>
    <t>SYS 1.09 12MV1 - Style III Filter</t>
  </si>
  <si>
    <t>W041299.A01</t>
  </si>
  <si>
    <t>SYS 2.05 Mid Range Coni Flex Mechatron</t>
  </si>
  <si>
    <t>W041300.A01</t>
  </si>
  <si>
    <t>SYS 2.05A Disocont Tersus VHM Operator</t>
  </si>
  <si>
    <t>W041301.A01</t>
  </si>
  <si>
    <t>SYS 2.06 12MV1 - Style III Filter</t>
  </si>
  <si>
    <t>W041306.A01</t>
  </si>
  <si>
    <t>SYS 3.05 Mid Range Coni Flex Mechatron</t>
  </si>
  <si>
    <t>W041307.A01</t>
  </si>
  <si>
    <t>SYS 3.05A Disocont Tersus VHM Operator</t>
  </si>
  <si>
    <t>W041308.A01</t>
  </si>
  <si>
    <t>SYS 3.06 12MV1 - Style III Filter</t>
  </si>
  <si>
    <t>W041311.A01</t>
  </si>
  <si>
    <t>SYS 5.02 12LRV3 - Style III Filter</t>
  </si>
  <si>
    <t>W041312.A01</t>
  </si>
  <si>
    <t>SYS 5.04 Mid Range Coni Flex Mechatron</t>
  </si>
  <si>
    <t>W041313.A01</t>
  </si>
  <si>
    <t>SYS 5.04A Disocont Tersus VHM Operator</t>
  </si>
  <si>
    <t>W041314.A01</t>
  </si>
  <si>
    <t>SYS 5.05 12MV1 - Style III Filter</t>
  </si>
  <si>
    <t>W379106.B01</t>
  </si>
  <si>
    <t>CORIOLIS MASS FLOW METER S40</t>
  </si>
  <si>
    <t>W040144.A01</t>
  </si>
  <si>
    <t>INTEPLAST GROUP CORP</t>
  </si>
  <si>
    <t>W040145.A01</t>
  </si>
  <si>
    <t>SYS 1.01 12LRV3 - Style III</t>
  </si>
  <si>
    <t>W040148.A01</t>
  </si>
  <si>
    <t>SYS 1.04 Mid Range Coni Flex Mechatron</t>
  </si>
  <si>
    <t>W040149.A01</t>
  </si>
  <si>
    <t>SYS 1.05 Mid Range Coni Flex Mechatron</t>
  </si>
  <si>
    <t>W040150.A01</t>
  </si>
  <si>
    <t>W040151.A01</t>
  </si>
  <si>
    <t>SYS 1.07 Mid Range Coni Flex Mechatron</t>
  </si>
  <si>
    <t>W040158.A01</t>
  </si>
  <si>
    <t>SYS 2.04 High Range Coni Flex Mechatron</t>
  </si>
  <si>
    <t>W040164.A01</t>
  </si>
  <si>
    <t>SYS 3.04 High Range Coni Flex Mechatron</t>
  </si>
  <si>
    <t>W040169.A01</t>
  </si>
  <si>
    <t>SYS 4.05 High Range Coni Flex Mechatron</t>
  </si>
  <si>
    <t>W041333.A01</t>
  </si>
  <si>
    <t>SYS 1.01A 12LRV3 - Style III Filter</t>
  </si>
  <si>
    <t>W041334.A01</t>
  </si>
  <si>
    <t>SYS 1.01B 12LRV3 - Style III Filter</t>
  </si>
  <si>
    <t>W041335.A01</t>
  </si>
  <si>
    <t>SYS 1.01C 12LRV3 - Style III Filter</t>
  </si>
  <si>
    <t>W378041.B01</t>
  </si>
  <si>
    <t>W378042.B01</t>
  </si>
  <si>
    <t>W378043.B01</t>
  </si>
  <si>
    <t>W378044.B01</t>
  </si>
  <si>
    <t>W378045.B01</t>
  </si>
  <si>
    <t>W378046.B01</t>
  </si>
  <si>
    <t>W041212.A01</t>
  </si>
  <si>
    <t>SYS 2.10 Feeder K-ML-T80 - CaCO3</t>
  </si>
  <si>
    <t>DESERET LABS INC</t>
  </si>
  <si>
    <t>W041218.A01</t>
  </si>
  <si>
    <t>SYS 4.08 Feeder K-ML-T80 - Milled Sugar</t>
  </si>
  <si>
    <t>W041219.A01</t>
  </si>
  <si>
    <t>SYS 4.12 39HSER4 - Style III Filter (316</t>
  </si>
  <si>
    <t>W041227.A01</t>
  </si>
  <si>
    <t>SYS 5.07 Feeder K2-ML-D5-KT35 - Starch</t>
  </si>
  <si>
    <t>W041235.A01</t>
  </si>
  <si>
    <t>SYS 7.06 39HSER4 - Style III Filter (3</t>
  </si>
  <si>
    <t>W041243.A01</t>
  </si>
  <si>
    <t>SYS 8.06 39HSER5 - Style III Filter (3</t>
  </si>
  <si>
    <t>W041248.A01</t>
  </si>
  <si>
    <t>SYS 8.13 Feeder K-ML-T80 - Dense Granul</t>
  </si>
  <si>
    <t>W041252.A01</t>
  </si>
  <si>
    <t>SYS 9.01 Hygenic Bag Dump Station With</t>
  </si>
  <si>
    <t>W041257.A01</t>
  </si>
  <si>
    <t>SYS 9.10-1 Feeder K-ML-D5-KT35 - Talc</t>
  </si>
  <si>
    <t>W041258.A01</t>
  </si>
  <si>
    <t>W041268.A01</t>
  </si>
  <si>
    <t>K2-MV-S60</t>
  </si>
  <si>
    <t>W380220.B01</t>
  </si>
  <si>
    <t>UNIVERSITY OF MAINE SYSTEM</t>
  </si>
  <si>
    <t>W378700.B01</t>
  </si>
  <si>
    <t>DCL FLUIDIZED TROUGH,FT10-3</t>
  </si>
  <si>
    <t>W378701.B01</t>
  </si>
  <si>
    <t>DCL FLUIDIZED BIN BOTTOM,FBB-6</t>
  </si>
  <si>
    <t>W378702.B01</t>
  </si>
  <si>
    <t>DCL FLUIDIZING BLOWER PACKAGE,AB150-5</t>
  </si>
  <si>
    <t>W378703.B01</t>
  </si>
  <si>
    <t>DCL MANUAL SLIDE GATE,SVHPM16</t>
  </si>
  <si>
    <t>W378704.B01</t>
  </si>
  <si>
    <t>DCL FLUIDIZED CONVEYOR,FC16X16</t>
  </si>
  <si>
    <t>W378705.B01</t>
  </si>
  <si>
    <t>DCL ROTARY THROTTLE VALVE,RTVA-16X16</t>
  </si>
  <si>
    <t>W378706.B01</t>
  </si>
  <si>
    <t>W378707.B01</t>
  </si>
  <si>
    <t>DCL MANUAL SLIDE GATE,SVHPM12</t>
  </si>
  <si>
    <t>W378708.B01</t>
  </si>
  <si>
    <t>DCL FLUIDIZED CONVEYOR,FC12X12</t>
  </si>
  <si>
    <t>W378709.B01</t>
  </si>
  <si>
    <t>DCL ROTARY THROTTLE VALVE,RTVA-12X12</t>
  </si>
  <si>
    <t>W378710.B01</t>
  </si>
  <si>
    <t>W378711.B01</t>
  </si>
  <si>
    <t>NYB CONVEYOR AERATION FAN,AF 100-28.3</t>
  </si>
  <si>
    <t>W378712.B01</t>
  </si>
  <si>
    <t>CORIOLIS MASS FLOW METER S160,NO MOTOR</t>
  </si>
  <si>
    <t>W378713.B01</t>
  </si>
  <si>
    <t>CORIOLIS FLOW METER H450 - FM-290,NO MOT</t>
  </si>
  <si>
    <t>W380553.B01</t>
  </si>
  <si>
    <t>BIN WEIGHING SYSTEM - 3</t>
  </si>
  <si>
    <t>K4G BS60 SINGLE POST FEEDER</t>
  </si>
  <si>
    <t>W375982.B02</t>
  </si>
  <si>
    <t>LEGAL WEIGHT RAIL SCALE</t>
  </si>
  <si>
    <t>360 RAIL SERVICES</t>
  </si>
  <si>
    <t>W375983.B02</t>
  </si>
  <si>
    <t>LEGAL WEIGHT TAG READ SYS</t>
  </si>
  <si>
    <t>W375984.B02</t>
  </si>
  <si>
    <t>LEGAL WEIGHT FULL ROLLBACK FUNCTIONALITY</t>
  </si>
  <si>
    <t>V808652.B02</t>
  </si>
  <si>
    <t>RAIL,SW,WHEEL SENSOR KIT (BBK11)</t>
  </si>
  <si>
    <t>W040840.A01</t>
  </si>
  <si>
    <t>DENNIS GROUP</t>
  </si>
  <si>
    <t>W040506.A01</t>
  </si>
  <si>
    <t>SYS 1.10-1 LOSS IN WEIGHT FEEDER S100 (C</t>
  </si>
  <si>
    <t>W040507.A01</t>
  </si>
  <si>
    <t>SYS 1.10-2 LOSS IN WEIGHT FEEDER S100 (C</t>
  </si>
  <si>
    <t>W040508.A01</t>
  </si>
  <si>
    <t>SYS 1.10-3 LOSS IN WEIGHT FEEDER S100 (C</t>
  </si>
  <si>
    <t>W040509.A01</t>
  </si>
  <si>
    <t>SYS 1.10-4 LOSS IN WEIGHT FEEDER S100 (C</t>
  </si>
  <si>
    <t>W040973.A01</t>
  </si>
  <si>
    <t>SYS 10.09 [Qty 2] K-Tron Lactose Screw</t>
  </si>
  <si>
    <t>W040287.A01</t>
  </si>
  <si>
    <t>W040573.A01</t>
  </si>
  <si>
    <t>GHIRARDELLI CHOCOLATE COMPANY</t>
  </si>
  <si>
    <t>W040851.A01</t>
  </si>
  <si>
    <t>W040921.A01</t>
  </si>
  <si>
    <t>ENCORE WIRE</t>
  </si>
  <si>
    <t>W040952.A01</t>
  </si>
  <si>
    <t>LITHIUM NEVADA LLC</t>
  </si>
  <si>
    <t>W040985.A01</t>
  </si>
  <si>
    <t>W040993.A01</t>
  </si>
  <si>
    <t>SYS 1.11-1 Calcium Carbonate / SOLIDSF</t>
  </si>
  <si>
    <t>W040994.A01</t>
  </si>
  <si>
    <t>SYS 1.11-2 Calcium Carbonate / SOLIDSF</t>
  </si>
  <si>
    <t>W040995.A01</t>
  </si>
  <si>
    <t>SYS 1.12-1 Calcium Carbonate / Mid Rang</t>
  </si>
  <si>
    <t>W040996.A01</t>
  </si>
  <si>
    <t>SYS 1.12-2 Calcium Carbonate / Mid Rang</t>
  </si>
  <si>
    <t>W041004.A01</t>
  </si>
  <si>
    <t>SYS 2.11-1 Clay / SOLIDSFLOW® Controll</t>
  </si>
  <si>
    <t>W041005.A01</t>
  </si>
  <si>
    <t>SYS 2.11-2 Clay / SOLIDSFLOW® Controll</t>
  </si>
  <si>
    <t>W041006.A01</t>
  </si>
  <si>
    <t>SYS 2.12-1 PEERLESS CLAY / Mid Range C</t>
  </si>
  <si>
    <t>W041007.A01</t>
  </si>
  <si>
    <t>SYS 2.12-2 PEERLESS CLAY / Mid Range C</t>
  </si>
  <si>
    <t>W041009.A01</t>
  </si>
  <si>
    <t>SYS 3.01A-1 Resin A / TAC,RESIN ESCOREZ</t>
  </si>
  <si>
    <t>W041010.A01</t>
  </si>
  <si>
    <t>SYS 3.01A-2 Resin A / TAC,RESIN ESCOREZ</t>
  </si>
  <si>
    <t>W041013.A01</t>
  </si>
  <si>
    <t>SYS 3.02A-1 Resin B / TAC,ESCZ 1304 PI</t>
  </si>
  <si>
    <t>W041014.A01</t>
  </si>
  <si>
    <t>SYS 3.02A-2 Resin B / TAC,ESCZ 1304 PI</t>
  </si>
  <si>
    <t>W041017.A01</t>
  </si>
  <si>
    <t>SYS 3.03A-1 Resin C / TAC,RESIN ESCZ</t>
  </si>
  <si>
    <t>W041018.A01</t>
  </si>
  <si>
    <t>SYS 3.03A-2 Resin C / TAC,RESIN ESCZ</t>
  </si>
  <si>
    <t>W041021.A01</t>
  </si>
  <si>
    <t>SYS 3.04A Resin D / TAC,ESCZ 2203LC 50/</t>
  </si>
  <si>
    <t>W041023.A01</t>
  </si>
  <si>
    <t>SYS 4.04B ZOCHEM 103 / Mid Range Coni</t>
  </si>
  <si>
    <t>W041025.A01</t>
  </si>
  <si>
    <t>SYS 4.05A CPW 70 WAX / Mid Range Coni</t>
  </si>
  <si>
    <t>W041027.A01</t>
  </si>
  <si>
    <t>SYS 4.06B Resin E / TAC,HRJ 2765/ Mid</t>
  </si>
  <si>
    <t>W041028.A01</t>
  </si>
  <si>
    <t>SYS 5.01 Naphthenic Processed Oil / Liq</t>
  </si>
  <si>
    <t>W041029.A01</t>
  </si>
  <si>
    <t>SYS 5.02 OIL MARIE LL500 / Liquid SKID</t>
  </si>
  <si>
    <t>W041030.A01</t>
  </si>
  <si>
    <t>SYS 5.03 OIL TPC-1105/PB24 / Liquid SK</t>
  </si>
  <si>
    <t>W041031.A01</t>
  </si>
  <si>
    <t>SYS 5.04 TAC,40708NL / Liquid SKID ASS</t>
  </si>
  <si>
    <t>W041039.A01</t>
  </si>
  <si>
    <t>SYS 6.11-1 Recycle LDPE / Mid Range Co</t>
  </si>
  <si>
    <t>W041040.A01</t>
  </si>
  <si>
    <t>SYS 6.11-2 Recycle LDPE / Mid Range Co</t>
  </si>
  <si>
    <t>W041326.A01</t>
  </si>
  <si>
    <t>SYS 9.02 ENGINEERING DRAWINGS, WHITEWAT</t>
  </si>
  <si>
    <t>W041403.A01</t>
  </si>
  <si>
    <t>W041441.A01</t>
  </si>
  <si>
    <t>W041442.A01</t>
  </si>
  <si>
    <t>SYS 1.01 Mid Range Coni Flex Mechatron</t>
  </si>
  <si>
    <t>W041443.A01</t>
  </si>
  <si>
    <t>SYS 1.02 Mid Range Coni Flex Mechatron</t>
  </si>
  <si>
    <t>W041444.A01</t>
  </si>
  <si>
    <t>W041445.A01</t>
  </si>
  <si>
    <t>W041446.A01</t>
  </si>
  <si>
    <t>W041447.A01</t>
  </si>
  <si>
    <t>SYS 1.06 Low Range Coni Flex Mechatron</t>
  </si>
  <si>
    <t>W041448.A01</t>
  </si>
  <si>
    <t>SYS 1.07 Low Range Coni Flex Mechatron</t>
  </si>
  <si>
    <t>W041449.A01</t>
  </si>
  <si>
    <t>W041450.A01</t>
  </si>
  <si>
    <t>SYS 1.09 Mid Range Coni Flex Mechatron</t>
  </si>
  <si>
    <t>W041451.A01</t>
  </si>
  <si>
    <t>SYS 1.10 Mid Range Coni Flex Mechatron</t>
  </si>
  <si>
    <t>W041538.A01</t>
  </si>
  <si>
    <t>MONDELEZ GLOBAL LLC</t>
  </si>
  <si>
    <t>W041548.A01</t>
  </si>
  <si>
    <t>SYS 1.09B 12LRV3 - Style III Filter</t>
  </si>
  <si>
    <t>W041549.A01</t>
  </si>
  <si>
    <t>SYS 1.09C 12LRV3 - Style III Filter</t>
  </si>
  <si>
    <t>W041550.A01</t>
  </si>
  <si>
    <t>SYS 1.09D 12LRV3 - Style III Filter</t>
  </si>
  <si>
    <t>W041555.A01</t>
  </si>
  <si>
    <t>SYS 1.15 High Range Coni Flex Mechatron</t>
  </si>
  <si>
    <t>W041556.A01</t>
  </si>
  <si>
    <t>SYS 1.16 High Range Coni Flex Mechatron</t>
  </si>
  <si>
    <t>W041557.A01</t>
  </si>
  <si>
    <t>SYS 1.17 High Range Coni Flex Mechatron</t>
  </si>
  <si>
    <t>W041558.A01</t>
  </si>
  <si>
    <t>SYS 1.18 Mid Range Coni Flex Mechatron -</t>
  </si>
  <si>
    <t xml:space="preserve"> K-CL-SFS-KT20 P0000000388.1</t>
  </si>
  <si>
    <t>MOMENTIVE PERFORMANCE MATERIALS INC</t>
  </si>
  <si>
    <t>K-CL-SFS-KT20 P0000000388.1</t>
  </si>
  <si>
    <t>K-VISION II DISPLAY WITH ENCLOSURE</t>
  </si>
  <si>
    <t>MOD-COVER HPPR - REC 0000044699.0001</t>
  </si>
  <si>
    <t>MOD-COVER HPPR - RND 9513-32283.0001</t>
  </si>
  <si>
    <t>W379887.B01</t>
  </si>
  <si>
    <t>FEEDER 101633 PLUS-L</t>
  </si>
  <si>
    <t>MILACRON PLASTICS TECHNOLOGIES</t>
  </si>
  <si>
    <t>W379888.B01</t>
  </si>
  <si>
    <t>FEEDER 101643 PLUS-L</t>
  </si>
  <si>
    <t>W380544.B01</t>
  </si>
  <si>
    <t>ASM,MINI BIN VENT, 04" OUTLET,IND</t>
  </si>
  <si>
    <t>W380601.B01</t>
  </si>
  <si>
    <t>V715249.B02</t>
  </si>
  <si>
    <t>CABLE,4-PAIR IND SHIELD W/DRAIN, 50' LG</t>
  </si>
  <si>
    <t>LASAGNA.ONE INC</t>
  </si>
  <si>
    <t>W372392.B01</t>
  </si>
  <si>
    <t>K2-ML-T35 EXXON MOBIL</t>
  </si>
  <si>
    <t>ADVANCED DRAINAGE SYSTEMS INC</t>
  </si>
  <si>
    <t>V172969.B01</t>
  </si>
  <si>
    <t>BELT,.03THK,TARGET PLT,DEA 300,36 I-D</t>
  </si>
  <si>
    <t>W217630.B01</t>
  </si>
  <si>
    <t>T35/S200 INTERMED GR ASSY</t>
  </si>
  <si>
    <t>V558835.B01</t>
  </si>
  <si>
    <t>HXLMA-0.753201001-007</t>
  </si>
  <si>
    <t>W218435.B01</t>
  </si>
  <si>
    <t>KIT OB KMT80</t>
  </si>
  <si>
    <t>W217168.B01</t>
  </si>
  <si>
    <t>300 DRIVE PULLEY ASSM</t>
  </si>
  <si>
    <t>BELT, T5 815 X 18 DBL SIDE      (COS+)</t>
  </si>
  <si>
    <t>AVERY DENNISON</t>
  </si>
  <si>
    <t>W220535.B01</t>
  </si>
  <si>
    <t>O-RING,ID66.34X2.62 BLK NBR</t>
  </si>
  <si>
    <t>BELLOWS BLG RND DN150 L90 MVQ (COS+)</t>
  </si>
  <si>
    <t>W224697.B01</t>
  </si>
  <si>
    <t>SCREW SAC DR OD58 E100</t>
  </si>
  <si>
    <t>W223333.B01</t>
  </si>
  <si>
    <t>HOPPER FDR SPHER IMP/EPL S60</t>
  </si>
  <si>
    <t>V567161.B01</t>
  </si>
  <si>
    <t>HX6A-2.251200001-024</t>
  </si>
  <si>
    <t>W218745.B01</t>
  </si>
  <si>
    <t>FILTER, 1/8""BSP SINTERED</t>
  </si>
  <si>
    <t>PLASTIC INGENUITY INC</t>
  </si>
  <si>
    <t>V544750.B01</t>
  </si>
  <si>
    <t>HX6A-2.251201001-007</t>
  </si>
  <si>
    <t>V157340.B01</t>
  </si>
  <si>
    <t>NZ6-2.250120000-007</t>
  </si>
  <si>
    <t>LYONDELLBASELL ADVANCED POLYMERS</t>
  </si>
  <si>
    <t>W191608.B01</t>
  </si>
  <si>
    <t>BSP150S    SA FDR STD</t>
  </si>
  <si>
    <t>NESTLE PURINA PETCARE DE COLOMBIA S</t>
  </si>
  <si>
    <t>EXXONMOBIL REFINING &amp; MARKETING</t>
  </si>
  <si>
    <t>V162400.B11</t>
  </si>
  <si>
    <t>COMPACT WEIGH MODULE,DMO,LH,60KG,5"</t>
  </si>
  <si>
    <t>V162400.B12</t>
  </si>
  <si>
    <t>COMPACT WEIGH MODULE,DMO,RH,60KG,5"</t>
  </si>
  <si>
    <t>W334608.B01</t>
  </si>
  <si>
    <t>O-RING,ID60X3 MVQ FDA           (COS+)</t>
  </si>
  <si>
    <t>V924983.B01</t>
  </si>
  <si>
    <t>CTG,HSER,1.0M,24.6SF,STS,EPTFE,3-A,SIL*</t>
  </si>
  <si>
    <t>W361899.B01</t>
  </si>
  <si>
    <t>BRG,BALL 7202B D15/35X11</t>
  </si>
  <si>
    <t>SEAL D=20/35X7BA KT50/80/150   (COS+)</t>
  </si>
  <si>
    <t>W220518.B01</t>
  </si>
  <si>
    <t>V154347.B01</t>
  </si>
  <si>
    <t>BOLT, SHOULDER .50 X 1.25 STEEL</t>
  </si>
  <si>
    <t>TCI CORPORATE</t>
  </si>
  <si>
    <t>V137658.B01</t>
  </si>
  <si>
    <t>SPROCKET, IDLER</t>
  </si>
  <si>
    <t>V161959.B03</t>
  </si>
  <si>
    <t>GEAR,TIMING,ALUMINUM,18 TOOTH,FLANGED</t>
  </si>
  <si>
    <t>EQUISTAR CHEMICAL LP</t>
  </si>
  <si>
    <t>W221818.B01</t>
  </si>
  <si>
    <t>MOTOR DC 1.5HP 180V 1750RPM</t>
  </si>
  <si>
    <t>KIT FLEX CONN 4.50" DIA KM</t>
  </si>
  <si>
    <t>ESENTTIA MASTERBATCH LTDA</t>
  </si>
  <si>
    <t>SA GASKET RING NT-SEAL          (COS-)</t>
  </si>
  <si>
    <t>BELT DR T5 575 X 25            (COS+)</t>
  </si>
  <si>
    <t>KWS SEEDS, LLC</t>
  </si>
  <si>
    <t>V162647.B01</t>
  </si>
  <si>
    <t>BEARING,SPHERICAL,FLNG MNT,.750 DIA SHFT</t>
  </si>
  <si>
    <t>PICK-UP W/PHOENIX CONN K2M  (COS-)</t>
  </si>
  <si>
    <t>CT POLYMERS</t>
  </si>
  <si>
    <t>V771494.B01</t>
  </si>
  <si>
    <t>NZDMMF-3.500B2000010-018</t>
  </si>
  <si>
    <t>W072759.B01</t>
  </si>
  <si>
    <t>NZDMMF-2.250B2000010-018</t>
  </si>
  <si>
    <t>V064080.B01</t>
  </si>
  <si>
    <t>VHM 20100 CONTROL UNIT,PANEL MOUNT</t>
  </si>
  <si>
    <t>SFT-II  FA 90KG N4 W/CABLE      (COS-)</t>
  </si>
  <si>
    <t>W225261.B01</t>
  </si>
  <si>
    <t>BELT, T5 815 X 20  (COS+)</t>
  </si>
  <si>
    <t>POLYMER 5</t>
  </si>
  <si>
    <t>BELT, T5 575 X 25               (COS+)</t>
  </si>
  <si>
    <t>W193131.B01</t>
  </si>
  <si>
    <t>SCR 60MM AC E321 OB K2S60 DR</t>
  </si>
  <si>
    <t>IK PLASTIC COMPOUND MEXICO SA DE CV</t>
  </si>
  <si>
    <t>WESTLAKE COMPOUNDS LLC</t>
  </si>
  <si>
    <t>W270983.B01</t>
  </si>
  <si>
    <t>GASKET RING D200 V-SHAPE SLCN     (COS+)</t>
  </si>
  <si>
    <t>W193702.B01</t>
  </si>
  <si>
    <t>HSG FDR HD CTD BSP135 AL</t>
  </si>
  <si>
    <t>IPR PHARMACEUTICALS INC</t>
  </si>
  <si>
    <t>W225320.B01</t>
  </si>
  <si>
    <t>GEAR SPUR STR CUT W15 T19</t>
  </si>
  <si>
    <t>WATERS CORPORATION</t>
  </si>
  <si>
    <t>W223786.B01</t>
  </si>
  <si>
    <t>AGITATOR-H 2BL SICKLE HDN        (COS+)</t>
  </si>
  <si>
    <t>SCRAPER PROFILE SWB300/600        (COS+)</t>
  </si>
  <si>
    <t>DECEUNINCK NORTH AMERICA</t>
  </si>
  <si>
    <t>W194633.B01</t>
  </si>
  <si>
    <t>KIT SWB300/600 HT LH 24VDC</t>
  </si>
  <si>
    <t>W219585.B01</t>
  </si>
  <si>
    <t>KIT FLEX CONN 12''-14'' DIA</t>
  </si>
  <si>
    <t>JASPER ENG AND  EQUIPMENT</t>
  </si>
  <si>
    <t>W192503.B01</t>
  </si>
  <si>
    <t>HOUSING FDR AL ENP BSP100</t>
  </si>
  <si>
    <t>MOSAIC POTASH COLONSAY ULC</t>
  </si>
  <si>
    <t>V551128.B02</t>
  </si>
  <si>
    <t>HX6A-1.001201001-007,IMPREGLON</t>
  </si>
  <si>
    <t>CONN FLEX SLCN 219(8.62')ID (COS+)</t>
  </si>
  <si>
    <t>GASKET MOLD SCREW SHAFT       (COS+)</t>
  </si>
  <si>
    <t>GASKET MOLD 8XD45 SLCN WHT    (COS+)</t>
  </si>
  <si>
    <t>W375879.B01</t>
  </si>
  <si>
    <t>1/8"NI PLATED BRASS FLOW CONTROL FITTING</t>
  </si>
  <si>
    <t>W375880.B01</t>
  </si>
  <si>
    <t>LINER LIFTING EYEBOLT,M12X50mm,316SS</t>
  </si>
  <si>
    <t>W205156.B01</t>
  </si>
  <si>
    <t>SA GEARBOX BASE UNIT GT BELT</t>
  </si>
  <si>
    <t>W221800.B01</t>
  </si>
  <si>
    <t>MOTOR DC .50HP 180V 1750RPM</t>
  </si>
  <si>
    <t>COV OPEN MUFL 004 TYP 04-5CPE     (COS+)</t>
  </si>
  <si>
    <t>W192116.B01</t>
  </si>
  <si>
    <t>BSP100    SA MOTOR COVER ATEX</t>
  </si>
  <si>
    <t>BELLOWS BLG RND D168.3[6]     (COS+)</t>
  </si>
  <si>
    <t>RONALD MARK ASSOCIATES INC</t>
  </si>
  <si>
    <t>W370333.B01</t>
  </si>
  <si>
    <t>TOOL - SERVICE KIT MAGNETS</t>
  </si>
  <si>
    <t>W378143.B01</t>
  </si>
  <si>
    <t>WINDOW 4" X 23" X 1/16" THK PMMA</t>
  </si>
  <si>
    <t>W195181.B01</t>
  </si>
  <si>
    <t>CLAMP BIO CLAMP FER ID64X17 (COS-)</t>
  </si>
  <si>
    <t>W195434.B01</t>
  </si>
  <si>
    <t>SCREEN SH 3BAR VERT 22X36.5X1</t>
  </si>
  <si>
    <t>W195711.B01</t>
  </si>
  <si>
    <t>O-RING,ID14X1.78 PTFE</t>
  </si>
  <si>
    <t>W193676.B01</t>
  </si>
  <si>
    <t>COVER HPPR RND D86 AUTO 1L/2L</t>
  </si>
  <si>
    <t>W197386.B01</t>
  </si>
  <si>
    <t>AGITATOR-V ARCH MULT 1D 2L</t>
  </si>
  <si>
    <t>W195882.B01</t>
  </si>
  <si>
    <t>SA GEARBOX 1:1 INP BEV KM-T12</t>
  </si>
  <si>
    <t>V154281.B01</t>
  </si>
  <si>
    <t>V138302.B01</t>
  </si>
  <si>
    <t>V161550.B01</t>
  </si>
  <si>
    <t>CTRL,SCR1,N4X,SD,115VAC,90VDC,AUTO</t>
  </si>
  <si>
    <t>W193876.B01</t>
  </si>
  <si>
    <t>FILTER HEPA H14 D=130X285</t>
  </si>
  <si>
    <t>W155062.B01</t>
  </si>
  <si>
    <t>HOPPER,1200 SERIES,PUR,WHITE,INDUST</t>
  </si>
  <si>
    <t>V704033.B14</t>
  </si>
  <si>
    <t>DUST ELBOW ASM,4.50 x 6.625,GRAY</t>
  </si>
  <si>
    <t>V164839.B01</t>
  </si>
  <si>
    <t>QUILL ASSEMBLY,89mm,PURGED</t>
  </si>
  <si>
    <t>BEARING,BRONZE OIL IMPG,.500</t>
  </si>
  <si>
    <t>W224335.B01</t>
  </si>
  <si>
    <t>SHAFT SCREW K2S60</t>
  </si>
  <si>
    <t>V154288.B01</t>
  </si>
  <si>
    <t>SHAFT SEAL</t>
  </si>
  <si>
    <t>V154618.B01</t>
  </si>
  <si>
    <t>SHAFT SEAL .75 ID X 1.125 OD X.150</t>
  </si>
  <si>
    <t>W194018.B01</t>
  </si>
  <si>
    <t>KIT OB ASSY K2S60-SPARE PARTS</t>
  </si>
  <si>
    <t>GOLDEN BARREL PRODUCTS</t>
  </si>
  <si>
    <t>SHAFT AGIT K2T35/S60             (COS+)</t>
  </si>
  <si>
    <t>GUIDE,BELT SW/WF600 COMPLETE    (COS-)</t>
  </si>
  <si>
    <t>RAVAGO MFG AMERICAS LLC</t>
  </si>
  <si>
    <t>W217174.B01</t>
  </si>
  <si>
    <t>HSG BRG  SA IDLER STD/HT/BSD</t>
  </si>
  <si>
    <t>FREEPORT MCMORAN MORENCI INC</t>
  </si>
  <si>
    <t>GCC CEMENTO SA DE CV</t>
  </si>
  <si>
    <t>W369951.B01</t>
  </si>
  <si>
    <t>KQX4 RETROFIT- SERVO MOT. &amp; SFS SCALE</t>
  </si>
  <si>
    <t>V154522.B01</t>
  </si>
  <si>
    <t>BEARING BALL,25mmX52mmX15mm,W/RING RMVD</t>
  </si>
  <si>
    <t>ENCODER BHK 16.05A2000-403983   (COS+)</t>
  </si>
  <si>
    <t>V170296.B01</t>
  </si>
  <si>
    <t>TAKEUP WHEEL ASSY</t>
  </si>
  <si>
    <t>MICHELIN NORTH AMERICA INC</t>
  </si>
  <si>
    <t>V173517.B01</t>
  </si>
  <si>
    <t>BELT,.03THK,TARGET PLATE,DEA 600,60" I-D</t>
  </si>
  <si>
    <t>SWISHER INTL INC</t>
  </si>
  <si>
    <t>ARKEMA INC</t>
  </si>
  <si>
    <t>V551152.B01</t>
  </si>
  <si>
    <t>HX6A-2.251200001-007</t>
  </si>
  <si>
    <t>V154289.B01</t>
  </si>
  <si>
    <t>BEARING,BRONZE OIL IMPG,.688</t>
  </si>
  <si>
    <t>W191583.B01</t>
  </si>
  <si>
    <t>BSPD100 SA LOW RATE DISK</t>
  </si>
  <si>
    <t>W370193.B01</t>
  </si>
  <si>
    <t>TUBE DISCH - HORZ ODV64 FER E100</t>
  </si>
  <si>
    <t>V583868.B01</t>
  </si>
  <si>
    <t>HX6A-1.001200001-043</t>
  </si>
  <si>
    <t>REYNOLDS COMPANY</t>
  </si>
  <si>
    <t>HOLCIM MEXICO OPERACIONES</t>
  </si>
  <si>
    <t>BELLOWS- BLG RND DN100 L90 MVQ  (COS+)</t>
  </si>
  <si>
    <t>W204278.B01</t>
  </si>
  <si>
    <t>V819449.B99</t>
  </si>
  <si>
    <t>*1111* MP,R2,DR,W/G,ISOB,REF</t>
  </si>
  <si>
    <t>MOTOR DC 0.45KW 200V 2000RPM  (COS-)</t>
  </si>
  <si>
    <t>W222315.B01</t>
  </si>
  <si>
    <t>300C IDLER PULLY</t>
  </si>
  <si>
    <t>W193675.B01</t>
  </si>
  <si>
    <t>BELLOWS PLEAT FER RND DN50        (COS+)</t>
  </si>
  <si>
    <t>BRG HIGH TEMP SWB300  (COS-)</t>
  </si>
  <si>
    <t>W220424.B01</t>
  </si>
  <si>
    <t>SKIRTING, RUBBER SWB300  (COS+)</t>
  </si>
  <si>
    <t>V942192.B01</t>
  </si>
  <si>
    <t>HXLMD-0.751201011-014</t>
  </si>
  <si>
    <t>W222478.B01</t>
  </si>
  <si>
    <t>HPPR CYL 10L 2D GBO K2</t>
  </si>
  <si>
    <t>W222481.B01</t>
  </si>
  <si>
    <t>COV HPPR 2D MANUAL EPL K2L</t>
  </si>
  <si>
    <t>GLOBAL ADVANCED METALS USA INC</t>
  </si>
  <si>
    <t>GRAIN CRAFT CORN LLC</t>
  </si>
  <si>
    <t>AM NS CALVERT LLC</t>
  </si>
  <si>
    <t>PHILLIPS 66 COMPANY</t>
  </si>
  <si>
    <t>W190546.B01</t>
  </si>
  <si>
    <t>SEAL PRG K2T60/S100DR</t>
  </si>
  <si>
    <t>PCB ASSY SCL INTFC 3SFT (COS+)</t>
  </si>
  <si>
    <t>BELT TP5MR-815-18-SD      (COS+)</t>
  </si>
  <si>
    <t>W217911.B01</t>
  </si>
  <si>
    <t>K2M      SA BALL BRG 9MM</t>
  </si>
  <si>
    <t>V078800.B01</t>
  </si>
  <si>
    <t>VAI 20100 Analog Input 20mA</t>
  </si>
  <si>
    <t>GEORGIA PACIFIC WOOD PRODUCTS LLC</t>
  </si>
  <si>
    <t>V153140.B01</t>
  </si>
  <si>
    <t>HXMMA-3.501201001-007</t>
  </si>
  <si>
    <t>V173646.B01</t>
  </si>
  <si>
    <t>TRACKER,ROLLER&amp;TENSIONER,DEA 600</t>
  </si>
  <si>
    <t>DR PULLEY CYL CPLG SWB300       (COS-)</t>
  </si>
  <si>
    <t>INTERFACE AMERICAS</t>
  </si>
  <si>
    <t>SFT II  FA 500KG N4 W/O CABLE   (COS-)</t>
  </si>
  <si>
    <t>V150830.B01</t>
  </si>
  <si>
    <t>HXLMA-0.751100101-030</t>
  </si>
  <si>
    <t>ROLLER TRACKING SWB300        (COS+)</t>
  </si>
  <si>
    <t>W191539.B01</t>
  </si>
  <si>
    <t>BSP135 SA STEPPER MOTOR</t>
  </si>
  <si>
    <t>ICL SPECIALTY PRODUCTS INC</t>
  </si>
  <si>
    <t>V154761.B01</t>
  </si>
  <si>
    <t>LOAD CELL, 330 LB, 150 KG POTTED</t>
  </si>
  <si>
    <t>W182286.B01</t>
  </si>
  <si>
    <t>HXMMD-1.384200001-023</t>
  </si>
  <si>
    <t>V149051.B01</t>
  </si>
  <si>
    <t>HX6A-2.251200001-042</t>
  </si>
  <si>
    <t>READING BAKERY SYSTEMS</t>
  </si>
  <si>
    <t>W371514.B01</t>
  </si>
  <si>
    <t>MMC10 Connecting flight</t>
  </si>
  <si>
    <t>W371515.B01</t>
  </si>
  <si>
    <t>MMC10-SI-FE-01-02 Flight extension 1 6mm</t>
  </si>
  <si>
    <t>W371516.B01</t>
  </si>
  <si>
    <t>MMC10-FE-01-04 6mm Flight extension 2</t>
  </si>
  <si>
    <t>W371520.B01</t>
  </si>
  <si>
    <t>PC77-MMC10-SICE3002-01-0 CHAIN</t>
  </si>
  <si>
    <t>D724754.04</t>
  </si>
  <si>
    <t>Loadcell-RTN33t005</t>
  </si>
  <si>
    <t>W116749.B01</t>
  </si>
  <si>
    <t>2-PIECE FIXED BODY BOLTLESS LINER,6/7CMT</t>
  </si>
  <si>
    <t>MERSEN USA</t>
  </si>
  <si>
    <t>FLANGE BRG IDLER PUL SWB300/60  (COS-)</t>
  </si>
  <si>
    <t>W334650.B01</t>
  </si>
  <si>
    <t>BELT SCRAPER PLOW IN SWB600      (COS+)</t>
  </si>
  <si>
    <t>V933015.B01</t>
  </si>
  <si>
    <t>8" OYSTER CON-FLEX SILICONE FL UFL206-AS</t>
  </si>
  <si>
    <t>GEA SYSTEMS NORTH AMERICA LLC</t>
  </si>
  <si>
    <t>V162652.B05</t>
  </si>
  <si>
    <t>HOPPER,152mm,PVC,WHITE,FDA,STATIC DISS.</t>
  </si>
  <si>
    <t>V152921.B01</t>
  </si>
  <si>
    <t>HXMMA-3.001200001-007</t>
  </si>
  <si>
    <t>A SCHULMAN DE MEXICO SA DE CV</t>
  </si>
  <si>
    <t>EVONIK CORPORATION</t>
  </si>
  <si>
    <t>W224951.B01</t>
  </si>
  <si>
    <t>SCR SET CNC 20MM CC STD K2T20</t>
  </si>
  <si>
    <t>W362014.B01</t>
  </si>
  <si>
    <t>GEAR SHAFT KT50/80/150</t>
  </si>
  <si>
    <t>W334686.B01</t>
  </si>
  <si>
    <t>BUSHING KML               (COS-)</t>
  </si>
  <si>
    <t>V152249.B01</t>
  </si>
  <si>
    <t>HXMMA-1.751200001-007</t>
  </si>
  <si>
    <t>V152276.B01</t>
  </si>
  <si>
    <t>HXMMA-1.751201001-007</t>
  </si>
  <si>
    <t>W192697.B01</t>
  </si>
  <si>
    <t>BSP135   SA DISK HALF RATE</t>
  </si>
  <si>
    <t>AGITATOR-H 2BL SICKLE MULT      (COS+)</t>
  </si>
  <si>
    <t>W191518.B01</t>
  </si>
  <si>
    <t>SRPR BSP135</t>
  </si>
  <si>
    <t>DAIRY FARMERS OF AMERICA</t>
  </si>
  <si>
    <t>W380351.B01</t>
  </si>
  <si>
    <t>RETROFIT K2-T35 - SFT - KCM- MOT</t>
  </si>
  <si>
    <t>TOPSOE INC</t>
  </si>
  <si>
    <t>V652730.B01</t>
  </si>
  <si>
    <t>HXMMA-1.381200101-014</t>
  </si>
  <si>
    <t>W190830.B01</t>
  </si>
  <si>
    <t>MOT STEPPER N31</t>
  </si>
  <si>
    <t>V550806.B01</t>
  </si>
  <si>
    <t>HX6A-2.251200001-020</t>
  </si>
  <si>
    <t>V138625.B01</t>
  </si>
  <si>
    <t>QUILL ASSY,DIRECT DRIVE,600</t>
  </si>
  <si>
    <t>V170612.B02</t>
  </si>
  <si>
    <t>HEAD PULLEY ASSEMBLY,300,LSD</t>
  </si>
  <si>
    <t>W380425.B01</t>
  </si>
  <si>
    <t>SCREW TIP GUARD ZB70 FG OR BLK BRL</t>
  </si>
  <si>
    <t>VYBOND SPECIALTY ADHESIVES LLC</t>
  </si>
  <si>
    <t>V145960.B04</t>
  </si>
  <si>
    <t>LOAD CELL,RTN 33T,C5/C4M17.5</t>
  </si>
  <si>
    <t>W190756.B01</t>
  </si>
  <si>
    <t>BSP150S  SA STEPPER MOTOR</t>
  </si>
  <si>
    <t>W225358.B01</t>
  </si>
  <si>
    <t>SCR SEAL THORDON T/S 50-150 KM</t>
  </si>
  <si>
    <t>W223762.B01</t>
  </si>
  <si>
    <t>BSHG BRG&amp;SEAL OUTBOARD T80 KM</t>
  </si>
  <si>
    <t>V631453.B01</t>
  </si>
  <si>
    <t>HX9A-3.001200101-016</t>
  </si>
  <si>
    <t>PEPSICO CANADA ULC (FLC)</t>
  </si>
  <si>
    <t>TOPCOLOR</t>
  </si>
  <si>
    <t>SPCR 15.1/20 DIA X 2 AL K2DR   (COS-)</t>
  </si>
  <si>
    <t>COV FRAME FRONT ABS K2T2/T3/S6 (PAIR)</t>
  </si>
  <si>
    <t>W224585.B01</t>
  </si>
  <si>
    <t>WSHR FLAT M8 K2</t>
  </si>
  <si>
    <t>SEAL DBLLIP SCREW SHAFT   (COS+)</t>
  </si>
  <si>
    <t>V575700.B01</t>
  </si>
  <si>
    <t>HXMMA-0.755101101-024</t>
  </si>
  <si>
    <t>FORMOSA PLASTICS CORP</t>
  </si>
  <si>
    <t>W188722.B01</t>
  </si>
  <si>
    <t>SLEEVE CPLG 27SR</t>
  </si>
  <si>
    <t>W192049.B01</t>
  </si>
  <si>
    <t>BSP150S  SA SAM VERSION</t>
  </si>
  <si>
    <t>REWORLD UNION LLC</t>
  </si>
  <si>
    <t>W193806.B01</t>
  </si>
  <si>
    <t>BELLOWS BLG RND DN400</t>
  </si>
  <si>
    <t>CLOROX SERVICES CO</t>
  </si>
  <si>
    <t>W210506.B01</t>
  </si>
  <si>
    <t>SCREW TAC DR OD36 E525 K2T35</t>
  </si>
  <si>
    <t>V043331.B02</t>
  </si>
  <si>
    <t>base plate MC800, hard coated   (4G)</t>
  </si>
  <si>
    <t>V049332.B02</t>
  </si>
  <si>
    <t>flange MC800 hardcoated cpl. (4.Gen)</t>
  </si>
  <si>
    <t>W380416.B01</t>
  </si>
  <si>
    <t>ROPE,SEALING SC-024-01-07</t>
  </si>
  <si>
    <t>PERMATEX INC</t>
  </si>
  <si>
    <t>V730237.B12</t>
  </si>
  <si>
    <t>WEIGH MODULE,MID,300KG,304,Ex</t>
  </si>
  <si>
    <t>V558456.B01</t>
  </si>
  <si>
    <t>HX9A-3.001200101-012</t>
  </si>
  <si>
    <t>V583442.B01</t>
  </si>
  <si>
    <t>HXLMD-1.001201001-024</t>
  </si>
  <si>
    <t>V165897.B01</t>
  </si>
  <si>
    <t>SHAFT,T-DRIVE ASSEMBLY,BALL BRG.</t>
  </si>
  <si>
    <t>NIRON MAGNETICS INC</t>
  </si>
  <si>
    <t>W224896.B01</t>
  </si>
  <si>
    <t>SCREW TSC D OD20 E0 KCLKT20</t>
  </si>
  <si>
    <t>W222190.B01</t>
  </si>
  <si>
    <t>HOPPER,10L 2.2D SS316L SG</t>
  </si>
  <si>
    <t>W217627.B01</t>
  </si>
  <si>
    <t>KT35  SA GRBX RED A 3.23:1</t>
  </si>
  <si>
    <t>W217194.B01</t>
  </si>
  <si>
    <t>SA INLET SLIDE GATE SQ SWB300N (COS-)</t>
  </si>
  <si>
    <t>W193150.B01</t>
  </si>
  <si>
    <t>K2S60 QC SA FDR MOD IMPR/GBO</t>
  </si>
  <si>
    <t>W219606.B01</t>
  </si>
  <si>
    <t>KIT FLEX CONN 2.37'' KCLKT20</t>
  </si>
  <si>
    <t>W273388.B01</t>
  </si>
  <si>
    <t>BOOT INNER M2 ASSY PV</t>
  </si>
  <si>
    <t>BELLOWS,BLG-RND 2""OD TUBE        (COS+)</t>
  </si>
  <si>
    <t>V140723.B01</t>
  </si>
  <si>
    <t>NZZL,1.75,BTM DSCHRG,TEFLON LINED</t>
  </si>
  <si>
    <t>Shaft sealing ring      35x62x8</t>
  </si>
  <si>
    <t>GYPSUM TECHNOLOGIES INC</t>
  </si>
  <si>
    <t>Sleeve for drive shaft  30/35x50</t>
  </si>
  <si>
    <t>E020550.27</t>
  </si>
  <si>
    <t>Sealing ring 8-16-5 EPDM A-KL 65-00</t>
  </si>
  <si>
    <t>V019192.B01</t>
  </si>
  <si>
    <t>coupling Rotex w. pole wheel S160/150t</t>
  </si>
  <si>
    <t>V048474.B04</t>
  </si>
  <si>
    <t>Coupling star  64ShD (GS38-GS)MCS160-150</t>
  </si>
  <si>
    <t>V723625.B02</t>
  </si>
  <si>
    <t>Mot-D 3,7 kW 460V/60Hz DRN100L4/FT   SEW</t>
  </si>
  <si>
    <t>FILTER HEPA H14 D=130X285  (COS+)</t>
  </si>
  <si>
    <t>V653852.B01</t>
  </si>
  <si>
    <t>HXMMA-3.002200101-014</t>
  </si>
  <si>
    <t>V927460.B01</t>
  </si>
  <si>
    <t>FELT SEAL 9.6MM X 18MM FOR 8"</t>
  </si>
  <si>
    <t>ISP CHEMICALS LLC</t>
  </si>
  <si>
    <t>W192214.B01</t>
  </si>
  <si>
    <t>SCR 60MM AF E200 K2S60-DR</t>
  </si>
  <si>
    <t>PNEU-TECH SYSTEMS LIMITED</t>
  </si>
  <si>
    <t>W211411.B01</t>
  </si>
  <si>
    <t>SCREW TCC DR OD37 E80 K2T35</t>
  </si>
  <si>
    <t>V700323.B01</t>
  </si>
  <si>
    <t>ACTUATOR, 180 DEG, KINETROL</t>
  </si>
  <si>
    <t>HEARTLAND PET FOOD MFG INDIANA LLC</t>
  </si>
  <si>
    <t>W013820.B03</t>
  </si>
  <si>
    <t>Gearbox P531SPSS0050ME (NEMA143TC), i=5</t>
  </si>
  <si>
    <t>HM US CEMENT LLC</t>
  </si>
  <si>
    <t>V146130.B01</t>
  </si>
  <si>
    <t>TRANSMISSION ASSY,S60</t>
  </si>
  <si>
    <t>W141944.B02</t>
  </si>
  <si>
    <t>HXMMD-1.001201001-035, IMPREGLON COATING</t>
  </si>
  <si>
    <t>AERO AGGREGATES</t>
  </si>
  <si>
    <t>W377953.B01</t>
  </si>
  <si>
    <t>DRIVE PULLEY</t>
  </si>
  <si>
    <t>BROWN PIKE CTY LLC</t>
  </si>
  <si>
    <t>POLYVEL</t>
  </si>
  <si>
    <t>REINHOLD ELECTRIC INC</t>
  </si>
  <si>
    <t>W194806.B01</t>
  </si>
  <si>
    <t>K2S60 QC SA FDR MODULE #8/GBO</t>
  </si>
  <si>
    <t>V152583.B01</t>
  </si>
  <si>
    <t>HXMMA-2.251200001-014</t>
  </si>
  <si>
    <t>V702376.B01</t>
  </si>
  <si>
    <t>NZMMF-2.250120000-014</t>
  </si>
  <si>
    <t>NZMMF-2.250121000-021</t>
  </si>
  <si>
    <t>V159989.B01</t>
  </si>
  <si>
    <t>NZMMF-2.250121000-012</t>
  </si>
  <si>
    <t>W212282.B01</t>
  </si>
  <si>
    <t>GEARBOX,NEMA CAF49-K5-56  (COS-)</t>
  </si>
  <si>
    <t>W365803.B01</t>
  </si>
  <si>
    <t>SCREW - TAF D OD20 E200 OB OAL572</t>
  </si>
  <si>
    <t>W209421.B01</t>
  </si>
  <si>
    <t>TUBE DISCH VERT ID109.5 -E111</t>
  </si>
  <si>
    <t>W209930.B01</t>
  </si>
  <si>
    <t>SCREW SAC DR OD90 E196.5 S100</t>
  </si>
  <si>
    <t>W209376.B01</t>
  </si>
  <si>
    <t>SCREW TAF DR OD58 E100 K2T60</t>
  </si>
  <si>
    <t>V670370.B01</t>
  </si>
  <si>
    <t>NZDMMF-2.25092003010-012</t>
  </si>
  <si>
    <t>D&amp;W FINE PACK</t>
  </si>
  <si>
    <t>W197687.B01</t>
  </si>
  <si>
    <t>SCR 78MM AC E100 EPL K2S100 DR</t>
  </si>
  <si>
    <t>FOSTER LLC</t>
  </si>
  <si>
    <t>V606316.B01</t>
  </si>
  <si>
    <t>HXMMD-3.001200111-017</t>
  </si>
  <si>
    <t>FLEX CONN DN250 SILICONE  (COS+)</t>
  </si>
  <si>
    <t>W194040.B01</t>
  </si>
  <si>
    <t>TUBE V 50MM E200 EPL K2S60</t>
  </si>
  <si>
    <t>W224906.B01</t>
  </si>
  <si>
    <t>SCR SET 12MM AC E50 KCLKT20</t>
  </si>
  <si>
    <t>NUCOR STEEL BRANDENBURG</t>
  </si>
  <si>
    <t>EQUISTAR</t>
  </si>
  <si>
    <t>W192311.B01</t>
  </si>
  <si>
    <t>SCR 58MM AC STD IMPREG K2T60DR</t>
  </si>
  <si>
    <t>W197672.B01</t>
  </si>
  <si>
    <t>TUBE DISCH STD V IMPREG K2T60</t>
  </si>
  <si>
    <t>V811508.B01</t>
  </si>
  <si>
    <t>GEARBOX ASSY, HELIX, DR, MRCF, 56C, 15:1</t>
  </si>
  <si>
    <t>W192412.B01</t>
  </si>
  <si>
    <t>GUIDE FLEXIBLE POLY BSP150S</t>
  </si>
  <si>
    <t>W220891.B01</t>
  </si>
  <si>
    <t>PUL 90T T5P 32MM STEP 26B</t>
  </si>
  <si>
    <t>W220888.B01</t>
  </si>
  <si>
    <t>GEAR SPUR 75T/3M 25B NYLATRON   (COS+)</t>
  </si>
  <si>
    <t>Admix J Breather Tube</t>
  </si>
  <si>
    <t>Admix I Breather Tubes</t>
  </si>
  <si>
    <t>Feeder Swivel Support Bracket</t>
  </si>
  <si>
    <t>W334641.B01</t>
  </si>
  <si>
    <t>PRLGRM 60/90/120 SFT K2G*D        (COS-)</t>
  </si>
  <si>
    <t>W190672.B97</t>
  </si>
  <si>
    <t>PCB ASSY 1600W DRIVE KCM - DEFECT</t>
  </si>
  <si>
    <t>W194768.B97</t>
  </si>
  <si>
    <t>KCM-II CPU BOARD W/LCD DIS - DEFECT</t>
  </si>
  <si>
    <t>V163777.B01</t>
  </si>
  <si>
    <t>MOTOR,BAL,1.0HP,AC,EXPLOSION PROOF</t>
  </si>
  <si>
    <t>W378752.B01</t>
  </si>
  <si>
    <t>V154517.B01</t>
  </si>
  <si>
    <t>BEARING,BRONZE OILUBE,1.00</t>
  </si>
  <si>
    <t>USISCO INC</t>
  </si>
  <si>
    <t>V137416.B01</t>
  </si>
  <si>
    <t>WASHER,SPROCKET</t>
  </si>
  <si>
    <t>V172643.B01</t>
  </si>
  <si>
    <t>SENSiQ Elastomer Mount (SEM) 0.50t</t>
  </si>
  <si>
    <t>SENSORYEFFECTS CEREAL SYSTEMS INC</t>
  </si>
  <si>
    <t>W361818.B01</t>
  </si>
  <si>
    <t>GEARBOX "A" RED K-PH-KT20 +50</t>
  </si>
  <si>
    <t>W362243.B01</t>
  </si>
  <si>
    <t>SCR CC D=37 PHARMA E250 K2T35</t>
  </si>
  <si>
    <t>GRE HERC SERVICES LLC</t>
  </si>
  <si>
    <t>INGENIERIA Y CONTROL DE INSTRUMENTO</t>
  </si>
  <si>
    <t>V807647.B01</t>
  </si>
  <si>
    <t>HXHMD-3.501200001-012</t>
  </si>
  <si>
    <t>V713058.B01</t>
  </si>
  <si>
    <t>O-RING,249.3IDX5.73,SILICONE *</t>
  </si>
  <si>
    <t>V307530.B01</t>
  </si>
  <si>
    <t>PACKING,1/4" SQ TEFLON WHITE *</t>
  </si>
  <si>
    <t>LB</t>
  </si>
  <si>
    <t>SCALE REBUILD - REPAIR</t>
  </si>
  <si>
    <t>S60 FEEDER UPGRADE</t>
  </si>
  <si>
    <t>W259379.B97</t>
  </si>
  <si>
    <t>W259379.B99</t>
  </si>
  <si>
    <t>BEARING,BALL,1.375 OD X .625 ID</t>
  </si>
  <si>
    <t>V154280.B01</t>
  </si>
  <si>
    <t>BEARING,BALL 2.953 OD X 1.772 ID</t>
  </si>
  <si>
    <t>QUIKRETE</t>
  </si>
  <si>
    <t>VARTEGA INC</t>
  </si>
  <si>
    <t>S160 Repair</t>
  </si>
  <si>
    <t>AMERICAN GYPSUM</t>
  </si>
  <si>
    <t>SYENSQO</t>
  </si>
  <si>
    <t>PITMAN REPAIR TO CUSTOMER</t>
  </si>
  <si>
    <t>2610 KCM 1600 DRIVE BD - REPAIR</t>
  </si>
  <si>
    <t>32981 KCM II CPU BOARD WILCD - REPAIR</t>
  </si>
  <si>
    <t>COVIA SOLUTIONS</t>
  </si>
  <si>
    <t>DEMOPLDER -  REPAIR</t>
  </si>
  <si>
    <t>RT KUNTZ COMPANY</t>
  </si>
  <si>
    <t>ROCKWELL AUTOMATION INC</t>
  </si>
  <si>
    <t>NEWLIGHT TECHNOLOGIES INC</t>
  </si>
  <si>
    <t>3M</t>
  </si>
  <si>
    <t>GERBER PRODUCTS</t>
  </si>
  <si>
    <t>604 Series Feeder Rebuild Repair</t>
  </si>
  <si>
    <t>GERDAU AMERISTEEL</t>
  </si>
  <si>
    <t>Dual Drive Volumetric DC Drive Ctrl Repa</t>
  </si>
  <si>
    <t>W193832.B97</t>
  </si>
  <si>
    <t xml:space="preserve"> KCM-II A COVER KEYPAD DSPL - DEFECTIVE</t>
  </si>
  <si>
    <t>W211391.B97</t>
  </si>
  <si>
    <t>PCB KCM-III-KD CPU W/ LCD DSPL - DEFECTI</t>
  </si>
  <si>
    <t>Exploded view drawings and instructions</t>
  </si>
  <si>
    <t>W226706.B01</t>
  </si>
  <si>
    <t>ENCODER</t>
  </si>
  <si>
    <t>FAN BEARING HOUSING REPAIR</t>
  </si>
  <si>
    <t>LONE STAR INDUSTRIES INC</t>
  </si>
  <si>
    <t>9528-30260 FEED SCREW Repair</t>
  </si>
  <si>
    <t>PROGRESSIVE MATERIALS</t>
  </si>
  <si>
    <t>Update Mechanincal drawings W182423.B01</t>
  </si>
  <si>
    <t>PSP2816-1.1 SWB300 AUTO INLET GATE</t>
  </si>
  <si>
    <t>SCREW FLT ASSY MTF-02-01 SPO WD1.05205</t>
  </si>
  <si>
    <t>ST LAWRENCE CEMENT</t>
  </si>
  <si>
    <t>SCREW FLT ASSY -SPO-WD1.05205- MTF-02-02</t>
  </si>
  <si>
    <t>ASSY AGITATOR ARM SPO-STD-18-038</t>
  </si>
  <si>
    <t xml:space="preserve"> SHAFT ASSY</t>
  </si>
  <si>
    <t>AGITATOR TIP</t>
  </si>
  <si>
    <t xml:space="preserve"> PART GUIDING GIB C1 SPO-STD-18-044</t>
  </si>
  <si>
    <t>V168943.B01</t>
  </si>
  <si>
    <t>CONTROL,N1,REM,TPP,AUTO,220,SD,90DC</t>
  </si>
  <si>
    <t>ASC ENGINEERED SOLUTIONS</t>
  </si>
  <si>
    <t>V138745.B01</t>
  </si>
  <si>
    <t>LOADCELL, 11 LB, 5 KG</t>
  </si>
  <si>
    <t>SFT II  FA 60KG N4 W/CABLE (COS-)</t>
  </si>
  <si>
    <t>KTRON TWIN SCREW FEEDER</t>
  </si>
  <si>
    <t>AMPACET CHILE LTDA</t>
  </si>
  <si>
    <t>V165613.B01</t>
  </si>
  <si>
    <t>BEARING,80mmx125mmx22mm LG</t>
  </si>
  <si>
    <t>USG CORP</t>
  </si>
  <si>
    <t>W225383.B01</t>
  </si>
  <si>
    <t>300/600 DUST COVER DRV. BRG</t>
  </si>
  <si>
    <t>W225430.B01</t>
  </si>
  <si>
    <t>3/600 IDLER BEARING DUST CVR</t>
  </si>
  <si>
    <t>W222016.B01</t>
  </si>
  <si>
    <t>AGIT SPACER TUBE K2T35/S6 DR      (COS+)</t>
  </si>
  <si>
    <t>W220539.B01</t>
  </si>
  <si>
    <t>SEAL PLUG HPPR NON AG K2T2T3S6</t>
  </si>
  <si>
    <t>LIP SEAL NT D20/36X0.8 (COS+)</t>
  </si>
  <si>
    <t>AUXIPLAST INC</t>
  </si>
  <si>
    <t>W223594.B01</t>
  </si>
  <si>
    <t>SCREW TAC D OD20 E0</t>
  </si>
  <si>
    <t>W223785.B01</t>
  </si>
  <si>
    <t>RTNR AGITATOR D20X127.5 KT20</t>
  </si>
  <si>
    <t>SEAL LIP SCREW SHAFT          (COS+)</t>
  </si>
  <si>
    <t>W225262.B01</t>
  </si>
  <si>
    <t>SYLVAIN SEGUIN FD PLASTIQUES CANADA</t>
  </si>
  <si>
    <t>W221106.B01</t>
  </si>
  <si>
    <t>SCR PAN PH M4X.7X8 D7985A SST</t>
  </si>
  <si>
    <t>SCREW SEAL DBLLIP AG-H K2T35DR    (COS+)</t>
  </si>
  <si>
    <t>W216991.B01</t>
  </si>
  <si>
    <t>KEY,PARALLEL A 4X4X18</t>
  </si>
  <si>
    <t>W217029.B01</t>
  </si>
  <si>
    <t>SCREW,SET 304SS FLT M4-0.7X12</t>
  </si>
  <si>
    <t>HXHMD-5.002200101-035</t>
  </si>
  <si>
    <t>W099513.B01</t>
  </si>
  <si>
    <t>HXMMD-1.001200101-013</t>
  </si>
  <si>
    <t>ASAMA COLDWATER MFG</t>
  </si>
  <si>
    <t>ORREX PLASTICS COMPANY LLC</t>
  </si>
  <si>
    <t>W020382.B01</t>
  </si>
  <si>
    <t>Brg Inner Ring 20 x 25 x 26.5 c/w Oil Ho</t>
  </si>
  <si>
    <t>AGIT 2 BLADE HDN EPL K2T2T3S6 (COS+)</t>
  </si>
  <si>
    <t>W193285.B01</t>
  </si>
  <si>
    <t>DISCH TUBE VERT T35 +150</t>
  </si>
  <si>
    <t>W212232.B01</t>
  </si>
  <si>
    <t>AGITATOR-V ARCH SGL V-RING</t>
  </si>
  <si>
    <t>SEAL LIP NT D43/30X1  (COS+)</t>
  </si>
  <si>
    <t>DISK SCREW SEAL D43.2/35X3 MVQ (COS+)</t>
  </si>
  <si>
    <t>V166418.B04</t>
  </si>
  <si>
    <t>SUSPENSION KIT,8.0"LGX2.0"DIA</t>
  </si>
  <si>
    <t>USG MEXICO SA DE CV</t>
  </si>
  <si>
    <t>INEOS OLEFINS AND POLYMERS USA</t>
  </si>
  <si>
    <t>REWORLD FAIRFAX INC</t>
  </si>
  <si>
    <t>KOBO PRODUCTS INC</t>
  </si>
  <si>
    <t>OCI ALABAMA LLC</t>
  </si>
  <si>
    <t>GRAIN CRAFT CORN MILLING</t>
  </si>
  <si>
    <t>ROSKAM BAKING</t>
  </si>
  <si>
    <t>PACE DAIRY FOODS</t>
  </si>
  <si>
    <t>HEARTLAND PET FOOD MFG</t>
  </si>
  <si>
    <t>BMCA CEDAR CITY LLC</t>
  </si>
  <si>
    <t>ARM</t>
  </si>
  <si>
    <t>Angie</t>
  </si>
  <si>
    <t>angie.merryfield@coperion.com</t>
  </si>
  <si>
    <t>A/E/M</t>
  </si>
  <si>
    <t>A/E</t>
  </si>
  <si>
    <t>A/M</t>
  </si>
  <si>
    <t>L</t>
  </si>
  <si>
    <t>H</t>
  </si>
  <si>
    <t>SCHMOLDT-BRI</t>
  </si>
  <si>
    <t>HDA</t>
  </si>
  <si>
    <t>ADKISON-HEN</t>
  </si>
  <si>
    <t>Henry</t>
  </si>
  <si>
    <t>henry.adkison@coperion.com</t>
  </si>
  <si>
    <t>JTS</t>
  </si>
  <si>
    <t>SUGGS-JAC</t>
  </si>
  <si>
    <t>Jacob</t>
  </si>
  <si>
    <t>jacob.suggs@coperion.com</t>
  </si>
  <si>
    <t>MERRYFE-ANG</t>
  </si>
  <si>
    <t>W382225.B01</t>
  </si>
  <si>
    <t>W192003.B01</t>
  </si>
  <si>
    <t>SCREW DAF D OD12 E0</t>
  </si>
  <si>
    <t>W381090.B01</t>
  </si>
  <si>
    <t>K2-MV-S60 FEEDER MODULE</t>
  </si>
  <si>
    <t>W375066.B01</t>
  </si>
  <si>
    <t>W380395.B01</t>
  </si>
  <si>
    <t>W380396.B01</t>
  </si>
  <si>
    <t>W380397.B01</t>
  </si>
  <si>
    <t>W380398.B01</t>
  </si>
  <si>
    <t>CONFIGURED K2-MV-S100</t>
  </si>
  <si>
    <t>DDP SPECIALTY ELECTRONIC</t>
  </si>
  <si>
    <t>POST FOODS CANADA INC</t>
  </si>
  <si>
    <t>W381747.B01</t>
  </si>
  <si>
    <t>304/310M FEEDER, QK-DIS, DDRV, METRIC</t>
  </si>
  <si>
    <t>METOX INTERNATIONAL INC</t>
  </si>
  <si>
    <t>V138744.B04</t>
  </si>
  <si>
    <t>SCALE,PLATFORM 6100 SERIES,440LB</t>
  </si>
  <si>
    <t>REWORLD HUNTSVILLE INC</t>
  </si>
  <si>
    <t>W382242.B01</t>
  </si>
  <si>
    <t>310M FEEDER, SNGL-DRV, QK-DIS, METRIC</t>
  </si>
  <si>
    <t>MSC INDUSTRIAL SUPPLY INC</t>
  </si>
  <si>
    <t>W381946.B01</t>
  </si>
  <si>
    <t>K2-MV-T60 E400 MODULE</t>
  </si>
  <si>
    <t>W381511.B01</t>
  </si>
  <si>
    <t>K-ML-SFS-KT20 20L</t>
  </si>
  <si>
    <t>W381510.B01</t>
  </si>
  <si>
    <t>SCREW - TAC DR OD36 E100 FG SW</t>
  </si>
  <si>
    <t>V821537.B01</t>
  </si>
  <si>
    <t>W383438.B01</t>
  </si>
  <si>
    <t>W381638.B01</t>
  </si>
  <si>
    <t>W384541.B01</t>
  </si>
  <si>
    <t>K2-S60 SPARE F1</t>
  </si>
  <si>
    <t>W384542.B01</t>
  </si>
  <si>
    <t>K2-S60 SPARE F2</t>
  </si>
  <si>
    <t>W381855.B01</t>
  </si>
  <si>
    <t>102M FEEDER, INTERNAL CONTROL</t>
  </si>
  <si>
    <t>W071536.B01</t>
  </si>
  <si>
    <t>302M FEEDER, SINGLE DRIVE</t>
  </si>
  <si>
    <t>W381856.B01</t>
  </si>
  <si>
    <t>W381865.B01</t>
  </si>
  <si>
    <t>310M QUICK DISCONNECT SINGLE DRIVE FEEDE</t>
  </si>
  <si>
    <t>V662065.B01</t>
  </si>
  <si>
    <t>V813285.B01</t>
  </si>
  <si>
    <t>V813293.B01</t>
  </si>
  <si>
    <t>V673261.B01</t>
  </si>
  <si>
    <t>W380039.B01</t>
  </si>
  <si>
    <t>W380040.B01</t>
  </si>
  <si>
    <t>W379770.B01</t>
  </si>
  <si>
    <t>SCREW CONVEYOR,SAN,1.38"HX,102"I-D,1.5HP</t>
  </si>
  <si>
    <t>W042122.A01</t>
  </si>
  <si>
    <t>SYS 13.04 K-ML-BSP-135</t>
  </si>
  <si>
    <t>W384134.B01</t>
  </si>
  <si>
    <t>W371286.B01</t>
  </si>
  <si>
    <t>W382125.B01</t>
  </si>
  <si>
    <t>ASSEMBLY - K2-ML-S60 W/REFILL HPPR</t>
  </si>
  <si>
    <t>W381415.B01</t>
  </si>
  <si>
    <t>W382053.B01</t>
  </si>
  <si>
    <t>K-ML-D5-KT20 80L</t>
  </si>
  <si>
    <t>W383402.B01</t>
  </si>
  <si>
    <t>LIGHTFORCE ORTHODONTICS</t>
  </si>
  <si>
    <t>W383739.B01</t>
  </si>
  <si>
    <t>912M FEEDER,SDRV,SANI,QK-DIS,METRIC</t>
  </si>
  <si>
    <t>MAS PASTA LTD</t>
  </si>
  <si>
    <t>W384419.B01</t>
  </si>
  <si>
    <t>PT QLAR PROCESS INDONESIA</t>
  </si>
  <si>
    <t>Cart for S60 Feeder (on casters)</t>
  </si>
  <si>
    <t>V556950.B01</t>
  </si>
  <si>
    <t>HXMMD-3.501201001-024</t>
  </si>
  <si>
    <t>W381918.B01</t>
  </si>
  <si>
    <t>NZDMMF-3.500X2000010-024,X=BTM DSCHRG</t>
  </si>
  <si>
    <t>V564697.B01</t>
  </si>
  <si>
    <t>HXMMD-2.251201001-024</t>
  </si>
  <si>
    <t>W381919.B01</t>
  </si>
  <si>
    <t>NZDMMF-2.250X2000010-024,X=BTM DSCHRG</t>
  </si>
  <si>
    <t>W381920.B01</t>
  </si>
  <si>
    <t>NZDMMF-3.000X2000010-024,X=BTM DSCHRG</t>
  </si>
  <si>
    <t>W078266.B01</t>
  </si>
  <si>
    <t>HXMMD-2.251201011-024</t>
  </si>
  <si>
    <t>V780205.B01</t>
  </si>
  <si>
    <t>NZDMMF-3.000B2000010-024</t>
  </si>
  <si>
    <t>W381927.B01</t>
  </si>
  <si>
    <t>HXMMD-1.381201011-024</t>
  </si>
  <si>
    <t>W382319.B01</t>
  </si>
  <si>
    <t>NZDMMF-1.750B2000010-024</t>
  </si>
  <si>
    <t>V549600.B01</t>
  </si>
  <si>
    <t>HXMMD-3.001201001-060</t>
  </si>
  <si>
    <t>W381923.B01</t>
  </si>
  <si>
    <t>NZDMMF-3.000X2000010-060,X=BTM DSCHRG</t>
  </si>
  <si>
    <t>W381929.B01</t>
  </si>
  <si>
    <t>HXLMD-1.384101001-028</t>
  </si>
  <si>
    <t>W381924.B01</t>
  </si>
  <si>
    <t>NZDLMF-1.375X2000010-028,X=BTM DSCHRG</t>
  </si>
  <si>
    <t>V936663.B01</t>
  </si>
  <si>
    <t>HXLMD-1.001201001-028</t>
  </si>
  <si>
    <t>W381925.B01</t>
  </si>
  <si>
    <t>NZDLMF-1.000X2000010-028,X=BTM DSCHRG</t>
  </si>
  <si>
    <t>V579638.B01</t>
  </si>
  <si>
    <t>HXLMD-0.751200001-024</t>
  </si>
  <si>
    <t>W381926.B01</t>
  </si>
  <si>
    <t>NZDLMF-0.75012000010-024</t>
  </si>
  <si>
    <t>W382267.B01</t>
  </si>
  <si>
    <t>SURFACE ROUGHNESS TEST</t>
  </si>
  <si>
    <t>W382105.B01</t>
  </si>
  <si>
    <t>CONFIG SWB-300-N W/ O'HARA OUTLET</t>
  </si>
  <si>
    <t>W191024.B01</t>
  </si>
  <si>
    <t>W384365.B01</t>
  </si>
  <si>
    <t>CONFIG K-MV-KS60 E1084</t>
  </si>
  <si>
    <t>CG HILL &amp; SONS INC</t>
  </si>
  <si>
    <t>W384374.B01</t>
  </si>
  <si>
    <t>CONFIG K-MV-KS60 E1084 LEFT HAND GEARBOX</t>
  </si>
  <si>
    <t>W206798.B01</t>
  </si>
  <si>
    <t>COVER TRAY TOP HT ID210</t>
  </si>
  <si>
    <t>SHELL CATALYSTS &amp; TECHNOLOGIES</t>
  </si>
  <si>
    <t>W384655.B01</t>
  </si>
  <si>
    <t>W381357.B01</t>
  </si>
  <si>
    <t>610M FEEDER,SDRV,QK-DIS,METRIC</t>
  </si>
  <si>
    <t>INSPECTION CUL</t>
  </si>
  <si>
    <t>W382495.B01</t>
  </si>
  <si>
    <t>MECH,MID,FLEX,SANI,VOL,SDRV,AC</t>
  </si>
  <si>
    <t>K3-HD-ML-D5-V200</t>
  </si>
  <si>
    <t>TO BE SPECIFIED K3-ML-V300</t>
  </si>
  <si>
    <t>PLASTICAL LLC</t>
  </si>
  <si>
    <t>ENG LABOR MTO</t>
  </si>
  <si>
    <t>W381473.B01</t>
  </si>
  <si>
    <t>SWB-300-N-LH REMOTE KCM INLET FLEX</t>
  </si>
  <si>
    <t>W381474.B01</t>
  </si>
  <si>
    <t>SWB-600-N-RH REMOTE KCM INLET FLEX</t>
  </si>
  <si>
    <t>W381472.B01</t>
  </si>
  <si>
    <t>CONFIG K2-ML-D5-S60 110L E400 CKS OB</t>
  </si>
  <si>
    <t>K-ML-D5-KT35 GRAVIMETRIC</t>
  </si>
  <si>
    <t>FREUND INC</t>
  </si>
  <si>
    <t>W383462.B01</t>
  </si>
  <si>
    <t>W369080.B01</t>
  </si>
  <si>
    <t>SCREW TCF DR OD56 E100 OB OAL867.5</t>
  </si>
  <si>
    <t>K-CV-KT20 VOLUMETRIC</t>
  </si>
  <si>
    <t>SAINT-GOBAIN MEXICO SA DE CV</t>
  </si>
  <si>
    <t>W381609.B01</t>
  </si>
  <si>
    <t>W380519.B01</t>
  </si>
  <si>
    <t>K-SFM-275-B FINAL ASSEMBLY</t>
  </si>
  <si>
    <t>W191879.B01</t>
  </si>
  <si>
    <t>SCR 60MM AF E150 K2S60 DR</t>
  </si>
  <si>
    <t>W383043.B01</t>
  </si>
  <si>
    <t>CONVEY SCREW - TAC DR STD OD42 OAL767.5</t>
  </si>
  <si>
    <t>W378561.B01</t>
  </si>
  <si>
    <t>SCREW TAC DR OD36 E300 OB OAL679</t>
  </si>
  <si>
    <t>W381506.B01</t>
  </si>
  <si>
    <t>CONFIGURED K-MV-BSP-150-S</t>
  </si>
  <si>
    <t>FREIGHT INCLUDED - ESTIMATE</t>
  </si>
  <si>
    <t>V383639.B14</t>
  </si>
  <si>
    <t>CHANGE ORDER DOLLARS / NEW PO RECEIVED</t>
  </si>
  <si>
    <t>W164198.B01</t>
  </si>
  <si>
    <t>SYS 9.10-2 Feeder K-ML-D5-KT20 - NaHex</t>
  </si>
  <si>
    <t>SYS 11.09 Feeder K-ML-D5-KT35 - Lean G</t>
  </si>
  <si>
    <t>W382259.B01</t>
  </si>
  <si>
    <t>W149733.B01</t>
  </si>
  <si>
    <t>MECH,MID,FLEX,IND,VOL,SDRV,AC</t>
  </si>
  <si>
    <t>POWDER TECHNOLOGY  INC</t>
  </si>
  <si>
    <t>W382626.B01</t>
  </si>
  <si>
    <t>DEMOLDER,12 ROW,55A 1/2 THK AGTR,115V</t>
  </si>
  <si>
    <t>W384330.B01</t>
  </si>
  <si>
    <t>ASM,BIN DISCHARGER &amp; 12" GATE VALVE</t>
  </si>
  <si>
    <t>K-ML-KT20 GRAVIMETRIC</t>
  </si>
  <si>
    <t>NESTRADE SA</t>
  </si>
  <si>
    <t>K-MV-KT20 VOLUMETRIC</t>
  </si>
  <si>
    <t>W379623.B01</t>
  </si>
  <si>
    <t>K2-ML-S100 - 750L E400</t>
  </si>
  <si>
    <t>W379624.B01</t>
  </si>
  <si>
    <t>K2-ML-S60 - 180L E500</t>
  </si>
  <si>
    <t>W379625.B01</t>
  </si>
  <si>
    <t>K2-ML-D5-T35 - 110L E400</t>
  </si>
  <si>
    <t>W379626.B01</t>
  </si>
  <si>
    <t>K2-ML-D5-T35 - 110L E400 IMP964</t>
  </si>
  <si>
    <t>W379627.B01</t>
  </si>
  <si>
    <t>K2-ML-T60 - 250L E500</t>
  </si>
  <si>
    <t>W379628.B01</t>
  </si>
  <si>
    <t>K2-ML-S100 - 750L E300</t>
  </si>
  <si>
    <t>W379629.B01</t>
  </si>
  <si>
    <t>K2-ML-S60 - 320L E400</t>
  </si>
  <si>
    <t>W379630.B01</t>
  </si>
  <si>
    <t>W379631.B01</t>
  </si>
  <si>
    <t>W379632.B01</t>
  </si>
  <si>
    <t>K2-ML-T60 - 250L E200</t>
  </si>
  <si>
    <t>W379633.B01</t>
  </si>
  <si>
    <t>K2-ML-D5-T35 - 80L E500</t>
  </si>
  <si>
    <t>W379634.B01</t>
  </si>
  <si>
    <t>K2-ML-D5-S60 - 80L E500</t>
  </si>
  <si>
    <t>W379635.B01</t>
  </si>
  <si>
    <t>K2-ML-D5-T35-QC - 110L E400</t>
  </si>
  <si>
    <t>K2-ML-100 L12 F1</t>
  </si>
  <si>
    <t>W379701.B01</t>
  </si>
  <si>
    <t>K2-ML-S60 - 180L E400</t>
  </si>
  <si>
    <t>K2-ML-100 L12 F3</t>
  </si>
  <si>
    <t>W379703.B01</t>
  </si>
  <si>
    <t>K2-ML-T35 - 180L E400</t>
  </si>
  <si>
    <t>W379704.B01</t>
  </si>
  <si>
    <t>K2-ML-D5-S60 - 50L E100</t>
  </si>
  <si>
    <t>W379705.B01</t>
  </si>
  <si>
    <t>W379712.B01</t>
  </si>
  <si>
    <t>K2-ML-S60 - 320L E200</t>
  </si>
  <si>
    <t>W379714.B01</t>
  </si>
  <si>
    <t>K2-ML-S60 - 110L E0</t>
  </si>
  <si>
    <t>W379715.B01</t>
  </si>
  <si>
    <t>K2-ML-S60 - 80L E200</t>
  </si>
  <si>
    <t>W379717.B01</t>
  </si>
  <si>
    <t>K2-ML-D5-T35 - 80L E400</t>
  </si>
  <si>
    <t>W379719.B01</t>
  </si>
  <si>
    <t>K-ML-D5-KT20 - 20L E300</t>
  </si>
  <si>
    <t>W379721.B01</t>
  </si>
  <si>
    <t>K2-ML-D5-S60 - 50L E200</t>
  </si>
  <si>
    <t>W379722.B01</t>
  </si>
  <si>
    <t>K2-ML-D5-T35-QC - 80L E300</t>
  </si>
  <si>
    <t>PSP2816-2.1 - SPARE HOPPER</t>
  </si>
  <si>
    <t>W382667.B01</t>
  </si>
  <si>
    <t>W382610.B01</t>
  </si>
  <si>
    <t>PROPELL (ALBERTA) LTD</t>
  </si>
  <si>
    <t>W382609.B01</t>
  </si>
  <si>
    <t>SCREW - SAF DR OD58 E350 OB OAL718</t>
  </si>
  <si>
    <t>K-TRON - KS60 FEEDER MODULE</t>
  </si>
  <si>
    <t>MATERIAL TRANSFER &amp; STORAGE</t>
  </si>
  <si>
    <t>W384376.B01</t>
  </si>
  <si>
    <t>INFEED CORP</t>
  </si>
  <si>
    <t>W384377.B01</t>
  </si>
  <si>
    <t>CERTIFICATE OF ORIGIN</t>
  </si>
  <si>
    <t>W041627.A01</t>
  </si>
  <si>
    <t>SYS 1.16A 12HMV1 - Style II Filter</t>
  </si>
  <si>
    <t>W041630.A01</t>
  </si>
  <si>
    <t>SYS 2.03A 12HMV1 - Style II Filter</t>
  </si>
  <si>
    <t>W041631.A01</t>
  </si>
  <si>
    <t>SYS 2.03B 12HMV1 - Style II Filter</t>
  </si>
  <si>
    <t>W041636.A01</t>
  </si>
  <si>
    <t>SYS 3.02A 12HMV1 - Style II Filter</t>
  </si>
  <si>
    <t>W041637.A01</t>
  </si>
  <si>
    <t>SYS 3.02B 12HMV1 - Style II Filter</t>
  </si>
  <si>
    <t>W383800.B01</t>
  </si>
  <si>
    <t>W384624.B01</t>
  </si>
  <si>
    <t>TECHMER PM LLC</t>
  </si>
  <si>
    <t>W153673.B01</t>
  </si>
  <si>
    <t>3HP,1800RPM,60HZ,182TD,BALDOR</t>
  </si>
  <si>
    <t>W381321.B01</t>
  </si>
  <si>
    <t>CNTRL:N4,TERSUS,SS,HEATER,VHM,VAI,VAO,PN</t>
  </si>
  <si>
    <t>W381256.B01</t>
  </si>
  <si>
    <t>MOTOR,SEW,9.2KW,460/3/60,215TC,TEFC,DRIP</t>
  </si>
  <si>
    <t>W381542.B01</t>
  </si>
  <si>
    <t>K2-ML-T60</t>
  </si>
  <si>
    <t>K-CV-KT20</t>
  </si>
  <si>
    <t>CCS STOKES INDEX LLC</t>
  </si>
  <si>
    <t>CALIFORNIA NUTRITIONAL PRODUCTS INC</t>
  </si>
  <si>
    <t>W041856.A01</t>
  </si>
  <si>
    <t>D1 RESOURCES</t>
  </si>
  <si>
    <t>W042057.A01</t>
  </si>
  <si>
    <t>SYS 20.07 Supplied Air Extruder Hood,</t>
  </si>
  <si>
    <t>W042063.A01</t>
  </si>
  <si>
    <t>SYS 21.07 Supplied Air Extruder Hood,</t>
  </si>
  <si>
    <t>W033224.A01</t>
  </si>
  <si>
    <t>SYS 9.10 DEA300 Weigh Belt Feede</t>
  </si>
  <si>
    <t>W033481.A01</t>
  </si>
  <si>
    <t>SYS 9.10.2 DEA300 Weigh Belt Feeder</t>
  </si>
  <si>
    <t>W033482.A01</t>
  </si>
  <si>
    <t>SYS 9.10.3 DEA300 Weigh Belt Feeder</t>
  </si>
  <si>
    <t>W033483.A01</t>
  </si>
  <si>
    <t>SYS 9.10.4 DEA300 Weigh Belt Feeder</t>
  </si>
  <si>
    <t>W033484.A01</t>
  </si>
  <si>
    <t>SYS 9.10.5 DEA300 Weigh Belt Feeder</t>
  </si>
  <si>
    <t>W033485.A01</t>
  </si>
  <si>
    <t>SYS 9.10.6 DEA300 Weigh Belt Feeder</t>
  </si>
  <si>
    <t>W033486.A01</t>
  </si>
  <si>
    <t>SYS 9.10.7 DEA300 Weigh Belt Feeder</t>
  </si>
  <si>
    <t>W033487.A01</t>
  </si>
  <si>
    <t>SYS 9.10.8 DEA300 Weigh Belt Feeder</t>
  </si>
  <si>
    <t>W042163.A01</t>
  </si>
  <si>
    <t>SYS 3.03 Feeder Calibration Support (1</t>
  </si>
  <si>
    <t>W041749.A01</t>
  </si>
  <si>
    <t>MCKEE FOODS CORP</t>
  </si>
  <si>
    <t>W041750.A01</t>
  </si>
  <si>
    <t>SYS 4.01 High Range Coni Flex Mechatron</t>
  </si>
  <si>
    <t>W041751.A01</t>
  </si>
  <si>
    <t>SYS 4.02 Mid Range Coni Flex Mechatron</t>
  </si>
  <si>
    <t>W042149.A01</t>
  </si>
  <si>
    <t>KIMBERLY CLARK DE MEXICO SAB DE CV</t>
  </si>
  <si>
    <t>W042154.A01</t>
  </si>
  <si>
    <t>SYS 1.06 K-TRON MODEL K-ML-BSP-150S</t>
  </si>
  <si>
    <t>W383498.B01</t>
  </si>
  <si>
    <t>K2-ML-D5-S60 50L</t>
  </si>
  <si>
    <t>W383499.B01</t>
  </si>
  <si>
    <t>K-CL-SFS-KT20 E200</t>
  </si>
  <si>
    <t>W383500.B01</t>
  </si>
  <si>
    <t>K2-ML-D5-T35 50L E400</t>
  </si>
  <si>
    <t>W383501.B01</t>
  </si>
  <si>
    <t>K2-ML-D5-T35 50L E0</t>
  </si>
  <si>
    <t>STAND1</t>
  </si>
  <si>
    <t>STAND2</t>
  </si>
  <si>
    <t>W378238.B01</t>
  </si>
  <si>
    <t>K-ML-D5-P HTD POLYMER 1</t>
  </si>
  <si>
    <t>W378240.B01</t>
  </si>
  <si>
    <t>K-CL-SFS-P PLASTICIZER</t>
  </si>
  <si>
    <t>W378241.B01</t>
  </si>
  <si>
    <t>K-CL-SFS-P HTD CATALYST</t>
  </si>
  <si>
    <t>W378239.B01</t>
  </si>
  <si>
    <t>K-ML-D5-P HTD POLYMER 2</t>
  </si>
  <si>
    <t>W041691.A01</t>
  </si>
  <si>
    <t>SYS 0.02 ENG FOR MODELS AND APPROVAL D</t>
  </si>
  <si>
    <t>W041692.A01</t>
  </si>
  <si>
    <t>W041693.A01</t>
  </si>
  <si>
    <t>SYS 2.04.25 T35, DR, E200 FEED MODULE</t>
  </si>
  <si>
    <t>SYS 3.01.25 S100, DR 8:4:1,E200 FEED MOD</t>
  </si>
  <si>
    <t>SYS 3.02.25 S60, DR, E200 FEED MODULE</t>
  </si>
  <si>
    <t>SYS 3.03.25 T35, DR, E200 FEED MODULE</t>
  </si>
  <si>
    <t>SYS 3.04.25 T35, DR, E200 FEED MODULE</t>
  </si>
  <si>
    <t>SYS 4.01.25 S100, DR 8:4:1,E200 FEED MOD</t>
  </si>
  <si>
    <t>SYS 4.02.25 S60, DR, E200 FEED MODULE</t>
  </si>
  <si>
    <t>SYS 4.03.25 T35, DR, E200 FEED MODULE</t>
  </si>
  <si>
    <t>SYS 4.04.25 S60, DR, E200 FEED MODULE</t>
  </si>
  <si>
    <t>SYS 4.05.25 S60, DR, E200 FEED MODULE</t>
  </si>
  <si>
    <t>SYS 5.01.25 S100, DR 8:4:1, E200 FEED MO</t>
  </si>
  <si>
    <t>SYS 5.02.25 S60, DR, E200 FEED MODULE</t>
  </si>
  <si>
    <t>SYS 5.03.25 T35, DR, E200 FEED MODULE</t>
  </si>
  <si>
    <t>SYS 5.04.25 S60, DR, E200 FEED MODULE</t>
  </si>
  <si>
    <t>SYS 5.05.25 S60, DR, E200 FEED MODULE</t>
  </si>
  <si>
    <t>SYS 6.01.25 S60, DR, E200 FEED MODULE</t>
  </si>
  <si>
    <t>SYS 7.01.25 S100, DR 8:4:1,E200 FEED MOD</t>
  </si>
  <si>
    <t>SYS 7.02.25 T35, DR, E200 FEED MODULE</t>
  </si>
  <si>
    <t>SYS 7.03.25 S60, DR, E200 FEED MODULE</t>
  </si>
  <si>
    <t>SYS 9.01.25 S100, DR 8:4:1,E200 FEED MOD</t>
  </si>
  <si>
    <t>SYS 9.02.25 T35, DR, E200 FEED MODULE</t>
  </si>
  <si>
    <t>SYS 9.03.25 S60, DR, E200 FEED MODULE</t>
  </si>
  <si>
    <t>SYS 9.04.25 S60, DR, E200 FEED MODULE</t>
  </si>
  <si>
    <t>SYS 10.01.25 S100,DR 8:4:1,E200 FEED MOD</t>
  </si>
  <si>
    <t>SYS 10.02.25 T35, DR, E200 FEED MODULE</t>
  </si>
  <si>
    <t>SYS 10.03.25 S60, DR, E200 FEED MODULE</t>
  </si>
  <si>
    <t>HOLCIM EL SALVADOR S.A. DE C.V.</t>
  </si>
  <si>
    <t>K-MV-KT20</t>
  </si>
  <si>
    <t>AMPHASTAR PHARMACEUTICALS</t>
  </si>
  <si>
    <t>IKO NORTHEAST INC</t>
  </si>
  <si>
    <t>CEMENTOS CRUZ AZUL</t>
  </si>
  <si>
    <t>COOPERATIVA LA CRUZ AZUL, S.C.L.</t>
  </si>
  <si>
    <t>GOLDEN VALLEY ELECTRIC ASSOC</t>
  </si>
  <si>
    <t>FREIGHT PPD&amp; TO BILL R&amp;L 4136 02-27-26</t>
  </si>
  <si>
    <t>CHEMICAL RESEARCH/TECHNOLGOY</t>
  </si>
  <si>
    <t>FRT PPD &amp; TO BILL DOHRN 7770 3.3.26</t>
  </si>
  <si>
    <t>THERMOFLEX CORPORATION</t>
  </si>
  <si>
    <t>V041742.B01</t>
  </si>
  <si>
    <t>Tooth flat belt 2590 14M-85</t>
  </si>
  <si>
    <t>V168557.B07</t>
  </si>
  <si>
    <t>CONNECTOR,FLEXIBLE 10"DIAX18"LONG W/CLMP</t>
  </si>
  <si>
    <t>TARA FOODS</t>
  </si>
  <si>
    <t>W220179.B01</t>
  </si>
  <si>
    <t>CLAMP V D254 (2.2D) SST316L EP    (COS-)</t>
  </si>
  <si>
    <t>SEKISUI KYDEX, LLC</t>
  </si>
  <si>
    <t>V583690.B01</t>
  </si>
  <si>
    <t>HXMMD-3.001200001-007</t>
  </si>
  <si>
    <t>V601695.B01</t>
  </si>
  <si>
    <t>HXMMD-1.751200001-007</t>
  </si>
  <si>
    <t>V602373.B01</t>
  </si>
  <si>
    <t>HXMMD-1.381200001-007</t>
  </si>
  <si>
    <t>V153127.B01</t>
  </si>
  <si>
    <t>HXMMA-3.501200001-007</t>
  </si>
  <si>
    <t>V537925.B01</t>
  </si>
  <si>
    <t>HXMMD-2.251200001-007</t>
  </si>
  <si>
    <t>V153405.B01</t>
  </si>
  <si>
    <t>HXMMD-1.751201001-007</t>
  </si>
  <si>
    <t>V569983.B01</t>
  </si>
  <si>
    <t>HXMMD-1.751200011-007</t>
  </si>
  <si>
    <t>V609644.B01</t>
  </si>
  <si>
    <t>HXMMD-3.501200001-007</t>
  </si>
  <si>
    <t>UNIFORM COLOR CO</t>
  </si>
  <si>
    <t>V159617.B01</t>
  </si>
  <si>
    <t>NZMMF-1.375120000-008</t>
  </si>
  <si>
    <t>TEKNI-PLEX INC</t>
  </si>
  <si>
    <t>W191519.B01</t>
  </si>
  <si>
    <t>GUIDE MATERIAL INLET BSP135</t>
  </si>
  <si>
    <t>MEXICHEM SPECIALTY COMPOUNDS INC</t>
  </si>
  <si>
    <t>FIELDSTONE ENERGY LTD</t>
  </si>
  <si>
    <t>BUSS INC</t>
  </si>
  <si>
    <t>V162400.B01</t>
  </si>
  <si>
    <t>COMPACT WEIGH MODULE,DMO,LH,30KG,4"</t>
  </si>
  <si>
    <t>ATLAS SAND COMPANY LLC</t>
  </si>
  <si>
    <t>V165914.B01</t>
  </si>
  <si>
    <t>SPACER,PADDLE,MID-RANGE</t>
  </si>
  <si>
    <t>V165913.B01</t>
  </si>
  <si>
    <t>PADDLE SPACER ASSEMBLY,MID RANGE</t>
  </si>
  <si>
    <t>V155061.B01</t>
  </si>
  <si>
    <t>CONNECTOR, FLEXIBLE 14" DIA X 54" LONG</t>
  </si>
  <si>
    <t>Shim ring            CuZn30   285x200x1</t>
  </si>
  <si>
    <t>AC CATALYSTS INC</t>
  </si>
  <si>
    <t>PBB POLISUR S.R.L.</t>
  </si>
  <si>
    <t>CHELSEA BUILDING PRODUCTS INC</t>
  </si>
  <si>
    <t>W218379.B01</t>
  </si>
  <si>
    <t>SA GEARBOX OUT PIN SPUR  (COS-)</t>
  </si>
  <si>
    <t>CARLISLE CONSTRUCTION MATERIALS LLC</t>
  </si>
  <si>
    <t>V709211.B01</t>
  </si>
  <si>
    <t>HXLMA-1.381200101-018</t>
  </si>
  <si>
    <t>INGENIA POLYMERS INC</t>
  </si>
  <si>
    <t>V590137.B01</t>
  </si>
  <si>
    <t>NZLMF-1.375120000-018</t>
  </si>
  <si>
    <t>V564566.B01</t>
  </si>
  <si>
    <t>HXLMA-0.753200001-007</t>
  </si>
  <si>
    <t>V158956.B01</t>
  </si>
  <si>
    <t>NZLMF-0.750120000-007</t>
  </si>
  <si>
    <t>W382232.B01</t>
  </si>
  <si>
    <t>HXMMA-1.001201001-019</t>
  </si>
  <si>
    <t>V560131.B01</t>
  </si>
  <si>
    <t>HXMMA-1.001200001-019</t>
  </si>
  <si>
    <t>W382233.B01</t>
  </si>
  <si>
    <t>NZDMMF-1.00012000010-019</t>
  </si>
  <si>
    <t>V584468.B01</t>
  </si>
  <si>
    <t>HXMMA-2.251200001-019</t>
  </si>
  <si>
    <t>V829395.B01</t>
  </si>
  <si>
    <t>NZDMMF-2.25012000010-019</t>
  </si>
  <si>
    <t>W140046.B01</t>
  </si>
  <si>
    <t>NZDHMF-3.5",ST DIS,250MM BFM,18"FFOF,316</t>
  </si>
  <si>
    <t>W196224.B01</t>
  </si>
  <si>
    <t>SEAL RND D130.5X10</t>
  </si>
  <si>
    <t>CHURCH &amp; DWIGHT CO INC</t>
  </si>
  <si>
    <t>W196225.B01</t>
  </si>
  <si>
    <t>DISK STOPPER D134X18</t>
  </si>
  <si>
    <t>V172436.B02</t>
  </si>
  <si>
    <t>QUILL ASSEMBLY,LOW RANGE,316SS</t>
  </si>
  <si>
    <t>ADVANCED MATERIALS &amp; CATALYSTS LLC</t>
  </si>
  <si>
    <t>V701266.B01</t>
  </si>
  <si>
    <t>HXLMD-1.387201011-012</t>
  </si>
  <si>
    <t>W220244.B01</t>
  </si>
  <si>
    <t>CPLG,HUB 14MM IEC K2M</t>
  </si>
  <si>
    <t>RISE BAKING COMPANY LLC</t>
  </si>
  <si>
    <t>W375806.B01</t>
  </si>
  <si>
    <t>NZ3-1"HLX,6"OD 150# FLANGE,18"FFOF,316</t>
  </si>
  <si>
    <t>WESTINGHOUSE ELECTRIC</t>
  </si>
  <si>
    <t>V304871.B01</t>
  </si>
  <si>
    <t>CARTRIDGE,235P,3"/4"</t>
  </si>
  <si>
    <t>V154622.B01</t>
  </si>
  <si>
    <t>CONNECTOR, FLEXIBLE 6" DIA X 54" LONG</t>
  </si>
  <si>
    <t>CROSSWIND PETFOODS INC</t>
  </si>
  <si>
    <t>W220898.B01</t>
  </si>
  <si>
    <t>PUL 54T 5MR 36.5MM FLG 20B</t>
  </si>
  <si>
    <t>W219630.B01</t>
  </si>
  <si>
    <t>NEEDLE BRG COMB 25D K2T60DR</t>
  </si>
  <si>
    <t>W219631.B01</t>
  </si>
  <si>
    <t>NEEDLE BRG 25D K2T60DR</t>
  </si>
  <si>
    <t>W223729.B01</t>
  </si>
  <si>
    <t>SHAFT PINION K2T60</t>
  </si>
  <si>
    <t>W224964.B01</t>
  </si>
  <si>
    <t>SCR AUGER 50MM AF STD K2S60</t>
  </si>
  <si>
    <t>CUSTOM RESINS INC</t>
  </si>
  <si>
    <t>W223055.B01</t>
  </si>
  <si>
    <t>TUBE DISCH V K2S60/50 STD GBO</t>
  </si>
  <si>
    <t>V172969.B02</t>
  </si>
  <si>
    <t>BELT,.03THK,TARGET PLT,DEA 300,48 I-D</t>
  </si>
  <si>
    <t>FIRST QUALITY BABY PRODUCTS</t>
  </si>
  <si>
    <t>MYLAR SPECIALTY FILMS</t>
  </si>
  <si>
    <t>UNISEA</t>
  </si>
  <si>
    <t>V785252.B01</t>
  </si>
  <si>
    <t>HOSE,1/4"MNPT X 1/4"MNPT,5FT9IN,NITROGEN</t>
  </si>
  <si>
    <t>W165108.B01</t>
  </si>
  <si>
    <t>HXMMD-2.251201001-044</t>
  </si>
  <si>
    <t>V161914.B08</t>
  </si>
  <si>
    <t>HOPPER,89mm,PUR,WHITE,INDUSTRIAL</t>
  </si>
  <si>
    <t>W054350.B01</t>
  </si>
  <si>
    <t>SENSOR ASSY,FEED,SFM,IFM</t>
  </si>
  <si>
    <t>W383883.B01</t>
  </si>
  <si>
    <t>RETROFIT NEW COVER AGIT &amp; MOTOR JBOX</t>
  </si>
  <si>
    <t>W381130.B01</t>
  </si>
  <si>
    <t>HXMMD-2.254200101-021</t>
  </si>
  <si>
    <t>W381131.B01</t>
  </si>
  <si>
    <t>V665001.B01</t>
  </si>
  <si>
    <t>HXMMD-2.251200101-012</t>
  </si>
  <si>
    <t>V926179.B01</t>
  </si>
  <si>
    <t>FLEXI BAFFLE K800CWHITE FOOD</t>
  </si>
  <si>
    <t>W380771.B01</t>
  </si>
  <si>
    <t>WHEEL,MEASURING,S80 COMPLETE*</t>
  </si>
  <si>
    <t>AMBER WAVE</t>
  </si>
  <si>
    <t>INTERFACIAL</t>
  </si>
  <si>
    <t>V929286.B01</t>
  </si>
  <si>
    <t>SCREEN MINIC  CE1 NYLON 250  W</t>
  </si>
  <si>
    <t>M&amp;G INDUSTRIAL PRODUCTS LLC</t>
  </si>
  <si>
    <t>W361963.B01</t>
  </si>
  <si>
    <t>SEAL CPL PHARMA KT20</t>
  </si>
  <si>
    <t>INSECO</t>
  </si>
  <si>
    <t>HORIZON SYSTEMS</t>
  </si>
  <si>
    <t>W193838.B01</t>
  </si>
  <si>
    <t>SEAL DUAL LIP 1.00/1.75X0.25""</t>
  </si>
  <si>
    <t>W217583.B01</t>
  </si>
  <si>
    <t>GEARBOX RED.B 5.60:1 T20</t>
  </si>
  <si>
    <t>AMERICAN PRODUCERS SUPPLY</t>
  </si>
  <si>
    <t>MTR, DC 450W 200V GRAY WD CS30</t>
  </si>
  <si>
    <t>V739133.B01</t>
  </si>
  <si>
    <t>GSKT,HSER2,DOOR,3-A,SILICONE</t>
  </si>
  <si>
    <t>W381470.B01</t>
  </si>
  <si>
    <t>K2-T35 FEEDER MODULE</t>
  </si>
  <si>
    <t>W195644.B01</t>
  </si>
  <si>
    <t>SA FLAP CHANNEL C (SMALL)         (COS-)</t>
  </si>
  <si>
    <t>W196024.B01</t>
  </si>
  <si>
    <t>GEARBOX RED.A 1:2.683 SPUR</t>
  </si>
  <si>
    <t>W193179.B01</t>
  </si>
  <si>
    <t>SA GEARBOX 15.6:1 WORM KT35  (COS-)</t>
  </si>
  <si>
    <t>W223745.B01</t>
  </si>
  <si>
    <t>SPCR 15/20 DIA X 5.8 AL K2</t>
  </si>
  <si>
    <t>W216773.B01</t>
  </si>
  <si>
    <t>SCREW,304SS SOCHD M8X50/28</t>
  </si>
  <si>
    <t>W216771.B01</t>
  </si>
  <si>
    <t>SCREW,304SS SOCHD M8X1.25X40</t>
  </si>
  <si>
    <t>V689961.B01</t>
  </si>
  <si>
    <t>HX6A-1.381201001-033</t>
  </si>
  <si>
    <t>W361779.B01</t>
  </si>
  <si>
    <t>MOTOR DC .50HP 90V 1750RPM EP</t>
  </si>
  <si>
    <t>V172437.B01</t>
  </si>
  <si>
    <t>QUILL ASSEMBLY,LOW RANGE,NYLON</t>
  </si>
  <si>
    <t>V638808.B01</t>
  </si>
  <si>
    <t>HXLMD-1.001201001-007</t>
  </si>
  <si>
    <t>RICHARDSON MILLING</t>
  </si>
  <si>
    <t>W188872.B01</t>
  </si>
  <si>
    <t>COUPLING SPDR D33.3X52.3.</t>
  </si>
  <si>
    <t>V170257.B06</t>
  </si>
  <si>
    <t>GASKET,3-A,U-CHANNEL,1200</t>
  </si>
  <si>
    <t>V759135.B01</t>
  </si>
  <si>
    <t>GSKT,1/4" U-CHANNEL,BLUE SILICONE*</t>
  </si>
  <si>
    <t>V615645.B01</t>
  </si>
  <si>
    <t>HXMMA-3.001200101-012</t>
  </si>
  <si>
    <t>W216956.B01</t>
  </si>
  <si>
    <t>RET RING SHFT 25X1.2 SS</t>
  </si>
  <si>
    <t>W216998.B01</t>
  </si>
  <si>
    <t>KEY,PARALLEL A 5X5X28</t>
  </si>
  <si>
    <t>W193322.B01</t>
  </si>
  <si>
    <t>SA GEARBOX KM-T80-DR W/O SPU (COS-)</t>
  </si>
  <si>
    <t>CLEXTRAL GROUP S A</t>
  </si>
  <si>
    <t>W333498.B01</t>
  </si>
  <si>
    <t>SCREW,304SS SOCHD M6X35/24</t>
  </si>
  <si>
    <t>V162205.B02</t>
  </si>
  <si>
    <t>BELT,24"X23'8" (10'2"),3"FL,200/150</t>
  </si>
  <si>
    <t>CANADIAN BEARINGS LTD</t>
  </si>
  <si>
    <t>W224326.B01</t>
  </si>
  <si>
    <t>TUBE DISCH H E100 GBO K2T35</t>
  </si>
  <si>
    <t>W260161.B01</t>
  </si>
  <si>
    <t>LAMINATE KEYPAD DIGI-DRIVE (*)   (COS -)</t>
  </si>
  <si>
    <t>RAINBOW COLORS INC</t>
  </si>
  <si>
    <t>W226232.B01</t>
  </si>
  <si>
    <t>SA CABLE PWR RND STD DC-MOTOR (COS-)</t>
  </si>
  <si>
    <t>W381206.B01</t>
  </si>
  <si>
    <t>RETROFIT KIT K-ML-T80 SFT, KCM, JBOX</t>
  </si>
  <si>
    <t>W218437.B01</t>
  </si>
  <si>
    <t>KIT SNAIL SEAL W/PRG KMLT80</t>
  </si>
  <si>
    <t>V162185.B06</t>
  </si>
  <si>
    <t>RETURN IDLER ASSY,DMO-54,5" IDLER</t>
  </si>
  <si>
    <t>V928889.B01</t>
  </si>
  <si>
    <t>SCREEN K650 CE2 NYLON 105  WD</t>
  </si>
  <si>
    <t>SWAN SURFACES LLC</t>
  </si>
  <si>
    <t>W193960.B01</t>
  </si>
  <si>
    <t>TBG ACCES ELBOW M5-6MM TBG</t>
  </si>
  <si>
    <t>V574624.B01</t>
  </si>
  <si>
    <t>QUILL ASSY,89mm,FLIGHTED DRVR,PURGED</t>
  </si>
  <si>
    <t>W009164.B01</t>
  </si>
  <si>
    <t>CONNECTOR,BFM,21225,250MM DIA,SEEFLEX040</t>
  </si>
  <si>
    <t>PUBLIX SUPER MARKETS INC</t>
  </si>
  <si>
    <t>V170858.B09</t>
  </si>
  <si>
    <t>CONNECTOR,BFM,20083,250MM DIA,SEEFLEX040</t>
  </si>
  <si>
    <t>1100575578-030 BFM CONNECTOR 22508</t>
  </si>
  <si>
    <t>V603107.B01</t>
  </si>
  <si>
    <t>HX6A-2.251200011-007</t>
  </si>
  <si>
    <t>AMERICAN CRYSTAL SUGAR COMPANY</t>
  </si>
  <si>
    <t>V551149.B01</t>
  </si>
  <si>
    <t>HX6A-1.751200001-007</t>
  </si>
  <si>
    <t>V820650.B99</t>
  </si>
  <si>
    <t>1111 MP,R2,HV,67kV,450mA,12T,W/G,ISOB,</t>
  </si>
  <si>
    <t>V704033.B08</t>
  </si>
  <si>
    <t>DUST ELBOW ASM,3.25 x 6.625,GRAY</t>
  </si>
  <si>
    <t>PERFETTI VAN MELLE USA INC</t>
  </si>
  <si>
    <t>W220819.B01</t>
  </si>
  <si>
    <t>SEAL SCR 31MM FDA T/S 50-150</t>
  </si>
  <si>
    <t>W192623.B01</t>
  </si>
  <si>
    <t>BELT 305X2420X1.3 WHT PU</t>
  </si>
  <si>
    <t>SA GEARBOX KM-T80-DR W/O SPU</t>
  </si>
  <si>
    <t>CIA INDUSTRIAL EL VOLCAN SA</t>
  </si>
  <si>
    <t>RETAINER AGIT K2T35/S60 DR  (COS+)</t>
  </si>
  <si>
    <t>W196155.B01</t>
  </si>
  <si>
    <t>COV 4D AUTO EPL</t>
  </si>
  <si>
    <t>JOST CHEMICAL</t>
  </si>
  <si>
    <t>W226227.B01</t>
  </si>
  <si>
    <t>CA 6COND 24AWG SHLD PLTC</t>
  </si>
  <si>
    <t>V138358.B01</t>
  </si>
  <si>
    <t>SHAFT,T-DRIVE ACME THREAD,USDA</t>
  </si>
  <si>
    <t>V138663.B01</t>
  </si>
  <si>
    <t>QUILL ASSY,EXT.SHROUD,T-DRIVE(FLT-DRV)</t>
  </si>
  <si>
    <t>V156204.B01</t>
  </si>
  <si>
    <t>NZ3-1.000120000-004</t>
  </si>
  <si>
    <t>V137902.B01</t>
  </si>
  <si>
    <t>SHAFT,ECCENTRIC, 300 SERIES</t>
  </si>
  <si>
    <t>V138010.B01</t>
  </si>
  <si>
    <t>SPROCKET,10T,.625 DIA BORE,METRIC</t>
  </si>
  <si>
    <t>V138018.B01</t>
  </si>
  <si>
    <t>SPROCKET, IDLER 10 T</t>
  </si>
  <si>
    <t>V154295.B01</t>
  </si>
  <si>
    <t>V154299.B01</t>
  </si>
  <si>
    <t>BEARING,BALL 1.375</t>
  </si>
  <si>
    <t>V165396.B01</t>
  </si>
  <si>
    <t>BEARING,FLANGED,30mm</t>
  </si>
  <si>
    <t>V165518.B01</t>
  </si>
  <si>
    <t>BEARING,SPHERICAL,16mm x 38mm X 15mm</t>
  </si>
  <si>
    <t>W190541.B01</t>
  </si>
  <si>
    <t>SEAL RING PRE D32.5 PTFE FDA</t>
  </si>
  <si>
    <t>W193392.B01</t>
  </si>
  <si>
    <t>SCALE REF K-SFS-12 W/K-SAMPLER</t>
  </si>
  <si>
    <t>SIMPLOT CANADA (II) LIMITED</t>
  </si>
  <si>
    <t>W209330.B01</t>
  </si>
  <si>
    <t>BELLOWS BLG FER RND DN200</t>
  </si>
  <si>
    <t>V162185.B05</t>
  </si>
  <si>
    <t>RETURN IDLER ASSY,DMO-48,5" IDLER</t>
  </si>
  <si>
    <t>W122122.B01</t>
  </si>
  <si>
    <t>HD SCRAPER ASSY,DMO-48,BEARING MNT</t>
  </si>
  <si>
    <t>W124039.B01</t>
  </si>
  <si>
    <t>BELT,48"X38'8" (17'8"),1"FL,200/220,PVG</t>
  </si>
  <si>
    <t>W126288.B01</t>
  </si>
  <si>
    <t>PLOW SCRAPER ASSY,DMO-48,NITRILE,WHITE</t>
  </si>
  <si>
    <t>W137030.B01</t>
  </si>
  <si>
    <t>HPR EXT,CYL,WLD,838IDx300,165L,12"T,316</t>
  </si>
  <si>
    <t>MICROSIZE</t>
  </si>
  <si>
    <t>SCREW M5X15.5/5             (COS-)</t>
  </si>
  <si>
    <t>W191683.B01</t>
  </si>
  <si>
    <t>COVER HPPR RND D86 MNL BLT</t>
  </si>
  <si>
    <t>O-RING,ID107.54X3.53 MVQ FDA  (COS+)</t>
  </si>
  <si>
    <t>W195040.B01</t>
  </si>
  <si>
    <t>SEAL SHFT AGITATOR BOTTOM SEAL</t>
  </si>
  <si>
    <t>W212341.B01</t>
  </si>
  <si>
    <t>SCREW BLK DR OD7/8'' E0</t>
  </si>
  <si>
    <t>ITAFOS CONDA LLC</t>
  </si>
  <si>
    <t>V551924.B01</t>
  </si>
  <si>
    <t>HX6A-2.251201001-011</t>
  </si>
  <si>
    <t>V551926.B01</t>
  </si>
  <si>
    <t>NZ6-2.250220000-011</t>
  </si>
  <si>
    <t>W219794.B01</t>
  </si>
  <si>
    <t>BELT 1878X305X0.8 NTRL  GRA</t>
  </si>
  <si>
    <t>NIZA SA</t>
  </si>
  <si>
    <t>W194334.B01</t>
  </si>
  <si>
    <t>SA ADAPTER COUPLING PICK UP</t>
  </si>
  <si>
    <t>W188888.B01</t>
  </si>
  <si>
    <t>SCR HEX HD 3/8-16 X 2 3/4 SST</t>
  </si>
  <si>
    <t>V137429.B01</t>
  </si>
  <si>
    <t>SPROCKET,28T,50CH,.75 BORE</t>
  </si>
  <si>
    <t>W383074.B01</t>
  </si>
  <si>
    <t>HX12A-6.001200001-042</t>
  </si>
  <si>
    <t>V592912.B01</t>
  </si>
  <si>
    <t>HXLMA-1.001200011-013</t>
  </si>
  <si>
    <t>MOTOR WHEEL LLC</t>
  </si>
  <si>
    <t>V711543.B01</t>
  </si>
  <si>
    <t>HXMMD-3.001200001-014</t>
  </si>
  <si>
    <t>W221770.B01</t>
  </si>
  <si>
    <t>MOTOR ACCES BRUSHES #YP00565</t>
  </si>
  <si>
    <t>HSG BEARING W300/W600 (MACH)</t>
  </si>
  <si>
    <t>V157065.B01</t>
  </si>
  <si>
    <t>NZ6-1.750120000-007</t>
  </si>
  <si>
    <t>W223794.B01</t>
  </si>
  <si>
    <t>BRKT SWB300/600</t>
  </si>
  <si>
    <t>W223791.B01</t>
  </si>
  <si>
    <t>DR PUL CYL CPLG VER SW600         (COS-)</t>
  </si>
  <si>
    <t>W334705.B01</t>
  </si>
  <si>
    <t>SCRAPER PULLEY           SW600</t>
  </si>
  <si>
    <t>W192212.B01</t>
  </si>
  <si>
    <t>FILTER BAG DN100 L230</t>
  </si>
  <si>
    <t>W221920.B01</t>
  </si>
  <si>
    <t>MOTOR DC FW 2.0HP 180V 1750RPM</t>
  </si>
  <si>
    <t>V599355.B13</t>
  </si>
  <si>
    <t>KIT,LRCF,AGIT,REDUCER,56C,25:1,SEV</t>
  </si>
  <si>
    <t>*QUILL ASSY,89mm,FLIGHTED DRVR,PURGED</t>
  </si>
  <si>
    <t>V168557.B06</t>
  </si>
  <si>
    <t>CONNECTOR,FLEXIBLE 8"DIAX18"LONG W/CLAMP</t>
  </si>
  <si>
    <t>V167250.B16</t>
  </si>
  <si>
    <t>CONNECTION,FLEXIBLE,48.56X.125X7.00"</t>
  </si>
  <si>
    <t>MILNE FRUIT PRODUCTS</t>
  </si>
  <si>
    <t>V167250.B08</t>
  </si>
  <si>
    <t>CONNECTION,FLEXIBLE,18.27X.125X4.25"</t>
  </si>
  <si>
    <t>GEORGIA PACIFIC GYPSUM II LLC</t>
  </si>
  <si>
    <t>W381193.B01</t>
  </si>
  <si>
    <t>W381223.B01</t>
  </si>
  <si>
    <t>NZ6-1.000S210003-048</t>
  </si>
  <si>
    <t>KESCO INC</t>
  </si>
  <si>
    <t>V709577.B01</t>
  </si>
  <si>
    <t>HX6A-1.001200101-048</t>
  </si>
  <si>
    <t>V013257.B04</t>
  </si>
  <si>
    <t>SENSiQ WBC 50t complete with plug 15m</t>
  </si>
  <si>
    <t>JAY INDUSTRIAL REPAIR INC</t>
  </si>
  <si>
    <t>0000027218 FEED SCREW 58MM AF E100 HAST</t>
  </si>
  <si>
    <t>W217173.B01</t>
  </si>
  <si>
    <t>300 HT DRIVE PULLEY MACHINED</t>
  </si>
  <si>
    <t>FLSMIDTH A/S</t>
  </si>
  <si>
    <t>V154584.B01</t>
  </si>
  <si>
    <t>BUSHING, BRONZE 10MM ID X 13MM OD</t>
  </si>
  <si>
    <t>V154291.B01</t>
  </si>
  <si>
    <t>BEARING,BRONZE OIL IMPG,1.250 X 1.000</t>
  </si>
  <si>
    <t>V138543.B01</t>
  </si>
  <si>
    <t>ECCENTRIC,6.4MM OFFSET,600</t>
  </si>
  <si>
    <t>V138728.B01</t>
  </si>
  <si>
    <t>QUILL ASSY,EXT.SHROUD,DIR-DRIVE(FLT-DRV)</t>
  </si>
  <si>
    <t>V161374.B01</t>
  </si>
  <si>
    <t>CONTROL,SCR1,N4X,SDRV</t>
  </si>
  <si>
    <t>V557858.B01</t>
  </si>
  <si>
    <t>HX6D-0.751201001-007</t>
  </si>
  <si>
    <t>V625833.B01</t>
  </si>
  <si>
    <t>NZD6-0.75012000010-007</t>
  </si>
  <si>
    <t>V154062.B01</t>
  </si>
  <si>
    <t>CLAMP, DESTACO 331-SS</t>
  </si>
  <si>
    <t>V164492.B01</t>
  </si>
  <si>
    <t>LDET,CAP,NOHAZ,1.25NPT,IND,115/240V,6.5"</t>
  </si>
  <si>
    <t>W148164.B01</t>
  </si>
  <si>
    <t>HX6A-2.251200001-003</t>
  </si>
  <si>
    <t>MANUFACTURERS EQUIPMENT COMPANY</t>
  </si>
  <si>
    <t>V555530.B01</t>
  </si>
  <si>
    <t>HX6A-0.503201001-007</t>
  </si>
  <si>
    <t>V563474.B01</t>
  </si>
  <si>
    <t>HX6A-0.503200001-007</t>
  </si>
  <si>
    <t>V162205.B05</t>
  </si>
  <si>
    <t>BELT,24"X38'8" (17'8"),3"FL,200/150</t>
  </si>
  <si>
    <t>FREEDOM PROPPANT LLC</t>
  </si>
  <si>
    <t>V162205.B01</t>
  </si>
  <si>
    <t>BELT,24"X18'8" (7'8"),3"FL,200/150</t>
  </si>
  <si>
    <t>W188724.B01</t>
  </si>
  <si>
    <t>CPLG 7/8'' SHAFT</t>
  </si>
  <si>
    <t>PACTIV LLC</t>
  </si>
  <si>
    <t>W223728.B01</t>
  </si>
  <si>
    <t>SHAFT AGIT FIRST K2T6S1</t>
  </si>
  <si>
    <t>V154283.B01</t>
  </si>
  <si>
    <t>RING,RETAINING,INTERNAL,3.0 HOUSING DIA</t>
  </si>
  <si>
    <t>V138299.B01</t>
  </si>
  <si>
    <t>SPACER, 600 (.332) SPROCKET</t>
  </si>
  <si>
    <t>SOUTH PLATTE RENEW</t>
  </si>
  <si>
    <t>V830766.B01</t>
  </si>
  <si>
    <t>HXMMD-1.001200101-015</t>
  </si>
  <si>
    <t>W381479.B01</t>
  </si>
  <si>
    <t>UPGRD,DISOCONT TERSUS,ABPF525,STD START</t>
  </si>
  <si>
    <t>V563889.B01</t>
  </si>
  <si>
    <t>HXMMD-1.751200001-011</t>
  </si>
  <si>
    <t>V707164.B01</t>
  </si>
  <si>
    <t>NZMMF-3.000320000-028</t>
  </si>
  <si>
    <t>WEST FRASER US EWP LLC</t>
  </si>
  <si>
    <t>W188726.B01</t>
  </si>
  <si>
    <t>HOUSING S60 231X358X439</t>
  </si>
  <si>
    <t>V567510.B01</t>
  </si>
  <si>
    <t>HXMMD-3.501201001-013</t>
  </si>
  <si>
    <t>V173794.B03</t>
  </si>
  <si>
    <t>BELT, 24" X 28' LONG, 2 PLY, 150 PIW,</t>
  </si>
  <si>
    <t>CLEAN HARBORS ENVIRONMENTAL</t>
  </si>
  <si>
    <t>V801156.B01</t>
  </si>
  <si>
    <t>NZ6-1.000120000-030</t>
  </si>
  <si>
    <t>BENDER FOUNDRY INC</t>
  </si>
  <si>
    <t>CANADIAN FERTILIZERS LTD</t>
  </si>
  <si>
    <t>V697892.B01</t>
  </si>
  <si>
    <t>HXMMD-3.501200101-048</t>
  </si>
  <si>
    <t>SKOTIDAKIS TM</t>
  </si>
  <si>
    <t>W334620.B01</t>
  </si>
  <si>
    <t>SCREW,316SS SOCHD M4X0.7X8</t>
  </si>
  <si>
    <t>W216970.B01</t>
  </si>
  <si>
    <t>RET RING BORE 42X1.75 SS</t>
  </si>
  <si>
    <t>W216953.B01</t>
  </si>
  <si>
    <t>RET RING SHFT 20X1.2 SS</t>
  </si>
  <si>
    <t>W216977.B01</t>
  </si>
  <si>
    <t>RET RING BORE 75X2.5 SS</t>
  </si>
  <si>
    <t>V824668.B01</t>
  </si>
  <si>
    <t>MP,DRIVER CROSSOVER CABLE SET</t>
  </si>
  <si>
    <t>W192457.B01</t>
  </si>
  <si>
    <t>SCR SPIRAL 58MM SC E100K2S60DR</t>
  </si>
  <si>
    <t>DE WAFELBAKKERS LLC</t>
  </si>
  <si>
    <t>W224354.B01</t>
  </si>
  <si>
    <t>CPLG OB K2T35</t>
  </si>
  <si>
    <t>W218778.B01</t>
  </si>
  <si>
    <t>CONTR FA DIGI-DRIVE 800W 115V</t>
  </si>
  <si>
    <t>W191993.B01</t>
  </si>
  <si>
    <t>GEAR SPU 120T/0.5M W/ CBORE</t>
  </si>
  <si>
    <t>W192534.B01</t>
  </si>
  <si>
    <t>ADPTR STUB HORZ DISCH K2T60</t>
  </si>
  <si>
    <t>W192533.B01</t>
  </si>
  <si>
    <t>TUBE DISCH H STD W/FLG K2T60</t>
  </si>
  <si>
    <t>V094838.B04</t>
  </si>
  <si>
    <t>Weighbeam DWB 150t komplett</t>
  </si>
  <si>
    <t>STEEL DYNAMICS SOUTHWEST</t>
  </si>
  <si>
    <t>CALPORTLAND</t>
  </si>
  <si>
    <t>W216962.B01</t>
  </si>
  <si>
    <t>RET RING BORE 28X1.2 SS</t>
  </si>
  <si>
    <t>W216950.B01</t>
  </si>
  <si>
    <t>RET RING SHFT 12X1 SS</t>
  </si>
  <si>
    <t>W219633.B01</t>
  </si>
  <si>
    <t>BRG,BALL 12/28X8 2-SEALS</t>
  </si>
  <si>
    <t>W192320.B01</t>
  </si>
  <si>
    <t>AGIT 2 BL HDN IMPREG K2T2T3S6</t>
  </si>
  <si>
    <t>V151940.B01</t>
  </si>
  <si>
    <t>HXMMA-1.381200001-012</t>
  </si>
  <si>
    <t>V781281.B01</t>
  </si>
  <si>
    <t>HXLMA-1.001200011-017</t>
  </si>
  <si>
    <t>V623167.B01</t>
  </si>
  <si>
    <t>HX9A-2.254201001-012</t>
  </si>
  <si>
    <t>V157608.B01</t>
  </si>
  <si>
    <t>NZ9-2.250840000-012</t>
  </si>
  <si>
    <t>V557934.B02</t>
  </si>
  <si>
    <t>CAGE,DUST SOCK,4 INCH</t>
  </si>
  <si>
    <t>W193284.B01</t>
  </si>
  <si>
    <t>AGIT 2-BLADE IMPREG K2T2T3S6</t>
  </si>
  <si>
    <t>W221926.B01</t>
  </si>
  <si>
    <t>MOTOR AC .33HP 1PH 115/230V</t>
  </si>
  <si>
    <t>W220241.B01</t>
  </si>
  <si>
    <t>COUPLING BOWEX JUN14         (COS+)</t>
  </si>
  <si>
    <t>W220301.B01</t>
  </si>
  <si>
    <t>FILTER BAG 2' 60.3X160  MM</t>
  </si>
  <si>
    <t>W190470.B01</t>
  </si>
  <si>
    <t>O-RING,ID35X1.5 FPM GRN (COS+)</t>
  </si>
  <si>
    <t>W333600.B01</t>
  </si>
  <si>
    <t>FILTER CRTRDG PTFE 4" X 5.5"LG</t>
  </si>
  <si>
    <t>V154687.B01</t>
  </si>
  <si>
    <t>DUST SOCK,4.00" DIA X 16.00",POLYESTER</t>
  </si>
  <si>
    <t>V137563.B01</t>
  </si>
  <si>
    <t>W221895.B01</t>
  </si>
  <si>
    <t>STYROPEK CHILE SPA</t>
  </si>
  <si>
    <t>V601865.B01</t>
  </si>
  <si>
    <t>HX6A-2.251200101-010</t>
  </si>
  <si>
    <t>V153135.B01</t>
  </si>
  <si>
    <t>HXMMA-3.501200201-013</t>
  </si>
  <si>
    <t>W220998.B01</t>
  </si>
  <si>
    <t>ROLLER IDLER 3095</t>
  </si>
  <si>
    <t>V697363.B01</t>
  </si>
  <si>
    <t>HXMMA-1.001201011-012</t>
  </si>
  <si>
    <t>GASKET PF 6D (COS+)</t>
  </si>
  <si>
    <t>W195506.B01</t>
  </si>
  <si>
    <t>ADPTR FIELDBUS TO RS485 WAGO</t>
  </si>
  <si>
    <t>W218707.B01</t>
  </si>
  <si>
    <t>MODULE WAGO OUT 4-20MA  ANLG</t>
  </si>
  <si>
    <t>W218708.B01</t>
  </si>
  <si>
    <t>END CAP WAGO MODULE</t>
  </si>
  <si>
    <t>W192124.B01</t>
  </si>
  <si>
    <t>CA ASSY DB9 RS485 WAGO-KCM 8FT</t>
  </si>
  <si>
    <t>V777433.B01</t>
  </si>
  <si>
    <t>HXMMD-1.001201001-008</t>
  </si>
  <si>
    <t>COCA COLA CONSOLIDATED</t>
  </si>
  <si>
    <t>V557560.B01</t>
  </si>
  <si>
    <t>HXMMD-1.381201001-008</t>
  </si>
  <si>
    <t>V942821.B01</t>
  </si>
  <si>
    <t>HXMMD-1.751201001-006</t>
  </si>
  <si>
    <t>V942822.B01</t>
  </si>
  <si>
    <t>HXMMD-1.001201001-006</t>
  </si>
  <si>
    <t>V942823.B01</t>
  </si>
  <si>
    <t>HXMMD-1.751201001-008</t>
  </si>
  <si>
    <t>W339672.B01</t>
  </si>
  <si>
    <t>AIR CYLINDER 1-1/16" BORE 4" STROKE</t>
  </si>
  <si>
    <t>DARNEL INC</t>
  </si>
  <si>
    <t>GEZOLAN (KRAIBURG) LP</t>
  </si>
  <si>
    <t>ESAM SUPPLY CORP</t>
  </si>
  <si>
    <t>V191156.B01</t>
  </si>
  <si>
    <t>EXP VENT,24"X24",1PSI,VSP-9A0,304*</t>
  </si>
  <si>
    <t>HERSHEY MEXICO, S.A. DE C.V.</t>
  </si>
  <si>
    <t>W380559.B01</t>
  </si>
  <si>
    <t>SCREW TAC OD58 EPL E332</t>
  </si>
  <si>
    <t>W381431.B01</t>
  </si>
  <si>
    <t>E332 VERT DISCHARGE TUBE AND OB</t>
  </si>
  <si>
    <t>W380561.B01</t>
  </si>
  <si>
    <t>SCREW TAC OD58 EPL E195</t>
  </si>
  <si>
    <t>W380562.B01</t>
  </si>
  <si>
    <t>VERT DISCH TUBE - EPL E195</t>
  </si>
  <si>
    <t>W192109.B01</t>
  </si>
  <si>
    <t>K2M-T60 DR SA W/O AGIT</t>
  </si>
  <si>
    <t>W211384.B01</t>
  </si>
  <si>
    <t>LEWA METERING PUMP ECODOS LEB1</t>
  </si>
  <si>
    <t>SHPP CANADA INC</t>
  </si>
  <si>
    <t>V305407.B01</t>
  </si>
  <si>
    <t>BEARING,RA108RR FAFNIR,1-1/2"</t>
  </si>
  <si>
    <t>V563483.B01</t>
  </si>
  <si>
    <t>HX6A-1.001200001-035</t>
  </si>
  <si>
    <t>AMCOR FLEXIBLES NORTH AMERICA INC</t>
  </si>
  <si>
    <t>V549337.B01</t>
  </si>
  <si>
    <t>NZMMF-1.37512000-013</t>
  </si>
  <si>
    <t>V569211.B01</t>
  </si>
  <si>
    <t>HXMMA-1.381201001-013</t>
  </si>
  <si>
    <t>V597261.B01</t>
  </si>
  <si>
    <t>NZMMF-1.000120000-008</t>
  </si>
  <si>
    <t>V597259.B01</t>
  </si>
  <si>
    <t>HXMMA-1.002201001-008</t>
  </si>
  <si>
    <t>W219831.B01</t>
  </si>
  <si>
    <t>BELT 1200.05 FLAT POLY PVC</t>
  </si>
  <si>
    <t>W220441.B01</t>
  </si>
  <si>
    <t>LIP SEAL NT D20/32X0.8</t>
  </si>
  <si>
    <t>W362172.B01</t>
  </si>
  <si>
    <t>SHAFT AGIT T35</t>
  </si>
  <si>
    <t>W222773.B01</t>
  </si>
  <si>
    <t>TUBE DISCH HORIZ E100 EPL</t>
  </si>
  <si>
    <t>WAYNE FARMS LLC</t>
  </si>
  <si>
    <t>W188829.B01</t>
  </si>
  <si>
    <t>K2M-S60 DR SA GT-BELT D1</t>
  </si>
  <si>
    <t>W217640.B01</t>
  </si>
  <si>
    <t>T35/S200 SA AGIT BRG HSG</t>
  </si>
  <si>
    <t>ATTENDS HEALTHCARE PRODUCTS</t>
  </si>
  <si>
    <t>W218079.B01</t>
  </si>
  <si>
    <t>KIT OB ASSY K2S60           *S</t>
  </si>
  <si>
    <t>W225258.B01</t>
  </si>
  <si>
    <t>GSKT HPPR 10D SILICON K-T/S</t>
  </si>
  <si>
    <t>W220431.B01</t>
  </si>
  <si>
    <t>GASKET RND 3.3D ID=300X3</t>
  </si>
  <si>
    <t>GASKET PF TROUGH 3.3D (COS+)</t>
  </si>
  <si>
    <t>W220500.B01</t>
  </si>
  <si>
    <t>SEAL ,LIP NT D62X78X1.0</t>
  </si>
  <si>
    <t>W334721.B01</t>
  </si>
  <si>
    <t>SRPR BELT OUTSIDE SW600    (COS+)</t>
  </si>
  <si>
    <t>W225368.B01</t>
  </si>
  <si>
    <t>BELLOWS STR RECT FLAP OUTLET</t>
  </si>
  <si>
    <t>W196389.B01</t>
  </si>
  <si>
    <t>VALVE SOL 4/2 DUAL 3/8"" NPT</t>
  </si>
  <si>
    <t>W218302.B01</t>
  </si>
  <si>
    <t>WEIGHING UNIT K-SFT-III SWB600    (COS-)</t>
  </si>
  <si>
    <t>W383989.B01</t>
  </si>
  <si>
    <t>KCM-III RETROFIT</t>
  </si>
  <si>
    <t>PRECISION AUTOMATION SPA</t>
  </si>
  <si>
    <t>W021114.B01</t>
  </si>
  <si>
    <t>AGI WLDMNT,LWR,RMVABL,MR,210L,316SS</t>
  </si>
  <si>
    <t>V496573.B01</t>
  </si>
  <si>
    <t>SKIRTBOARD SEAL,21'8" DMO</t>
  </si>
  <si>
    <t>V496556.B01</t>
  </si>
  <si>
    <t>INFEED SEAL,SIDE</t>
  </si>
  <si>
    <t>V170858.B24</t>
  </si>
  <si>
    <t>BFM 20791 FLEX CONN,200 IDX100CL .020T</t>
  </si>
  <si>
    <t>W224149.B01</t>
  </si>
  <si>
    <t>SHAFT SCREW L241.8 (RIGHT)        (COS+)</t>
  </si>
  <si>
    <t>W381238.B01</t>
  </si>
  <si>
    <t>SPEED MEASUREMENT SYS FGA 53</t>
  </si>
  <si>
    <t>V930299.B01</t>
  </si>
  <si>
    <t>DIAPHRAGM BD06 NYLON 4 OZ</t>
  </si>
  <si>
    <t>V162983.B14</t>
  </si>
  <si>
    <t>COVER WLDMT,304,866mmDIA,10.0INLT,4.0VNT</t>
  </si>
  <si>
    <t>8TH AVENUE FOOD AND PROVISIONS</t>
  </si>
  <si>
    <t>V553797.B01</t>
  </si>
  <si>
    <t>HX6A-1.381201001-007</t>
  </si>
  <si>
    <t>SALES DEL ISTMO SA DE CV</t>
  </si>
  <si>
    <t>V161993.B01</t>
  </si>
  <si>
    <t>CARRIER IDLER,4",CEMA C,24" B.W.</t>
  </si>
  <si>
    <t>IMERYS FILTRATION MINERALS INC</t>
  </si>
  <si>
    <t>V162020.B01</t>
  </si>
  <si>
    <t>BELT TENSIONER AND TRACKING ASSY,DMO-24</t>
  </si>
  <si>
    <t>V162411.B01</t>
  </si>
  <si>
    <t>HEAD PULLEY,SK32100,12.50",2.437",DMO-24</t>
  </si>
  <si>
    <t>V162171.B01</t>
  </si>
  <si>
    <t>TAIL PULLEY ASSY,SPIRAL,12",2.44,DMO-24</t>
  </si>
  <si>
    <t>W225024.B01</t>
  </si>
  <si>
    <t>SCR AUGER 60MM AF E200 K2S60</t>
  </si>
  <si>
    <t>W383016.B01</t>
  </si>
  <si>
    <t>CVR WLD, 75L HPR, HINGED DOOR, 8 IN/4 VT</t>
  </si>
  <si>
    <t>W218148.B01</t>
  </si>
  <si>
    <t>SEAL K2T60/S100 DR       (COS+)</t>
  </si>
  <si>
    <t>MARTINS FAMOUS PASTRY SHOPPE INC</t>
  </si>
  <si>
    <t>V173888.B01</t>
  </si>
  <si>
    <t>SPEED SENSOR ASSY,BXN &amp; BXO</t>
  </si>
  <si>
    <t>ARCELORMITTAL MEXICO SA DE CV</t>
  </si>
  <si>
    <t>V029901.B01</t>
  </si>
  <si>
    <t>Terminal box VAK 28040 with bracket</t>
  </si>
  <si>
    <t>W190441.B01</t>
  </si>
  <si>
    <t>FA K-SFT-II-M XPC3 1200N EX3D   (COS-)</t>
  </si>
  <si>
    <t>V682855.B05</t>
  </si>
  <si>
    <t>MOTOR ASSY,59RPM,1/8HP,90VDC,REM CTL</t>
  </si>
  <si>
    <t>DELTA PUMP &amp; SYSTEMS INC</t>
  </si>
  <si>
    <t>POLYQUEST INC</t>
  </si>
  <si>
    <t>RAINIER VENEER INC</t>
  </si>
  <si>
    <t>V138352.B01</t>
  </si>
  <si>
    <t>SHAFT, T-DRIVE, SPROCKET END,600 SERIES</t>
  </si>
  <si>
    <t>E020550.21</t>
  </si>
  <si>
    <t>O-Ring  83FPM592 210x5,0</t>
  </si>
  <si>
    <t>E020079.24</t>
  </si>
  <si>
    <t>Shaft seal ring HN2390   HS210 90x110x10</t>
  </si>
  <si>
    <t>Shaft seal ring 90x110x12, B2, DIN376</t>
  </si>
  <si>
    <t>E101630.29</t>
  </si>
  <si>
    <t>KegRollager        32016X</t>
  </si>
  <si>
    <t>W192749.B01</t>
  </si>
  <si>
    <t>FILTER DN50 L=140 FDA</t>
  </si>
  <si>
    <t>K2MVT60 FEED MODULE (SEE NOTES)</t>
  </si>
  <si>
    <t>ASCENSUS SPECIALTIES LLC</t>
  </si>
  <si>
    <t>W203972.B01</t>
  </si>
  <si>
    <t>MOTOR DC FW 1.5HP 180V 1750RPM</t>
  </si>
  <si>
    <t>W058597.B01</t>
  </si>
  <si>
    <t>GEARBOX,NOR,11.39:1,56C,154 RPM</t>
  </si>
  <si>
    <t>V555895.B01</t>
  </si>
  <si>
    <t>HX6A-2.251200001-005</t>
  </si>
  <si>
    <t>V704033.B05</t>
  </si>
  <si>
    <t>DUST ELBOW ASM,1.75 x 3.00,GRAY</t>
  </si>
  <si>
    <t>POLY AMERICA LP</t>
  </si>
  <si>
    <t>V170844.B07</t>
  </si>
  <si>
    <t>BELT,600,63.25 C-C V-GUIDE,TARGET</t>
  </si>
  <si>
    <t>FRESHPET</t>
  </si>
  <si>
    <t>W079431.B01</t>
  </si>
  <si>
    <t>SCALE,PLATFORM 6001 SERIES, 220LB</t>
  </si>
  <si>
    <t>V563495.B01</t>
  </si>
  <si>
    <t>HX6A-1.001200001-030</t>
  </si>
  <si>
    <t>V034595.B01</t>
  </si>
  <si>
    <t>Drive Shaft (inch) MET</t>
  </si>
  <si>
    <t>W382580.B01</t>
  </si>
  <si>
    <t>WEIGHBELT,ENDLESS,1400MMX8600MM</t>
  </si>
  <si>
    <t>HOLCIM ECUADOR SA</t>
  </si>
  <si>
    <t>V138067.B01</t>
  </si>
  <si>
    <t>HOPPER,300 SERIES,GREY VINYL,KUMA</t>
  </si>
  <si>
    <t>CONAGRA BRANDS INC</t>
  </si>
  <si>
    <t>W225386.B01</t>
  </si>
  <si>
    <t>300 SCRAPER</t>
  </si>
  <si>
    <t>W222682.B01</t>
  </si>
  <si>
    <t>COVER, AUTO, 4D, EPL</t>
  </si>
  <si>
    <t>SOUTHWIRE COMPANY LLC</t>
  </si>
  <si>
    <t>W223149.B01</t>
  </si>
  <si>
    <t>COV HPPR 4D AUTO #4 K2G</t>
  </si>
  <si>
    <t>V574813.B01</t>
  </si>
  <si>
    <t>NZZL,MMS,3.5",S,SAMPLE PORT,316SS</t>
  </si>
  <si>
    <t>W362078.B01</t>
  </si>
  <si>
    <t>FR CNVR FOOD GRADE SWB600</t>
  </si>
  <si>
    <t>V135530.B01</t>
  </si>
  <si>
    <t>MEMBRANE, RUBBER BOOT</t>
  </si>
  <si>
    <t>V158924.B01</t>
  </si>
  <si>
    <t>NZLMF-0.500840000-007</t>
  </si>
  <si>
    <t>CANFIELD AND  JOSEPH FT WORTH</t>
  </si>
  <si>
    <t>V152579.B01</t>
  </si>
  <si>
    <t>HXMMA-2.251200001-007</t>
  </si>
  <si>
    <t>V152653.B01</t>
  </si>
  <si>
    <t>HXMMA-2.252200001-007</t>
  </si>
  <si>
    <t>V575813.B01</t>
  </si>
  <si>
    <t>HXLMA-0.503201001-007</t>
  </si>
  <si>
    <t>V158990.B01</t>
  </si>
  <si>
    <t>NZLMF-0.750840000-009</t>
  </si>
  <si>
    <t>SHEPHERD CHEMICAL CO</t>
  </si>
  <si>
    <t>V570913.B01</t>
  </si>
  <si>
    <t>HX6A-1.381201001-013</t>
  </si>
  <si>
    <t>ERVIN INDUSTRIES INC</t>
  </si>
  <si>
    <t>NZMMF-3.500120000-029</t>
  </si>
  <si>
    <t>V556469.B01</t>
  </si>
  <si>
    <t>HXMMA-3.501200001-043</t>
  </si>
  <si>
    <t>NZMMF-3.500120000-043</t>
  </si>
  <si>
    <t>V621006.B01</t>
  </si>
  <si>
    <t>HXLMD-0.503201001-007</t>
  </si>
  <si>
    <t>V157850.B01</t>
  </si>
  <si>
    <t>NZ9-4.000130000-020</t>
  </si>
  <si>
    <t>POLYMERICS INC</t>
  </si>
  <si>
    <t>V559560.B01</t>
  </si>
  <si>
    <t>HXMMA-3.001201001-013</t>
  </si>
  <si>
    <t>V551439.B01</t>
  </si>
  <si>
    <t>HX6A-2.251201001-003</t>
  </si>
  <si>
    <t>V555969.B01</t>
  </si>
  <si>
    <t>NZ6-2.250120000-003</t>
  </si>
  <si>
    <t>V696743.B01</t>
  </si>
  <si>
    <t>NOZZLE,1.75,STRGHT,POLY-LND-PCO,13" FFOF</t>
  </si>
  <si>
    <t>W220543.B01</t>
  </si>
  <si>
    <t>SEAL AGIT BRG 40MM ID K2T6/S1   (COS+)</t>
  </si>
  <si>
    <t>W224358.B01</t>
  </si>
  <si>
    <t>CPLG OB K2S60</t>
  </si>
  <si>
    <t>W160020.B01</t>
  </si>
  <si>
    <t>REALWEAR - HARD HAT BAND FOR NAV 500/520</t>
  </si>
  <si>
    <t>W127501.B01</t>
  </si>
  <si>
    <t>IDLER SET,DMO BELT TRACKING,60"W</t>
  </si>
  <si>
    <t>IRON OAK ENERGY SOLUTIONS</t>
  </si>
  <si>
    <t>HORTON SUPPLY COMPANY</t>
  </si>
  <si>
    <t>W225144.B01</t>
  </si>
  <si>
    <t>CLIP 3 ROLLER SST304 3090</t>
  </si>
  <si>
    <t>NF PROTEIN LLC</t>
  </si>
  <si>
    <t>V699069.B01</t>
  </si>
  <si>
    <t>NZ6-2.250120000-020</t>
  </si>
  <si>
    <t>W222703.B01</t>
  </si>
  <si>
    <t>TUBE DISCH VERT K2S60/60 GBO</t>
  </si>
  <si>
    <t>GEARBOX RED.A S200 (COS-)</t>
  </si>
  <si>
    <t>V704033.B09</t>
  </si>
  <si>
    <t>DUST ELBOW ASM,4.00 x 6.625,GRAY</t>
  </si>
  <si>
    <t>W221827.B01</t>
  </si>
  <si>
    <t>MOTOR DC 2.0HP 180V 1750RPM</t>
  </si>
  <si>
    <t>W214243.B01</t>
  </si>
  <si>
    <t>SCREW SAF DR OD36 E0 OF OAL241</t>
  </si>
  <si>
    <t>IBT CORP</t>
  </si>
  <si>
    <t>W190518.B01</t>
  </si>
  <si>
    <t>HPPR ASYM 110L 6D EPL K2L</t>
  </si>
  <si>
    <t>W223692.B01</t>
  </si>
  <si>
    <t>SPCR AGIT KS60  (COS+)</t>
  </si>
  <si>
    <t>W223701.B01</t>
  </si>
  <si>
    <t>RETAINER AGIT KS60              (COS+)</t>
  </si>
  <si>
    <t>W223702.B01</t>
  </si>
  <si>
    <t>AGIT 2 BLADE EPL KS60            (COS+)</t>
  </si>
  <si>
    <t>W190520.B01</t>
  </si>
  <si>
    <t>HPPR ASYM 180L 6D EPL K2L</t>
  </si>
  <si>
    <t>V162207.B01</t>
  </si>
  <si>
    <t>BELT,36"X18'8" (7'8"),3"FL,200/150</t>
  </si>
  <si>
    <t>W224672.B01</t>
  </si>
  <si>
    <t>SCR 78MM AC STD K2S100 DR</t>
  </si>
  <si>
    <t>W220637.B01</t>
  </si>
  <si>
    <t>SEAL MECH CRTG 24ID/35OD K2S60</t>
  </si>
  <si>
    <t>W382543.B01</t>
  </si>
  <si>
    <t>UPGRADE 2HP HELIX VFD</t>
  </si>
  <si>
    <t>MORGAN THERMAL CERAMICS</t>
  </si>
  <si>
    <t>W212829.B01</t>
  </si>
  <si>
    <t>SCREW TAC D OD58 E500</t>
  </si>
  <si>
    <t>Nilos ring  6206  LSTO    30  X62X3,7</t>
  </si>
  <si>
    <t>PRECISION SKILLS INTERNATIONAL LLC</t>
  </si>
  <si>
    <t>W224948.B01</t>
  </si>
  <si>
    <t>SCR SET SPL 20MM SF STD K2T20</t>
  </si>
  <si>
    <t>NESTLE FROZEN FOOD</t>
  </si>
  <si>
    <t>V564980.B01</t>
  </si>
  <si>
    <t>HXMMD-1.381201001-036</t>
  </si>
  <si>
    <t>V148206.B01</t>
  </si>
  <si>
    <t>HX6A-1.001200001-007</t>
  </si>
  <si>
    <t>KIT,D/V REP 6" W359242.B01</t>
  </si>
  <si>
    <t>V154539.B01</t>
  </si>
  <si>
    <t>WASHER,RETAINER,.61 OD, NYLON, BLACK</t>
  </si>
  <si>
    <t>V138549.B01</t>
  </si>
  <si>
    <t>THUMBSCREW, PANEL, USDA, M6 X 1-6g</t>
  </si>
  <si>
    <t>MWI ANIMAL HEALTH</t>
  </si>
  <si>
    <t>W381722.B01</t>
  </si>
  <si>
    <t>BELT TENSIONING AND TRACKING B=1400</t>
  </si>
  <si>
    <t>W381723.B01</t>
  </si>
  <si>
    <t>PLOUGH SCRAPER B=1400</t>
  </si>
  <si>
    <t>W381724.B01</t>
  </si>
  <si>
    <t>IDLER FOR SCRAPER</t>
  </si>
  <si>
    <t>V001331.B01</t>
  </si>
  <si>
    <t>gasket insp.hatch, standard     &lt;S40&gt;</t>
  </si>
  <si>
    <t>Contact plate       1.4112   D10 L40</t>
  </si>
  <si>
    <t>V135405.B01</t>
  </si>
  <si>
    <t>GASKET,10MM X 3MM,SELF ADHESIVE,SILICONE</t>
  </si>
  <si>
    <t>V174225.B04</t>
  </si>
  <si>
    <t>UNIVERSAL CLAMPING SET</t>
  </si>
  <si>
    <t>Flexible connection/sleeve NW350</t>
  </si>
  <si>
    <t>V135538.B01</t>
  </si>
  <si>
    <t>TENSION RING, 633 MM DIA</t>
  </si>
  <si>
    <t>W193733.B01</t>
  </si>
  <si>
    <t>SUPPORT FILTER BAG CLEAN. UNIT    (COS-)</t>
  </si>
  <si>
    <t>W334727.B01</t>
  </si>
  <si>
    <t>BELLOWS STEP RND 4.5"/6.62"</t>
  </si>
  <si>
    <t>V558461.B01</t>
  </si>
  <si>
    <t>HXMMA-2.254200111-018</t>
  </si>
  <si>
    <t>MG WALDBAUM CO</t>
  </si>
  <si>
    <t>V146231.B01</t>
  </si>
  <si>
    <t>CABINET HOUSING, METAL, VEG, FOR VSE,VEA</t>
  </si>
  <si>
    <t>V088604.B01</t>
  </si>
  <si>
    <t>DIT:IO.0.0.0.0.ME.0.0</t>
  </si>
  <si>
    <t>V088605.B01</t>
  </si>
  <si>
    <t>DIT:SF.0.0.0.0.ME.0.0</t>
  </si>
  <si>
    <t>D724781.02</t>
  </si>
  <si>
    <t>LOAD CELL,RTN 22T,C3</t>
  </si>
  <si>
    <t>D724782.02</t>
  </si>
  <si>
    <t>LOAD CELL,RTN 47T,C3</t>
  </si>
  <si>
    <t>W219623.B01</t>
  </si>
  <si>
    <t>BRG,BALL 6204-2RS1 D20/47X14</t>
  </si>
  <si>
    <t>W225307.B01</t>
  </si>
  <si>
    <t>SEAL  SCREW SHAFT KT35            (COS+)</t>
  </si>
  <si>
    <t>V066407.B01</t>
  </si>
  <si>
    <t>Flex. hopper, EPDM, grey            C500</t>
  </si>
  <si>
    <t>V172769.B02</t>
  </si>
  <si>
    <t>MOTOR MNT KIT,NO MTR,DD,HLX,3HP,SOFT CPL</t>
  </si>
  <si>
    <t>MENNEL MILLING COMPANY</t>
  </si>
  <si>
    <t>V168069.B01</t>
  </si>
  <si>
    <t>HOPPER,900 SERIES,PUR,WHITE,INDUST</t>
  </si>
  <si>
    <t>W191375.B01</t>
  </si>
  <si>
    <t>SCREW TSF D OD20 E0 OAL253</t>
  </si>
  <si>
    <t>W049347.B20</t>
  </si>
  <si>
    <t>CNTRL,INTECONT TERSUS,VIF,I/O,ETH/IP</t>
  </si>
  <si>
    <t>PHOENIX CEMENT COMPANY</t>
  </si>
  <si>
    <t>W216311.B01</t>
  </si>
  <si>
    <t>SCREW - TCC DR OD37 E300 OB</t>
  </si>
  <si>
    <t>W216309.B01</t>
  </si>
  <si>
    <t>SCREW - DAF DR OD30 E300 OB</t>
  </si>
  <si>
    <t>W216310.B01</t>
  </si>
  <si>
    <t>SCREW - TCF DR OD35 E300 OB</t>
  </si>
  <si>
    <t>W191438.B01</t>
  </si>
  <si>
    <t>SCR 30MM AF E300 OB #4 K2T35DR</t>
  </si>
  <si>
    <t>W191363.B01</t>
  </si>
  <si>
    <t>SCR 35MM CF E300 OB #4 K2T35DR</t>
  </si>
  <si>
    <t>W191529.B01</t>
  </si>
  <si>
    <t>37MM SCR CC E300 OB K2T35DR</t>
  </si>
  <si>
    <t>W224904.B01</t>
  </si>
  <si>
    <t>SCR SET 20MM SC E50 KCLKT20</t>
  </si>
  <si>
    <t>CELANESE FILAMENT-AMERICAS LLC</t>
  </si>
  <si>
    <t>V918608.B03</t>
  </si>
  <si>
    <t>WEIGH MODULE,LOW,100KG,SAN,304</t>
  </si>
  <si>
    <t>HXLMD-1.251201011-024</t>
  </si>
  <si>
    <t>W271334.B01</t>
  </si>
  <si>
    <t>FILTER - INTAKE AIR CRTG</t>
  </si>
  <si>
    <t>LILLY DEL CARIBE INC</t>
  </si>
  <si>
    <t>W220168.B01</t>
  </si>
  <si>
    <t>CLAMP 60-216MM       (COS-)</t>
  </si>
  <si>
    <t>W220897.B01</t>
  </si>
  <si>
    <t>PUL 32T 5MR 36.5MM FLG 20B</t>
  </si>
  <si>
    <t>W191928.B01</t>
  </si>
  <si>
    <t>AGITATOR-H 2BL SICKLE SGL  (COS+)</t>
  </si>
  <si>
    <t>W193786.B01</t>
  </si>
  <si>
    <t>SCREW TAC D OD78 E0</t>
  </si>
  <si>
    <t>W191348.B01</t>
  </si>
  <si>
    <t>TUBE DISCH V IMP/GBO K2S60/60</t>
  </si>
  <si>
    <t>W195725.B01</t>
  </si>
  <si>
    <t>FA SFT-III, XPC3 (200N)</t>
  </si>
  <si>
    <t>TBS - Cover with Bin Vent connection.  S</t>
  </si>
  <si>
    <t>Update the Mechanical Drawing</t>
  </si>
  <si>
    <t>W166722.B01</t>
  </si>
  <si>
    <t>HXMMA-1.002200101-026</t>
  </si>
  <si>
    <t>SENSIQ LOAD CELL</t>
  </si>
  <si>
    <t>CEMENTOS PROGRESO COSTA RICA S.A.</t>
  </si>
  <si>
    <t>V703199.B01</t>
  </si>
  <si>
    <t>HX6D-1.381201001-026</t>
  </si>
  <si>
    <t>V042894.B01</t>
  </si>
  <si>
    <t>Vertical agitator one-piece 30l MET M</t>
  </si>
  <si>
    <t>V795820.B01</t>
  </si>
  <si>
    <t>FIXING ELEMENT,25MM BORE,M10 SCREW</t>
  </si>
  <si>
    <t>V809209.B01</t>
  </si>
  <si>
    <t>SLEEVE,1-PIECE AGITATOR,304SS</t>
  </si>
  <si>
    <t>W226873.B01</t>
  </si>
  <si>
    <t>ENCODER BHK W/MALE CONN</t>
  </si>
  <si>
    <t>W192397.B01</t>
  </si>
  <si>
    <t>GSKT RND SPL16D BOLTED NPRN</t>
  </si>
  <si>
    <t>WK KELLOGG CANADA CORP</t>
  </si>
  <si>
    <t>W194435.B01</t>
  </si>
  <si>
    <t>MOTOR AC 2.0HP 3PH 230/460V</t>
  </si>
  <si>
    <t>W209978.B01</t>
  </si>
  <si>
    <t>DISK D26X2</t>
  </si>
  <si>
    <t>W209994.B01</t>
  </si>
  <si>
    <t>DRIVE BELT TMG P3 W15 L657</t>
  </si>
  <si>
    <t>W209992.B01</t>
  </si>
  <si>
    <t>BEARING NDL CLUTCH 18</t>
  </si>
  <si>
    <t>W209973.B01</t>
  </si>
  <si>
    <t>SHAFT QC CPLG WITH SPLINE</t>
  </si>
  <si>
    <t>W205588.B01</t>
  </si>
  <si>
    <t>SPACER RND 52 AL UNF</t>
  </si>
  <si>
    <t>W223747.B01</t>
  </si>
  <si>
    <t>OUTBOARD BEARING COUPLING KT20</t>
  </si>
  <si>
    <t>LAND O LAKES INC</t>
  </si>
  <si>
    <t>W362122.B01</t>
  </si>
  <si>
    <t>AGITATOR-H 2BL  SST316L EPL</t>
  </si>
  <si>
    <t>W222246.B01</t>
  </si>
  <si>
    <t>W223658.B01</t>
  </si>
  <si>
    <t>HOPPER FDR SPHER 3.3D AG</t>
  </si>
  <si>
    <t>W284181.B01</t>
  </si>
  <si>
    <t>FTG,PIPE GALV PLUG 1/8 SOC HD *</t>
  </si>
  <si>
    <t>V090162.B01</t>
  </si>
  <si>
    <t>Measuring cable SENSiQ 15m 11 Pin</t>
  </si>
  <si>
    <t>W221765.B01</t>
  </si>
  <si>
    <t>MOTOR DC 1.0HP 180V 1750RPM</t>
  </si>
  <si>
    <t>V597436.B01</t>
  </si>
  <si>
    <t>HX6A-2.254200001-020</t>
  </si>
  <si>
    <t>W367850.B01</t>
  </si>
  <si>
    <t>HXMMD-3.001200101-109</t>
  </si>
  <si>
    <t>GENERAL MILLS LLC</t>
  </si>
  <si>
    <t>SEAL OIL RING D17/35X7 (COS+)</t>
  </si>
  <si>
    <t>W220486.B01</t>
  </si>
  <si>
    <t>SEAL SPCL D=20/45X2.5B (COS-)</t>
  </si>
  <si>
    <t>V166459.B02</t>
  </si>
  <si>
    <t>ISOLATOR,MOUNT,.5 X 2.0 X 1 X 1.25 X .25</t>
  </si>
  <si>
    <t>V383590.B03</t>
  </si>
  <si>
    <t>Dichtsatz Gehaeuse MCL1000-DN175 (3-5G)</t>
  </si>
  <si>
    <t>AMERICAN COLLOID COMPANY</t>
  </si>
  <si>
    <t>ARGOS PUERTO RICO CORP</t>
  </si>
  <si>
    <t>V022761.B03</t>
  </si>
  <si>
    <t>LP-BES VLP112V /Programm VLG 20150-XX</t>
  </si>
  <si>
    <t>IVC US LLC</t>
  </si>
  <si>
    <t>V691879.B01</t>
  </si>
  <si>
    <t>CYL,BIMBA,DBL AC,.75" X 5.00"S,MAG REED</t>
  </si>
  <si>
    <t>GADA MC BAKERY SERVICES INC</t>
  </si>
  <si>
    <t>W362236.B01</t>
  </si>
  <si>
    <t>SCREW,TCC DR OD37 E0 KPHKT35</t>
  </si>
  <si>
    <t>W224944.B01</t>
  </si>
  <si>
    <t>SCR AUGER 20MM AF STD K2T20</t>
  </si>
  <si>
    <t>V554822.B01</t>
  </si>
  <si>
    <t>HXLMA-0.753200101-017</t>
  </si>
  <si>
    <t>V171008.B01</t>
  </si>
  <si>
    <t>PROX,HALL EFFECT,24VDC,15/32",120C MAX</t>
  </si>
  <si>
    <t>W220638.B01</t>
  </si>
  <si>
    <t>SEAL MECH CRTG 34I/50OD K2S100</t>
  </si>
  <si>
    <t>V162199.B42</t>
  </si>
  <si>
    <t>BELT,36"X33'8" (15'2"),1"FL,200/220</t>
  </si>
  <si>
    <t>W212663.B01</t>
  </si>
  <si>
    <t>SCREW TCC DR OD37 E350</t>
  </si>
  <si>
    <t>W362244.B01</t>
  </si>
  <si>
    <t>SCREW TCF DR OD37 E100 KPHKT35</t>
  </si>
  <si>
    <t xml:space="preserve"> Universal Power Cell UPC</t>
  </si>
  <si>
    <t>W191305.B01</t>
  </si>
  <si>
    <t>SCREW TCC DR OD37 E0 KPHKT35</t>
  </si>
  <si>
    <t>W205894.B01</t>
  </si>
  <si>
    <t>KIT SCREW SHAFT ASSEMBLY PARTS</t>
  </si>
  <si>
    <t>V169415.B04</t>
  </si>
  <si>
    <t>RETURN IDLER ASSY,DMO-42,3" FLANGED BELT</t>
  </si>
  <si>
    <t>W209995.B01</t>
  </si>
  <si>
    <t>PULLEY TMG T40 P3 W16.5 D14H7</t>
  </si>
  <si>
    <t>DOW SILICONES CORPORATION</t>
  </si>
  <si>
    <t>W334611.B01</t>
  </si>
  <si>
    <t>SEAL D=24/35X7BA KT50/80/150   (COS-)</t>
  </si>
  <si>
    <t>BRG,BALL 6204-2RS1 D20/47X14 (COS-)</t>
  </si>
  <si>
    <t>W362283.B01</t>
  </si>
  <si>
    <t>GSKT KML</t>
  </si>
  <si>
    <t>W333509.B01</t>
  </si>
  <si>
    <t>KEY,PARALLEL A 5X5X20</t>
  </si>
  <si>
    <t>W224587.B01</t>
  </si>
  <si>
    <t>DISK INSERT D10.2X2</t>
  </si>
  <si>
    <t>W334617.B01</t>
  </si>
  <si>
    <t>GEAR, SPUR KT50/80 KS50/80/150 (COS+)</t>
  </si>
  <si>
    <t>W333510.B01</t>
  </si>
  <si>
    <t>KEY,PARALLEL A 6X6X20</t>
  </si>
  <si>
    <t>W334711.B01</t>
  </si>
  <si>
    <t>SPACER RND D26/3X11 STL</t>
  </si>
  <si>
    <t>JOHNSON MATTHEY DE MEXICO DE RL DE</t>
  </si>
  <si>
    <t>W218145.B01</t>
  </si>
  <si>
    <t>KIT OB ASSY K2T60           *S</t>
  </si>
  <si>
    <t>V794822.B05</t>
  </si>
  <si>
    <t>MTF agitator arm                     PCZ</t>
  </si>
  <si>
    <t>V751831.B20</t>
  </si>
  <si>
    <t>Multiflex accsy Agitator tip         PCZ</t>
  </si>
  <si>
    <t>W381911.B01</t>
  </si>
  <si>
    <t>W381975.B01</t>
  </si>
  <si>
    <t>KIT,STAND,MRCF,HANGING,210L,CS</t>
  </si>
  <si>
    <t>V555231.B01</t>
  </si>
  <si>
    <t>HX6A-2.251200101-011</t>
  </si>
  <si>
    <t>LOREAL USA</t>
  </si>
  <si>
    <t>W013818.B01</t>
  </si>
  <si>
    <t>Gearbox P531SPSS0040ME (B14,i4) ATEX2GD</t>
  </si>
  <si>
    <t>COPERION SEA LTD</t>
  </si>
  <si>
    <t>Flexible connection MULTICOR S160 d=189</t>
  </si>
  <si>
    <t>W382455.B01</t>
  </si>
  <si>
    <t>SEAL FOR MEASURING BEARING MCR800</t>
  </si>
  <si>
    <t>W383745.B01</t>
  </si>
  <si>
    <t>FLAT ROLLER 101, 6X315</t>
  </si>
  <si>
    <t>V593734.B01</t>
  </si>
  <si>
    <t>HXMMD-2.251200101-040</t>
  </si>
  <si>
    <t>W194423.B01</t>
  </si>
  <si>
    <t>O-RING,ID42X2 MVQ FDA    (COS+)</t>
  </si>
  <si>
    <t>W382585.B01</t>
  </si>
  <si>
    <t>UPGRADE CONTROL,DISOCONT TERSUS,VIF</t>
  </si>
  <si>
    <t>W224885.B01</t>
  </si>
  <si>
    <t>SCR AUGER 58MM AF OB STD K2T60</t>
  </si>
  <si>
    <t>W384362.B01</t>
  </si>
  <si>
    <t>KCM-III SERVO RETROFIT</t>
  </si>
  <si>
    <t>W194034.B01</t>
  </si>
  <si>
    <t>SCR 15MM AC E500 OB K2S60 DR</t>
  </si>
  <si>
    <t>W217176.B01</t>
  </si>
  <si>
    <t>W300     SA WEIGH BR SFT GP</t>
  </si>
  <si>
    <t>W361990.B01</t>
  </si>
  <si>
    <t>SEAL RING SHAFT D30/47X7 BA       (COS-)</t>
  </si>
  <si>
    <t>W224339.B01</t>
  </si>
  <si>
    <t>SHAFT SCREW K2S100</t>
  </si>
  <si>
    <t>W042556.B01</t>
  </si>
  <si>
    <t>HXLMD-1.001200101-023</t>
  </si>
  <si>
    <t>W207903.B01</t>
  </si>
  <si>
    <t>SABIC INNOVATIVE PLASTICS MT VERNON</t>
  </si>
  <si>
    <t>V704034.B14</t>
  </si>
  <si>
    <t>DUST ELBOW ASM,4.50 x 6.625,WHITE</t>
  </si>
  <si>
    <t>INV POLYPROPYLENE LLC</t>
  </si>
  <si>
    <t>V535860.B01</t>
  </si>
  <si>
    <t>HXMMA-0.505101101-008</t>
  </si>
  <si>
    <t>W210442.B01</t>
  </si>
  <si>
    <t>SCREW TCC DR OD58 E400 OB</t>
  </si>
  <si>
    <t>WEIGH BELT UPGRADES</t>
  </si>
  <si>
    <t>K BIN INC</t>
  </si>
  <si>
    <t>SWB300 WEIGH BELT PARTS</t>
  </si>
  <si>
    <t>COV MUFL 004 TYP04-5CP20/SS (COS-)</t>
  </si>
  <si>
    <t>V602440.B01</t>
  </si>
  <si>
    <t>HXLMD-1.001201011-014</t>
  </si>
  <si>
    <t>W211553.B01</t>
  </si>
  <si>
    <t>CONTROLLER KCM-III KD W/O MDU</t>
  </si>
  <si>
    <t>BAYOU WASCO INSULATION</t>
  </si>
  <si>
    <t>V647467.B01</t>
  </si>
  <si>
    <t>HXMMA-1.001200101-008</t>
  </si>
  <si>
    <t>W193025.B01</t>
  </si>
  <si>
    <t>CLAMP TRI SAFX FL D64            (COS-)</t>
  </si>
  <si>
    <t>W195470.B01</t>
  </si>
  <si>
    <t>CLAMP V D254 (2.2D) SST316L    (COS+)</t>
  </si>
  <si>
    <t>W210005.B01</t>
  </si>
  <si>
    <t>GASKET RND 2.2D MVQ WHT FDA      (COS+)</t>
  </si>
  <si>
    <t>W361982.B01</t>
  </si>
  <si>
    <t>O-RING,ID74X3 FEP-MVQ FDA</t>
  </si>
  <si>
    <t>W209983.B01</t>
  </si>
  <si>
    <t>W211083.B01</t>
  </si>
  <si>
    <t>MOTOR SERVO 1.225KW 320V          (COS-)</t>
  </si>
  <si>
    <t>V819445.B01</t>
  </si>
  <si>
    <t>NUT,M6-1.0,A2 SS 18-8,ACORN*</t>
  </si>
  <si>
    <t>W213725.B01</t>
  </si>
  <si>
    <t>VALVE  PNEU PULSE DIAPH 24V</t>
  </si>
  <si>
    <t>W380536.B01</t>
  </si>
  <si>
    <t>CLAMP TRI FL D106</t>
  </si>
  <si>
    <t>W380537.B01</t>
  </si>
  <si>
    <t>FITTING - NIP 3/4'' BSPT(M) 3/4''</t>
  </si>
  <si>
    <t>SHAKESPEARE COMPANY</t>
  </si>
  <si>
    <t>W115502.B01</t>
  </si>
  <si>
    <t>ROLLER, DRIVE</t>
  </si>
  <si>
    <t>W197790.B01</t>
  </si>
  <si>
    <t>SA SENSOR PRES ATEX IP 65</t>
  </si>
  <si>
    <t>W220420.B01</t>
  </si>
  <si>
    <t>GSKT U COVER W300 WHT SILICONE</t>
  </si>
  <si>
    <t>V168557.B14</t>
  </si>
  <si>
    <t>CONNECTOR,FLEXIBLE,10.75" X 18"LG W/CLMP</t>
  </si>
  <si>
    <t>BULK MOLDING COMPOUNDS MEXICO,</t>
  </si>
  <si>
    <t>V154646.B01</t>
  </si>
  <si>
    <t>LOADCELL-500# CAPACITY, SHEAR BEAM</t>
  </si>
  <si>
    <t>W022171.B01</t>
  </si>
  <si>
    <t>NZDMMF-2.25012000014-024</t>
  </si>
  <si>
    <t>W192818.B01</t>
  </si>
  <si>
    <t>SCR SET 20MM AC E-12 EPL KT20</t>
  </si>
  <si>
    <t>PPE ASSOCIATES INC</t>
  </si>
  <si>
    <t>B&amp;D INDUSTRIAL INC</t>
  </si>
  <si>
    <t>W212236.B01</t>
  </si>
  <si>
    <t>SA GEARBOX HIGH S100</t>
  </si>
  <si>
    <t>V804384.B01</t>
  </si>
  <si>
    <t>GASKET,TRICLOVER 1-1/2" #40MP-UW*</t>
  </si>
  <si>
    <t>W113356.B01</t>
  </si>
  <si>
    <t>AGITATOR,MOLDED,DMLDR,55A,1/2 THK,PU *</t>
  </si>
  <si>
    <t>W195874.B01</t>
  </si>
  <si>
    <t>AGITATOR-H 2BL SWORD MULT</t>
  </si>
  <si>
    <t>V773711.B01</t>
  </si>
  <si>
    <t>HXLMD-1.381200101-018</t>
  </si>
  <si>
    <t>V583584.B01</t>
  </si>
  <si>
    <t>HX6A-1.001200101-007</t>
  </si>
  <si>
    <t>LAMB WESTON INC</t>
  </si>
  <si>
    <t>V638163.B02</t>
  </si>
  <si>
    <t>CARRIER IDLER ASSY,4" DIA,DMO-30</t>
  </si>
  <si>
    <t>V162020.B02</t>
  </si>
  <si>
    <t>BELT TENSIONER AND TRACKING ASSY,DMO-30</t>
  </si>
  <si>
    <t>V162015.B01</t>
  </si>
  <si>
    <t>SCRAPER ASSY,HEAD PULLEY,H.F.,DMO-24</t>
  </si>
  <si>
    <t>V162411.B02</t>
  </si>
  <si>
    <t>HEAD PULLEY,SK32100,12.50",2.437",DMO-30</t>
  </si>
  <si>
    <t>QUOTIENT SCIENCES PHILADELPHIA LLC</t>
  </si>
  <si>
    <t>DISK LIP SEAL 1X26X47 (COS+)</t>
  </si>
  <si>
    <t>W053369.B01</t>
  </si>
  <si>
    <t>NOZZLE FTG,SFM,3/8 BSPP, NITRONIC*</t>
  </si>
  <si>
    <t>W053370.B01</t>
  </si>
  <si>
    <t>NOZZLE,SFM,3MM OUTLET,3/8 BSPP, 316L*</t>
  </si>
  <si>
    <t>W058435.B01</t>
  </si>
  <si>
    <t>FLUID,HEAT TRANSFER,USDA H1,FG</t>
  </si>
  <si>
    <t>W115327.B01</t>
  </si>
  <si>
    <t>SHAFT END,RLR,DRIVE,DMLDR,304</t>
  </si>
  <si>
    <t>W381643.B01</t>
  </si>
  <si>
    <t>MECHANICAL PARTS FOR REBUILD</t>
  </si>
  <si>
    <t>W381610.B01</t>
  </si>
  <si>
    <t>HOPPER ASYM 110L 6D GBO IMPR K2L</t>
  </si>
  <si>
    <t>W224693.B01</t>
  </si>
  <si>
    <t>SCR 35MM CF E100 K2T35 DR</t>
  </si>
  <si>
    <t>V929908.B01</t>
  </si>
  <si>
    <t>DIAPHRAGM AD08 POLY NYL MED</t>
  </si>
  <si>
    <t>AXALTA COATING SYSTEMS</t>
  </si>
  <si>
    <t>W382160.B01</t>
  </si>
  <si>
    <t>K2M FIBERGLASS HOR AGIT</t>
  </si>
  <si>
    <t>SCREW AUGER</t>
  </si>
  <si>
    <t>W226860.B01</t>
  </si>
  <si>
    <t>MOD MOT/AGIT J-BOX NEMA 4X</t>
  </si>
  <si>
    <t>W218051.B01</t>
  </si>
  <si>
    <t>KIT OB ASSY K2T35           *S</t>
  </si>
  <si>
    <t>W210413.B01</t>
  </si>
  <si>
    <t>SCREW SAF DR OD37 E613 K2S60</t>
  </si>
  <si>
    <t>W210122.B01</t>
  </si>
  <si>
    <t>SCREW SAC DR OD25 E322</t>
  </si>
  <si>
    <t>W210121.B01</t>
  </si>
  <si>
    <t>TUBE DISCH HORIZ ID41.3 E322</t>
  </si>
  <si>
    <t>SALTON MATIC FL INC</t>
  </si>
  <si>
    <t>CHEMTRUSION INC</t>
  </si>
  <si>
    <t>W220254.B01</t>
  </si>
  <si>
    <t>CPLG HUB SHAFT 7/8 BORE STL</t>
  </si>
  <si>
    <t>V621946.B01</t>
  </si>
  <si>
    <t>HXHMA-5.001100101-023</t>
  </si>
  <si>
    <t>RICH WORLD HEADQUARTERS</t>
  </si>
  <si>
    <t>V168925.B01</t>
  </si>
  <si>
    <t>LOADCELL,WEIGH MODULE ASY,W/2500LB RTM</t>
  </si>
  <si>
    <t>W216802.B01</t>
  </si>
  <si>
    <t>SCREW,304SS HHD M6-1.0X12</t>
  </si>
  <si>
    <t>P Q CORP (NJ)</t>
  </si>
  <si>
    <t>W216804.B01</t>
  </si>
  <si>
    <t>SCREW,304SS HHD M6-1.0X16</t>
  </si>
  <si>
    <t>W216916.B01</t>
  </si>
  <si>
    <t>NUT,HEX 304SS NYL LOCK M6-1.0</t>
  </si>
  <si>
    <t>W362125.B01</t>
  </si>
  <si>
    <t>BRKT                     SW300</t>
  </si>
  <si>
    <t>W362199.B01</t>
  </si>
  <si>
    <t>SPACER 8/6X7.15          SW300</t>
  </si>
  <si>
    <t>W223798.B01</t>
  </si>
  <si>
    <t>WEIGH BARS SW600</t>
  </si>
  <si>
    <t>W224722.B01</t>
  </si>
  <si>
    <t>SCREW SAF DR OD49 E50</t>
  </si>
  <si>
    <t>SHAFT AGITATOR K2M (COS-)</t>
  </si>
  <si>
    <t>W223780.B01</t>
  </si>
  <si>
    <t>RTNR AG HDN K2T2T3S6   (COS-)</t>
  </si>
  <si>
    <t>W193239.B01</t>
  </si>
  <si>
    <t>BELT 1200.03F FLAT WHT FOOD</t>
  </si>
  <si>
    <t>W384375.B01</t>
  </si>
  <si>
    <t>K2-S60 SPARES</t>
  </si>
  <si>
    <t>W215753.B01</t>
  </si>
  <si>
    <t>SCREW SAC DR OD49 E0</t>
  </si>
  <si>
    <t>W215754.B01</t>
  </si>
  <si>
    <t>SCREW SAF DR OD49 E0</t>
  </si>
  <si>
    <t>W381886.B01</t>
  </si>
  <si>
    <t>WEIGH BELT,VULCANISED,W062584.B01</t>
  </si>
  <si>
    <t>W381887.B01</t>
  </si>
  <si>
    <t>WEIGH BELT,VULCANISED,W036627.B01</t>
  </si>
  <si>
    <t>W381889.B01</t>
  </si>
  <si>
    <t>BUCKLED PLATE BELT,1000MM,W061348.B02</t>
  </si>
  <si>
    <t>W381890.B01</t>
  </si>
  <si>
    <t>BUCKLED PLATE BELT,1000MM,W061348.B22</t>
  </si>
  <si>
    <t>W382534.B01</t>
  </si>
  <si>
    <t>SCREW - TAC DR OD36 E50 OAL291.5</t>
  </si>
  <si>
    <t>NORTH MONSEN CO</t>
  </si>
  <si>
    <t>V684624.B01</t>
  </si>
  <si>
    <t>NZ6-2.250121000-045</t>
  </si>
  <si>
    <t>W270978.B01</t>
  </si>
  <si>
    <t>GASKET RING D450 V-SHAPE SLCN</t>
  </si>
  <si>
    <t>W270896.B01</t>
  </si>
  <si>
    <t>FILTER,RD60X400 POLYESTER</t>
  </si>
  <si>
    <t>COLOPLAST VOLUME MANUFACTURING</t>
  </si>
  <si>
    <t>V628641.B01</t>
  </si>
  <si>
    <t>HXHMD-6.001200101-012</t>
  </si>
  <si>
    <t>AUTOMATED INGREDIENT SYSTEMS LLC</t>
  </si>
  <si>
    <t>V664992.B01</t>
  </si>
  <si>
    <t>HXMMD-1.381200101-012</t>
  </si>
  <si>
    <t>W222367.B01</t>
  </si>
  <si>
    <t>TWIN AUGER T35/P1 1.46DIA</t>
  </si>
  <si>
    <t>STATESIDE INDUSTRIAL SOLUTIONS</t>
  </si>
  <si>
    <t>V172500.B01</t>
  </si>
  <si>
    <t>VIBRATOR,DOSING JD30/LOAD CAPAC 2.54KG</t>
  </si>
  <si>
    <t>E020522.11</t>
  </si>
  <si>
    <t>Zahnriemen-Synchroforce-CXP HTD800-5M-25</t>
  </si>
  <si>
    <t>ST MARYS CEMENT INC (CANADA)</t>
  </si>
  <si>
    <t>CONTROL UPGRADE DISOCONT CLASSIC TO TERS</t>
  </si>
  <si>
    <t>W197538.B01</t>
  </si>
  <si>
    <t>SA DISK BSP135 SAM TEXTURED HC</t>
  </si>
  <si>
    <t>W197535.B01</t>
  </si>
  <si>
    <t>SA DISK COVER BSP135 SAM</t>
  </si>
  <si>
    <t>W224952.B01</t>
  </si>
  <si>
    <t>SCR SET CNC 18MM CF STD K2T20</t>
  </si>
  <si>
    <t>KNOLL LLC</t>
  </si>
  <si>
    <t>W214420.B01</t>
  </si>
  <si>
    <t>SCREW TCC D OD20 E100 OAL350</t>
  </si>
  <si>
    <t>CQ MEDICAL/ANHOLT</t>
  </si>
  <si>
    <t>W361852.B01</t>
  </si>
  <si>
    <t>LOAD CELL SWB-300 ATEX 2GD  (COS-)</t>
  </si>
  <si>
    <t>COLSEIN SAS</t>
  </si>
  <si>
    <t>V162020.B06</t>
  </si>
  <si>
    <t>BELT TENSIONER AND TRACKING ASSY,DMO-54</t>
  </si>
  <si>
    <t>D726179.02</t>
  </si>
  <si>
    <t>LOAD CELL,RTN 220T,C3</t>
  </si>
  <si>
    <t>W259306.B01</t>
  </si>
  <si>
    <t>CNTRL,INTTERSUS,VEG,VBW,EIP,BELT WEIGHER</t>
  </si>
  <si>
    <t>V145961.B02</t>
  </si>
  <si>
    <t>LOAD CELL,RTN 22T,0.05%</t>
  </si>
  <si>
    <t>LWF-3 GRAVIMETRIC SCALE UPGRADE</t>
  </si>
  <si>
    <t>W196095.B01</t>
  </si>
  <si>
    <t>SA DISK HALF RATE W/O DIMPLES</t>
  </si>
  <si>
    <t>V066710.B01</t>
  </si>
  <si>
    <t>Set of rear pulley bearings 190 MTD-E</t>
  </si>
  <si>
    <t>COPERION EQUIPAMENTOS INDUSTRIAIS L</t>
  </si>
  <si>
    <t>BRL</t>
  </si>
  <si>
    <t>V066708.B01</t>
  </si>
  <si>
    <t>Set of drive pulley bearings 190 MTD-E</t>
  </si>
  <si>
    <t>W198303.B01</t>
  </si>
  <si>
    <t>SCREW SAC DR OD58 E100 K2S100</t>
  </si>
  <si>
    <t>W224673.B01</t>
  </si>
  <si>
    <t>SCREW SAC DR OD58 E0 OAL592.5</t>
  </si>
  <si>
    <t>W196556.B01</t>
  </si>
  <si>
    <t>SCREW SAC DR OD78 E150</t>
  </si>
  <si>
    <t>D726173.02</t>
  </si>
  <si>
    <t>LOAD CELL,RTN,1T,C3</t>
  </si>
  <si>
    <t>NUCOR STEEL</t>
  </si>
  <si>
    <t>V593670.B01</t>
  </si>
  <si>
    <t>HXMMD-2.251200101-047</t>
  </si>
  <si>
    <t>V168557.B05</t>
  </si>
  <si>
    <t>CONNECTOR,FLEXIBLE 7"DIAX18"LONG W/CLAMP</t>
  </si>
  <si>
    <t>V167080.B01</t>
  </si>
  <si>
    <t>VIBRATOR,ECCENTRIC,MDL CD36-3280</t>
  </si>
  <si>
    <t>V684752.B01</t>
  </si>
  <si>
    <t>HXMMA-3.001201011-012</t>
  </si>
  <si>
    <t>V811084.B01</t>
  </si>
  <si>
    <t>HXMMD-0.751100201-043</t>
  </si>
  <si>
    <t>V589541.B01</t>
  </si>
  <si>
    <t>HX6A-1.751200101-029</t>
  </si>
  <si>
    <t>W384131.B01</t>
  </si>
  <si>
    <t>K2-MV-T35 MODULE</t>
  </si>
  <si>
    <t>V574916.B01</t>
  </si>
  <si>
    <t>HLX,4.0",VARIABLE PITCH,DELRIN,900 66"FF</t>
  </si>
  <si>
    <t>FRITO LAY INC</t>
  </si>
  <si>
    <t>W003001.B02</t>
  </si>
  <si>
    <t>CHAIN SECTION,2.609" PITCH,24"F,8-PITCH</t>
  </si>
  <si>
    <t>COLORTECH</t>
  </si>
  <si>
    <t>V150287.B01</t>
  </si>
  <si>
    <t>HX9A-4.001200101-012</t>
  </si>
  <si>
    <t>W383730.B01</t>
  </si>
  <si>
    <t>K-MV-T80 MODULE</t>
  </si>
  <si>
    <t>W191687.B01</t>
  </si>
  <si>
    <t>SCR 35MM CF E400 OB K2T35 DR</t>
  </si>
  <si>
    <t>V168217.B01</t>
  </si>
  <si>
    <t>SEAL, 35 OD X 19 ID, 3A/USDA</t>
  </si>
  <si>
    <t>V497529.B01</t>
  </si>
  <si>
    <t>NZMMF-1.375122000-019</t>
  </si>
  <si>
    <t>W140711.B01</t>
  </si>
  <si>
    <t>HXMMD-2.251200201-040</t>
  </si>
  <si>
    <t>MIA EXPRESS INC</t>
  </si>
  <si>
    <t>W224949.B01</t>
  </si>
  <si>
    <t>SCR SPIRAL 12MM SC STD K2T20</t>
  </si>
  <si>
    <t>KCM III RETROFIT PACKAGE LWF-1</t>
  </si>
  <si>
    <t>KCM III RETROFIT PACKAGE LWF-3</t>
  </si>
  <si>
    <t>KCM III RETROFIT PACKAGE LWF-2B</t>
  </si>
  <si>
    <t>W369458.B01</t>
  </si>
  <si>
    <t>AGITATOR-V - ARCH SGL LIP ASYM 6D</t>
  </si>
  <si>
    <t>SHELL CHEMICAL APPALACHIA LLC</t>
  </si>
  <si>
    <t>W127378.B01</t>
  </si>
  <si>
    <t>HXMMD-0.751200101-018</t>
  </si>
  <si>
    <t>CAVENDISH FARMS CORPORATION</t>
  </si>
  <si>
    <t>19056879 Elbow, R=600- 90deg- SV1=520/SV</t>
  </si>
  <si>
    <t>V741243.B01</t>
  </si>
  <si>
    <t>NZDMMF-1.37512000010-036 WLD BEAD</t>
  </si>
  <si>
    <t>V749830.B01</t>
  </si>
  <si>
    <t>NZMMF-2.250121000-018</t>
  </si>
  <si>
    <t>V575227.B01</t>
  </si>
  <si>
    <t>HXMMA-1.381200101-018</t>
  </si>
  <si>
    <t>V900557.B01</t>
  </si>
  <si>
    <t>HXMMA-1.381200111-018</t>
  </si>
  <si>
    <t>V567379.B01</t>
  </si>
  <si>
    <t>HXMMA-2.255101101-018</t>
  </si>
  <si>
    <t>V152347.B01</t>
  </si>
  <si>
    <t>HXMMA-1.755101201-019</t>
  </si>
  <si>
    <t>W224947.B01</t>
  </si>
  <si>
    <t>SCR SET SPL 20MM SC STD K2T20</t>
  </si>
  <si>
    <t>INEOS STYROLUTION AMERICA LLC</t>
  </si>
  <si>
    <t>W213200.B01</t>
  </si>
  <si>
    <t>SCREW TAC D OD20 E50</t>
  </si>
  <si>
    <t>Flexible connection silicone D1=70</t>
  </si>
  <si>
    <t>Z950430.01</t>
  </si>
  <si>
    <t>V002611.B01</t>
  </si>
  <si>
    <t>V006936.B01</t>
  </si>
  <si>
    <t>PTFE band self-adhesive 10x2</t>
  </si>
  <si>
    <t>V172505.B01</t>
  </si>
  <si>
    <t>PROTECTIVE CAP GPN 910, D=36mm</t>
  </si>
  <si>
    <t>Protective cap  yellow for tube diameter</t>
  </si>
  <si>
    <t>V034259.B03</t>
  </si>
  <si>
    <t>flexible connection silicone D1=100</t>
  </si>
  <si>
    <t>Flexible connection silicone DN150</t>
  </si>
  <si>
    <t>Filter Bag DN100       PP/PP    D120x150</t>
  </si>
  <si>
    <t>V013889.B01</t>
  </si>
  <si>
    <t>Sterngriff DIN6336, Form D, M8</t>
  </si>
  <si>
    <t>V535799.B04</t>
  </si>
  <si>
    <t>V535701.B01</t>
  </si>
  <si>
    <t>V794822.B07</t>
  </si>
  <si>
    <t>Multiflex accsy guiding gib C2       PCZ</t>
  </si>
  <si>
    <t>W085544.B01</t>
  </si>
  <si>
    <t>NOZZLE, 3A MECH</t>
  </si>
  <si>
    <t>V152017.B01</t>
  </si>
  <si>
    <t>HXMMA-1.385101111-048</t>
  </si>
  <si>
    <t>V045836.B06</t>
  </si>
  <si>
    <t>Weighdisc WDI 15t C1 complete 15m cable</t>
  </si>
  <si>
    <t>KOCH FERTILIZER WEVER LLC</t>
  </si>
  <si>
    <t>V530312.B01</t>
  </si>
  <si>
    <t>BUSHING,INSULATING,15 TON,MULTIRAIL</t>
  </si>
  <si>
    <t>V526985.B01</t>
  </si>
  <si>
    <t>BUSHING,CENTER</t>
  </si>
  <si>
    <t>V532154.B01</t>
  </si>
  <si>
    <t>O-RING,2-245,.139 X 4.359ID,BUNA-N</t>
  </si>
  <si>
    <t>V171372.B05</t>
  </si>
  <si>
    <t>WASHER,FLAT,M24,ZP</t>
  </si>
  <si>
    <t>V171387.B20</t>
  </si>
  <si>
    <t>SCREW,SCKT HD CP,M16-2.00X65MM,ZP,CL10.9</t>
  </si>
  <si>
    <t>V171387.B18</t>
  </si>
  <si>
    <t>SCREW,SCKT HD CP,M16-2.00X35MM,ZP,CL10.9</t>
  </si>
  <si>
    <t>V171387.B19</t>
  </si>
  <si>
    <t>SCREW,SCKT HD CP,M16-2.00X40MM,ZP,CL10.9</t>
  </si>
  <si>
    <t>V171377.B04</t>
  </si>
  <si>
    <t>WASHER,LOCK,M6,SPLIT,SS</t>
  </si>
  <si>
    <t>V154577.B01</t>
  </si>
  <si>
    <t>SCREW,HEX HD CAP,M6-1.0 X 12MM,SS</t>
  </si>
  <si>
    <t>V171824.B02</t>
  </si>
  <si>
    <t>SCREW, HEX LAG 0.500 X 2.000,ZP</t>
  </si>
  <si>
    <t>V536433.B01</t>
  </si>
  <si>
    <t>WIRE,HOOK-UP,8AWG,CE,450V,70C,GRN/YEL</t>
  </si>
  <si>
    <t>V536423.B01</t>
  </si>
  <si>
    <t>RING,TERMINAL,#8 AWG WIRE,SELF-INSULATNG</t>
  </si>
  <si>
    <t>V546127.B04</t>
  </si>
  <si>
    <t>PLATE, ISOLATION, ECLIP,ROLLED,6.0"</t>
  </si>
  <si>
    <t>V547459.B01</t>
  </si>
  <si>
    <t>CAP, PROTECTION, PIPE, GPN 250/24</t>
  </si>
  <si>
    <t>V549255.B01</t>
  </si>
  <si>
    <t>RAIL CLIP TYPE E2055</t>
  </si>
  <si>
    <t>V602604.B01</t>
  </si>
  <si>
    <t>SCREW,HEX HD FLANGE,.375-16 X .500,ZP</t>
  </si>
  <si>
    <t>V612300.B01</t>
  </si>
  <si>
    <t>SCREW,HEX HD CAP,M24-3X50MM,ZP,2353PATCH</t>
  </si>
  <si>
    <t>V595227.B01</t>
  </si>
  <si>
    <t>PLATE, COVER, MULTI TRAIN</t>
  </si>
  <si>
    <t>W383413.B01</t>
  </si>
  <si>
    <t>SOFTWARE TRAIN SCALE</t>
  </si>
  <si>
    <t>W383414.B01</t>
  </si>
  <si>
    <t>TIE CSX RAILSCALE</t>
  </si>
  <si>
    <t>V168420.B01</t>
  </si>
  <si>
    <t>SHAFT,T-DRIVE ASSY,3A MID-MECH,304</t>
  </si>
  <si>
    <t>W106381.B01</t>
  </si>
  <si>
    <t>HXMMA-2.255101271-012</t>
  </si>
  <si>
    <t>MOLINOS AZTECA S.A. DE C.V.</t>
  </si>
  <si>
    <t>W220887.B01</t>
  </si>
  <si>
    <t>PINION DR 15T/3M 15MM DIA C45</t>
  </si>
  <si>
    <t>W220886.B01</t>
  </si>
  <si>
    <t>PUL 90T T5P 32MM 15B</t>
  </si>
  <si>
    <t>RPR KTRON FEEDER -   REPAIR</t>
  </si>
  <si>
    <t>W338376.B01</t>
  </si>
  <si>
    <t>W192357.B01</t>
  </si>
  <si>
    <t>SCR 50MM AF E200 OB K2S60 DR</t>
  </si>
  <si>
    <t>EIELSON AIR FORCE BASE</t>
  </si>
  <si>
    <t>W188745.B01</t>
  </si>
  <si>
    <t>K2M GT2  SA PULLEY 27MM 26B 20</t>
  </si>
  <si>
    <t>W188746.B01</t>
  </si>
  <si>
    <t>K2M GT2  SA PULLEY 27MM 26B 29</t>
  </si>
  <si>
    <t>V036272.B50</t>
  </si>
  <si>
    <t>REGENXBIO INC</t>
  </si>
  <si>
    <t>1283-90015 T80 Gearbox Repair/Rebuild</t>
  </si>
  <si>
    <t>DUPONT</t>
  </si>
  <si>
    <t>DON DAVID GOLD MEXICO SA DE CV</t>
  </si>
  <si>
    <t>RINGWOOD COMPANY INC</t>
  </si>
  <si>
    <t>SA FDR CONTROLLER KCM-III-KD</t>
  </si>
  <si>
    <t>REPROCESADORA DE PLASTICOS</t>
  </si>
  <si>
    <t>K2-ML-D5-T35 W259380.B01 DEFECT</t>
  </si>
  <si>
    <t>K2-ML-D5-T35 W259380.B01 REPAIR</t>
  </si>
  <si>
    <t>V138266.B01</t>
  </si>
  <si>
    <t>CLAMP, DAMPER SUPPORT 6000 SCALE</t>
  </si>
  <si>
    <t>TREE TOP CORP</t>
  </si>
  <si>
    <t>W333607.B01</t>
  </si>
  <si>
    <t>W223624.B01</t>
  </si>
  <si>
    <t>BRKT TO PICK-UP K2M K2S60 QC</t>
  </si>
  <si>
    <t>W215782.B01</t>
  </si>
  <si>
    <t>MOT 1.5HP 1500RPM 1145TC TEBC</t>
  </si>
  <si>
    <t>W223749.B01</t>
  </si>
  <si>
    <t>BUFF,SPRING ELMNT K-T/S-50-150   (COS-)</t>
  </si>
  <si>
    <t>GEAR, SPUR KT50/80 KS50/80/150</t>
  </si>
  <si>
    <t>W211350.B01</t>
  </si>
  <si>
    <t>CONTROLLER KCM-III SD DC 450W</t>
  </si>
  <si>
    <t>W334635.B01</t>
  </si>
  <si>
    <t>GEHAEUSE-TOGEAR MIDDLE RAL7035</t>
  </si>
  <si>
    <t>W222618.B01</t>
  </si>
  <si>
    <t>TUBE DISCH VERT STDL+100 KS150</t>
  </si>
  <si>
    <t>W195355.B01</t>
  </si>
  <si>
    <t>TOUCHSCREEN 8 WIRE 12.1''</t>
  </si>
  <si>
    <t>W226741.B01</t>
  </si>
  <si>
    <t>MODULE WAGO VP DGTL OUT PULSE</t>
  </si>
  <si>
    <t>W336035.B01</t>
  </si>
  <si>
    <t>CONTROLLER KCM-III SD VX/ AC</t>
  </si>
  <si>
    <t>V139261.B01</t>
  </si>
  <si>
    <t>HOPPER,900 SERIES,PVC,GRAY,FDA/EU1935</t>
  </si>
  <si>
    <t>RIDLEY BLOCK OPERATIONS</t>
  </si>
  <si>
    <t>V150277.B01</t>
  </si>
  <si>
    <t>HX9A-4.001200001-030</t>
  </si>
  <si>
    <t>Measuring cable 5 x 2 x 0.5 mm</t>
  </si>
  <si>
    <t>1123-90000 SWB300 Weighbridge - New</t>
  </si>
  <si>
    <t>V162112.B08</t>
  </si>
  <si>
    <t>*IDLER, BELT TRACKER, SWS STD 72" UNIT</t>
  </si>
  <si>
    <t>AS01094 PNEU REGULATOR/LOCKOUT ASSEMBLY</t>
  </si>
  <si>
    <t>V383590.B02</t>
  </si>
  <si>
    <t>Sealing kit Housing for MCL 800-DN175</t>
  </si>
  <si>
    <t>V168942.B01</t>
  </si>
  <si>
    <t>CONTROL,N1,REM,TPP,AUTO,110,SD,90DC</t>
  </si>
  <si>
    <t>V172478.B01</t>
  </si>
  <si>
    <t>CLAMP,V-BAND,483mm DIA</t>
  </si>
  <si>
    <t>LEXMARK INTL INC</t>
  </si>
  <si>
    <t>W093148.B01</t>
  </si>
  <si>
    <t>SPACER,AGIT,LR,85MM BC GRMTR MTG,304</t>
  </si>
  <si>
    <t>Credit for local rework ($3,000)</t>
  </si>
  <si>
    <t>HXMMA-3.501200001-029</t>
  </si>
  <si>
    <t>CONTROLLER KCM-III MODERNIZATION KIT</t>
  </si>
  <si>
    <t>VARIOFACE TEMINAL BOARD RETROFIT KIT</t>
  </si>
  <si>
    <t>CYGNI GLOBAL INC</t>
  </si>
  <si>
    <t>UPGRADE 1HP AGITATION VFD</t>
  </si>
  <si>
    <t>K-TRON FEEDER COVER, 6D (600MM)</t>
  </si>
  <si>
    <t>FABRICATED TRANSITION</t>
  </si>
  <si>
    <t>FILTER BAG CAGE</t>
  </si>
  <si>
    <t>LINE COMPRESSION COUPLING</t>
  </si>
  <si>
    <t>HOSE CLAMP</t>
  </si>
  <si>
    <t>K-TRON FEEDER COVER, 10 (1000MM)</t>
  </si>
  <si>
    <t>FILTER BAG</t>
  </si>
  <si>
    <t>REPAIR OF BRAY VALVE BY VENDOR</t>
  </si>
  <si>
    <t>INTECONT PLUS TO INTECONT TERSUS CONTROL</t>
  </si>
  <si>
    <t>MOLINOS AZTECA DE VERACRUZ SA DE CV</t>
  </si>
  <si>
    <t>XTRUTECH LTD</t>
  </si>
  <si>
    <t>Sys 2.04.25 T35 DR E200 Feed Module HD</t>
  </si>
  <si>
    <t>Sys 3.01.25 S100 DR E200 Feed Module HD</t>
  </si>
  <si>
    <t>Sys 3.02.25 S60 DR E200 Feed Module HD</t>
  </si>
  <si>
    <t>Sys 3.03.25 T35 DR E200 Feed Module HD</t>
  </si>
  <si>
    <t>Sys 3.04.25 T35 DR E200 Feed Module HD</t>
  </si>
  <si>
    <t>Sys 4.01.25 S100 DR E200 Feed Module HD</t>
  </si>
  <si>
    <t>Sys 4.02.25 S60 DR E200 Feed Module HD</t>
  </si>
  <si>
    <t>Sys 4.03.25 T35 DR E200 Feed Module HD</t>
  </si>
  <si>
    <t>Sys 4.04.25 S60 DR E200 Feed Module HD</t>
  </si>
  <si>
    <t>Sys 4.05.25 S60 DR E200 Feed Module HD</t>
  </si>
  <si>
    <t>Sys 5.01.25 S100 DR E200 Feed Module HD</t>
  </si>
  <si>
    <t>Sys 5.02.25 S60 DR E200 Feed Module HD</t>
  </si>
  <si>
    <t>Sys 5.03.25 T35 DR E200 Feed Module HD</t>
  </si>
  <si>
    <t>Sys 5.04.25 S60 DR E200 Feed Module HD</t>
  </si>
  <si>
    <t>Sys 5.05.25 S60 DR E200 Feed Module HD</t>
  </si>
  <si>
    <t>Sys 6.01.25 S60 DR E200 Feed Module HD</t>
  </si>
  <si>
    <t>Sys 6.02.25 Spare Parts</t>
  </si>
  <si>
    <t>Sys 7.01.25 S100 DR E200 Feed Module HD</t>
  </si>
  <si>
    <t>Sys 7.02.25 T35 DR E200 Feed Module HD</t>
  </si>
  <si>
    <t>Sys 7.03.25 S60 DR E200 Feed Module HD</t>
  </si>
  <si>
    <t>Sys 9.01.25 S100 DR E200 Feed Module HD</t>
  </si>
  <si>
    <t>Sys 9.02.25 T35 DR E200 Feed Module HD</t>
  </si>
  <si>
    <t>Sys 9.03.25 S60 DR E200 Feed Module HD</t>
  </si>
  <si>
    <t>Sys 9.04.25 S60 DR E200 Feed Module HD</t>
  </si>
  <si>
    <t>Sys 10.01.25 S100 DR E200 Feed Module HD</t>
  </si>
  <si>
    <t>Sys 10.02.25 T35 DR E200 Feed Module HD</t>
  </si>
  <si>
    <t>Sys 10.03.25 S60 DR E200 Feed Module HD</t>
  </si>
  <si>
    <t>Additional Spare Parts Items</t>
  </si>
  <si>
    <t>W190672.B01</t>
  </si>
  <si>
    <t>PCB ASSY 1600W DRIVE KCM</t>
  </si>
  <si>
    <t>OPPFILM SA</t>
  </si>
  <si>
    <t>W220522.B01</t>
  </si>
  <si>
    <t>SHAFT SEAL TWO-LIP</t>
  </si>
  <si>
    <t>KCM COVER - DEFECT</t>
  </si>
  <si>
    <t>V081903.B01</t>
  </si>
  <si>
    <t>MODULE,FIELDBUS,DEVICEBUS,VCB 28020</t>
  </si>
  <si>
    <t>WHITEWATER REPAIR TO CUSTOMER</t>
  </si>
  <si>
    <t>FUJIFILM DIOSYNTH BIOTECH TX</t>
  </si>
  <si>
    <t>V162838.B05</t>
  </si>
  <si>
    <t>HOPPER EXTEN. WLDMT,304,481x280x280,30L</t>
  </si>
  <si>
    <t>V154587.B01</t>
  </si>
  <si>
    <t>LEVELING GLIDE M10 X 35,ZINC PLATED</t>
  </si>
  <si>
    <t>V172451.B07</t>
  </si>
  <si>
    <t>HOPPER,35mm,PUR,WHITE,INDUST</t>
  </si>
  <si>
    <t>W372698.B01</t>
  </si>
  <si>
    <t>HXMMD-1.754201011-037</t>
  </si>
  <si>
    <t>X681155.02</t>
  </si>
  <si>
    <t>Pressure piece RT 1-4,7 PSL/10-22t for R</t>
  </si>
  <si>
    <t>W052730.B01</t>
  </si>
  <si>
    <t>DRV ASM,MRCF,HLX,1HP,60Hz,10:1,IP66</t>
  </si>
  <si>
    <t>TAYLOR FRAC LLC</t>
  </si>
  <si>
    <t>W193653.B01</t>
  </si>
  <si>
    <t>MOTOR DC 1.6KW 200V 2000RPM (COS-)</t>
  </si>
  <si>
    <t>RUBIX POLSKA SA</t>
  </si>
  <si>
    <t>S-80 - REPAIR</t>
  </si>
  <si>
    <t>NATIONAL GYPSUM COMPANY</t>
  </si>
  <si>
    <t>W194115.B01</t>
  </si>
  <si>
    <t>ADAPTER FILTER JET MINI</t>
  </si>
  <si>
    <t>W382998.B01</t>
  </si>
  <si>
    <t>PLUG - CONNECTING SCREW G 3/4</t>
  </si>
  <si>
    <t>W193902.B01</t>
  </si>
  <si>
    <t>LID CLEANING UNIT</t>
  </si>
  <si>
    <t>W281389.B01</t>
  </si>
  <si>
    <t>CTDG,12-3/4"X18"LG SS FDA SB</t>
  </si>
  <si>
    <t>W220824.B01</t>
  </si>
  <si>
    <t>O-RING 66.34ID X 2.62THK K2M</t>
  </si>
  <si>
    <t>HXLMA-0.501200001-007</t>
  </si>
  <si>
    <t>ENTERPRISE CP</t>
  </si>
  <si>
    <t>V158900.B01</t>
  </si>
  <si>
    <t>NZLMF-0.500120000-007</t>
  </si>
  <si>
    <t>V154359.B01</t>
  </si>
  <si>
    <t>BEARING,BALL 1.850 OD X .406</t>
  </si>
  <si>
    <t>HORMEL FOOD CORP</t>
  </si>
  <si>
    <t>V137424.B01</t>
  </si>
  <si>
    <t>ECCENTRIC SHAFT, 1200 FEEDER</t>
  </si>
  <si>
    <t>V154360.B01</t>
  </si>
  <si>
    <t>BEARING,BALL 3.937 OD</t>
  </si>
  <si>
    <t>V137440.B01</t>
  </si>
  <si>
    <t>ECCENTRIC,1200 FEEDER .50 OFFSET</t>
  </si>
  <si>
    <t>V139254.B01</t>
  </si>
  <si>
    <t>LEVER ASSY, 900 AGITATOR</t>
  </si>
  <si>
    <t>V154358.B01</t>
  </si>
  <si>
    <t>BEARING,BRONZE OIL IMPG,.813</t>
  </si>
  <si>
    <t>V154348.B01</t>
  </si>
  <si>
    <t>KEY, HIPRO 606</t>
  </si>
  <si>
    <t>V154354.B01</t>
  </si>
  <si>
    <t>RING,RETAINING,INTERNAL,3.938 SHAFT DIA</t>
  </si>
  <si>
    <t>V154353.B01</t>
  </si>
  <si>
    <t>RING,RETAINING,EXTERNAL,4.25 SHAFT DIA</t>
  </si>
  <si>
    <t>V137426.B01</t>
  </si>
  <si>
    <t>SPACER, .389</t>
  </si>
  <si>
    <t>V137661.B01</t>
  </si>
  <si>
    <t>SHAFT, T-DRIVE SPROCKET ASSEMBLY</t>
  </si>
  <si>
    <t>V137427.B01</t>
  </si>
  <si>
    <t>SPACER, .878"</t>
  </si>
  <si>
    <t>V137413.B01</t>
  </si>
  <si>
    <t>BUSHING, ECCENTRIC 1200 FEEDER</t>
  </si>
  <si>
    <t>V154361.B01</t>
  </si>
  <si>
    <t>BEARING,BALL 1.575</t>
  </si>
  <si>
    <t>V154355.B01</t>
  </si>
  <si>
    <t>RING,RETAINING,INVERTED,EXT.SERIES</t>
  </si>
  <si>
    <t>V153943.B01</t>
  </si>
  <si>
    <t>RING,RETAINING,E-CLIP,.625 SHAFT DIA</t>
  </si>
  <si>
    <t>V154352.B01</t>
  </si>
  <si>
    <t>RING,RETAINING,E-CLIP,1.188 SHAFT DIA</t>
  </si>
  <si>
    <t>V154124.B01</t>
  </si>
  <si>
    <t>BEARING,DODGE 1.25 INCH</t>
  </si>
  <si>
    <t>V137485.B01</t>
  </si>
  <si>
    <t>BEARING RING,OLD STYLE 900,1200</t>
  </si>
  <si>
    <t>V137662.B01</t>
  </si>
  <si>
    <t>SHAFT, T-DRIVE, ACME THREAD</t>
  </si>
  <si>
    <t>V139164.B01</t>
  </si>
  <si>
    <t>OUTER BEARING SUPPORT, SANITARY-GLASS BE</t>
  </si>
  <si>
    <t>V137415.B01</t>
  </si>
  <si>
    <t>LINK, COMPLETE PER PRINT</t>
  </si>
  <si>
    <t>V674046.B01</t>
  </si>
  <si>
    <t>HXMMA-1.751200101-048</t>
  </si>
  <si>
    <t>W221993.B01</t>
  </si>
  <si>
    <t>GEAR SPUR STR CUT W12 T95</t>
  </si>
  <si>
    <t>BASF MOBILE EMISSIONS CATALYSTS LLC</t>
  </si>
  <si>
    <t>W191389.B01</t>
  </si>
  <si>
    <t>PCB ASSY ENCODER INTERFACE KCM</t>
  </si>
  <si>
    <t>W223726.B01</t>
  </si>
  <si>
    <t>SHAFT PINION K2MT20</t>
  </si>
  <si>
    <t>W213992.B01</t>
  </si>
  <si>
    <t>SEAL RING PRE D44.8/D21.8X3.2     (COS+)</t>
  </si>
  <si>
    <t>W188737.B01</t>
  </si>
  <si>
    <t>KIT RETROFIT GEARBOX K2 GT2</t>
  </si>
  <si>
    <t>W225309.B01</t>
  </si>
  <si>
    <t>BELLOWS BLG RND D60.3[2]          (COS+)</t>
  </si>
  <si>
    <t>PROFORM FINISHING PRODUCTS LLC</t>
  </si>
  <si>
    <t>FREIGHT PPD &amp; TO BILL</t>
  </si>
  <si>
    <t>CHEMELEX LLC</t>
  </si>
  <si>
    <t>PASEO CARGILL ENERGY LLC</t>
  </si>
  <si>
    <t>FREUDENBERG PERFORMANCE MATERIALS</t>
  </si>
  <si>
    <t>FREIGHT PPD&amp; TO BILL R&amp;L 4109 02-26-26</t>
  </si>
  <si>
    <t>POLTEX</t>
  </si>
  <si>
    <t>GEORGIA PACIFIC (LAS VEGAS)</t>
  </si>
  <si>
    <t>DURACELL MANUFACTURING INC</t>
  </si>
  <si>
    <t>GRUMA CORPORATION</t>
  </si>
  <si>
    <t>OKONITE COMPANY</t>
  </si>
  <si>
    <t>TEMPERPACK TECHNOLOGIES INC</t>
  </si>
  <si>
    <t>ETRIA PRODUCTS USA INC</t>
  </si>
  <si>
    <t>AG PROCESSING</t>
  </si>
  <si>
    <t>EMS CHEMIE NORTH AMERICA INC</t>
  </si>
  <si>
    <t>FREIGHT PPD &amp; TO BILL FEDEX 3714 3.3.26</t>
  </si>
  <si>
    <t>AMERICAN KENDA RUBBER INDUSTRIAL CO</t>
  </si>
  <si>
    <t>DIXIE ELECTRIC CONTROLS INC</t>
  </si>
  <si>
    <t>W211396.B01</t>
  </si>
  <si>
    <t>PCB KCM-III HOST COMM PROFINET</t>
  </si>
  <si>
    <t>W334110.B01</t>
  </si>
  <si>
    <t>8" ORBINOX KNIFE GATE VALVE</t>
  </si>
  <si>
    <t>W385391.B01</t>
  </si>
  <si>
    <t>CHANGE ORDER DOLLARS CO 1</t>
  </si>
  <si>
    <t>AG PROCESSING INC</t>
  </si>
  <si>
    <t>V161914.B06</t>
  </si>
  <si>
    <t>HOPPER,89mm,PUR,WHITE,3A/FDA/EU1935</t>
  </si>
  <si>
    <t>W224122.B01</t>
  </si>
  <si>
    <t>SEAL BSHG AGIT K-PH-T35 PHARMA</t>
  </si>
  <si>
    <t>W225325.B01</t>
  </si>
  <si>
    <t>BELLOW D100 SILICONE FDA</t>
  </si>
  <si>
    <t>V139130.B01</t>
  </si>
  <si>
    <t>CIRCUIT BOARD,TOUCH PAD POTENTIOMETER</t>
  </si>
  <si>
    <t>V154562.B01</t>
  </si>
  <si>
    <t>MEMBRANE KEY PAD 9 POSITION KEY PAD</t>
  </si>
  <si>
    <t>W211346.B01</t>
  </si>
  <si>
    <t>CONTROLLER KCM-III KD DC 1600W</t>
  </si>
  <si>
    <t>LIQUIDPOWER SPECIALTY PRODUCTS INC</t>
  </si>
  <si>
    <t>W225337.B01</t>
  </si>
  <si>
    <t>WSHR CAPTIVE M6 PA 6.6</t>
  </si>
  <si>
    <t>W220293.B01</t>
  </si>
  <si>
    <t>DET ROTOPULSE R45 READHEAD</t>
  </si>
  <si>
    <t>W218469.B01</t>
  </si>
  <si>
    <t>KML SA SPEED PICKUP W/HSG</t>
  </si>
  <si>
    <t>W384735.B01</t>
  </si>
  <si>
    <t>W384736.B01</t>
  </si>
  <si>
    <t>01418 PROX SLIDE BASE 3D PRINTED</t>
  </si>
  <si>
    <t>W384460.B01</t>
  </si>
  <si>
    <t>NZMMS-5.000120000-020</t>
  </si>
  <si>
    <t>W334744.B01</t>
  </si>
  <si>
    <t>DISK SPRING D=18/9.2X1</t>
  </si>
  <si>
    <t>W032688.B46</t>
  </si>
  <si>
    <t>MCA Sealing rings                 PCZ</t>
  </si>
  <si>
    <t>W032688.B45</t>
  </si>
  <si>
    <t>MCA Drive side bearing            PCZ</t>
  </si>
  <si>
    <t>W385165.B01</t>
  </si>
  <si>
    <t>4000000140 MCA-20-RK-02-01;KNIFE WASHER</t>
  </si>
  <si>
    <t>W032688.B35</t>
  </si>
  <si>
    <t>MCA Hard seal knives              PCZ</t>
  </si>
  <si>
    <t>SET</t>
  </si>
  <si>
    <t>W032688.B37</t>
  </si>
  <si>
    <t>MCA Side knives drive side        PCZ</t>
  </si>
  <si>
    <t>W032688.B38</t>
  </si>
  <si>
    <t>MCA Side knives of outlet side    PCZ</t>
  </si>
  <si>
    <t>W385169.B01</t>
  </si>
  <si>
    <t>4000000085 - SEALING RING</t>
  </si>
  <si>
    <t>W385170.B01</t>
  </si>
  <si>
    <t>4000121627 - Locking nut KMK 11</t>
  </si>
  <si>
    <t>W032688.B49</t>
  </si>
  <si>
    <t>MCA Labyrinth of Drive  side         PCZ</t>
  </si>
  <si>
    <t>W032688.B48</t>
  </si>
  <si>
    <t>MCA Labyrinth of Outlet side         PCZ</t>
  </si>
  <si>
    <t>shaft sealring HN2390 HS21037 105x130x12</t>
  </si>
  <si>
    <t>CEMEX OPERACIONES MEXICO SA DE CV</t>
  </si>
  <si>
    <t>Cylindrical roller bearing 90x140x24</t>
  </si>
  <si>
    <t>F021254.03</t>
  </si>
  <si>
    <t>star wheel MC800/50 cpl. plasmanitided</t>
  </si>
  <si>
    <t>F020103.03</t>
  </si>
  <si>
    <t>housing MC800/50 hardcoated</t>
  </si>
  <si>
    <t>F023537.02</t>
  </si>
  <si>
    <t>Round gasket cord NB/70, 6,0 x 2579 mm</t>
  </si>
  <si>
    <t>V138392.B01</t>
  </si>
  <si>
    <t>LINK, MACHINED, 600 SERIES</t>
  </si>
  <si>
    <t>W222322.B01</t>
  </si>
  <si>
    <t>300/600 RH GUIDE SHOE</t>
  </si>
  <si>
    <t>W222323.B01</t>
  </si>
  <si>
    <t>300/600 LH GUIDE SHOE</t>
  </si>
  <si>
    <t>V766851.B01</t>
  </si>
  <si>
    <t>NZMMF-1.375121000-018</t>
  </si>
  <si>
    <t>W362938.B01</t>
  </si>
  <si>
    <t>HXMMA-1.751200111-018</t>
  </si>
  <si>
    <t>W362916.B01</t>
  </si>
  <si>
    <t>NZMMF-2.250B21000-018</t>
  </si>
  <si>
    <t>W225389.B01</t>
  </si>
  <si>
    <t>600 SCRAPER(WHITE BELT)</t>
  </si>
  <si>
    <t>W130422.B81 - Packing set FSZ 500 Aramid</t>
  </si>
  <si>
    <t>W220541.B01</t>
  </si>
  <si>
    <t>SEAL SCR 32.7ID/49.9OD K2MS100</t>
  </si>
  <si>
    <t>W361850.B01</t>
  </si>
  <si>
    <t>GUIDE,BELT SW/WF300 COMPLETE (COS-)</t>
  </si>
  <si>
    <t>W218083.B01</t>
  </si>
  <si>
    <t>K2T6S1   SA FRONT COV W/ GSKT (2 PT L/R)</t>
  </si>
  <si>
    <t>DYNAMIC MOTIONS, INC</t>
  </si>
  <si>
    <t>W218084.B01</t>
  </si>
  <si>
    <t>K2T6S1   SA TNSN IDL DIA 48MM</t>
  </si>
  <si>
    <t>W210092.B01</t>
  </si>
  <si>
    <t>SCREW TAC DR OD58 E441</t>
  </si>
  <si>
    <t>W220896.B01</t>
  </si>
  <si>
    <t>PUL 90T 5MR 40MM 20B</t>
  </si>
  <si>
    <t>W220895.B01</t>
  </si>
  <si>
    <t>PUL 30T 5MR 27MM FLG 15B</t>
  </si>
  <si>
    <t>W223662.B01</t>
  </si>
  <si>
    <t>SPCR 25/30 DIA X 40.5 K2T60DR (COS-)</t>
  </si>
  <si>
    <t>W223732.B01</t>
  </si>
  <si>
    <t>SPCR 20/26 DIA X 54 AL K2T60</t>
  </si>
  <si>
    <t>W211395.B01</t>
  </si>
  <si>
    <t>PCB KCM-III HOST COMM ETHERNET</t>
  </si>
  <si>
    <t>SUMMIT ELECTRIC SUPPLY</t>
  </si>
  <si>
    <t>W384247.B01</t>
  </si>
  <si>
    <t>HOLDER - FILTER BAG DN3"  D76.1/2.3X262</t>
  </si>
  <si>
    <t>W272222.B01</t>
  </si>
  <si>
    <t>FILTER BAG D76.1 260 PET (COS+)</t>
  </si>
  <si>
    <t>W220190.B01</t>
  </si>
  <si>
    <t>CLAMP HOSE 1 13/16-2 3/4 SST</t>
  </si>
  <si>
    <t>Order Number</t>
  </si>
  <si>
    <t>Customer</t>
  </si>
  <si>
    <t>PC</t>
  </si>
  <si>
    <t>Docs</t>
  </si>
  <si>
    <t>Into Engineering</t>
  </si>
  <si>
    <t>PC Approvals</t>
  </si>
  <si>
    <t>ME Approvals</t>
  </si>
  <si>
    <t>Approvals Target</t>
  </si>
  <si>
    <t>PC Approvals Back</t>
  </si>
  <si>
    <t>ME Approvals Back</t>
  </si>
  <si>
    <t>PC Release</t>
  </si>
  <si>
    <t>ME Release</t>
  </si>
  <si>
    <t>Line Number</t>
  </si>
  <si>
    <t>OLAM EDIBLE NUTS</t>
  </si>
  <si>
    <t>LEH</t>
  </si>
  <si>
    <t>LIQUID METERING SYSTEM CART</t>
  </si>
  <si>
    <t>RP</t>
  </si>
  <si>
    <t>EASYSERVE CD-ROM,W/CABLE,VPC20150,VER 19</t>
  </si>
  <si>
    <t>TO BE SPECIFIED BY ENGINEERING</t>
  </si>
  <si>
    <t>ELECTRIC HEATERS FOR TANK</t>
  </si>
  <si>
    <t>Drawings sent to customer for approval.</t>
  </si>
  <si>
    <t>Change order for 230VAC input power - VFD and VFD parameters changed.</t>
  </si>
  <si>
    <t>Certified drawings released to customer/production.</t>
  </si>
  <si>
    <t>Buyout temperature control replaced with custom temperature control enclosure due to heater wattage.  Released to production/customer.</t>
  </si>
  <si>
    <t xml:space="preserve">DG2000 VM setup for reference.  Changes to HMI program fixing issues with the Alarm Log and Local Message files.  </t>
  </si>
  <si>
    <t>LQ Feeder cart shipped with stripped paint where controller stand sat on previous design.  Cart will be repainted/touched up before shipping.</t>
  </si>
  <si>
    <t>Added LQ Feeder sensors to drawing set. Controller changed to VWF.  Adding cable that did not ship to WW with LQ Feeder for pressure sensor.</t>
  </si>
  <si>
    <t>Cart and all line items should be shipping today.</t>
  </si>
  <si>
    <t>NEED DRAWINGS FROM VENDOR TO SEND FOR CUSTOMER APPROVAL</t>
  </si>
  <si>
    <t>SENT FOR CUSTOMER APPROVAL</t>
  </si>
  <si>
    <t>SENT TO JMA FOR CHECKING</t>
  </si>
  <si>
    <t>CUSTOMER APPROVED WITTE DRAWING WITH CHANGES, WAITING FOR CERTIFIED DRAWING FROM WITTE TO SEND WITH RELEASE</t>
  </si>
  <si>
    <t>RELEASED TO PRODUCTION (NO ENGINEERING BOM RELEASE, LIQUID METERING SYSTEM ALREADY PRE-ORDERED). WILL SEND CUSTOMER REVISED CERTIFIED DRAWINGS WHEN WE RECEIVE THEM FROM SUPPLIER</t>
  </si>
  <si>
    <t>1100440229_OLAM EDIBLE NUTS</t>
  </si>
  <si>
    <t>https://windchill.fcpm.biz/Windchill/app/#ptc1/tcomp/infoPage?oid=OR%3Awt.folder.SubFolder%3A299412272</t>
  </si>
  <si>
    <t>\\USWWQ-P-FS01.cps.local\orders\Common Files\CPE\Temporary_Order_Files\1100440229\1100440229\Order_Review.pdf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</si>
</sst>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4"/>
      <color rgb="FFFF0000"/>
      <name val="Arial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2"/>
      <color theme="9" tint="-0.499984740745262"/>
      <name val="Arial"/>
      <family val="2"/>
    </font>
    <font>
      <sz val="8"/>
      <color theme="9" tint="-0.499984740745262"/>
      <name val="Arial"/>
      <family val="2"/>
    </font>
    <font>
      <sz val="11"/>
      <color rgb="FF0000FF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 style="thin">
        <color theme="9" tint="0.59996337778862885"/>
      </bottom>
      <diagonal/>
    </border>
    <border>
      <left/>
      <right/>
      <top style="thin">
        <color theme="9" tint="0.59996337778862885"/>
      </top>
      <bottom style="thin">
        <color theme="9" tint="0.59996337778862885"/>
      </bottom>
      <diagonal/>
    </border>
    <border>
      <left/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/>
      <diagonal/>
    </border>
    <border>
      <left/>
      <right/>
      <top style="thin">
        <color theme="9" tint="0.59996337778862885"/>
      </top>
      <bottom/>
      <diagonal/>
    </border>
    <border>
      <left/>
      <right style="thin">
        <color theme="9" tint="0.59996337778862885"/>
      </right>
      <top style="thin">
        <color theme="9" tint="0.59996337778862885"/>
      </top>
      <bottom/>
      <diagonal/>
    </border>
    <border>
      <left style="thin">
        <color theme="9" tint="0.59996337778862885"/>
      </left>
      <right/>
      <top/>
      <bottom/>
      <diagonal/>
    </border>
    <border>
      <left/>
      <right style="thin">
        <color theme="9" tint="0.59996337778862885"/>
      </right>
      <top/>
      <bottom/>
      <diagonal/>
    </border>
    <border>
      <left style="thin">
        <color theme="9" tint="0.59996337778862885"/>
      </left>
      <right/>
      <top/>
      <bottom style="thin">
        <color theme="9" tint="0.59996337778862885"/>
      </bottom>
      <diagonal/>
    </border>
    <border>
      <left/>
      <right/>
      <top/>
      <bottom style="thin">
        <color theme="9" tint="0.59996337778862885"/>
      </bottom>
      <diagonal/>
    </border>
    <border>
      <left/>
      <right style="thin">
        <color theme="9" tint="0.59996337778862885"/>
      </right>
      <top/>
      <bottom style="thin">
        <color theme="9" tint="0.59996337778862885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06">
    <xf numFmtId="0" fontId="0" fillId="0" borderId="0" xfId="0"/>
    <xf numFmtId="0" fontId="10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/>
    </xf>
    <xf numFmtId="49" fontId="12" fillId="3" borderId="1" xfId="0" applyNumberFormat="1" applyFont="1" applyFill="1" applyBorder="1" applyAlignment="1">
      <alignment horizontal="center" vertical="center"/>
    </xf>
    <xf numFmtId="14" fontId="12" fillId="0" borderId="1" xfId="0" applyNumberFormat="1" applyFont="1" applyBorder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14" fontId="14" fillId="2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0" fontId="17" fillId="0" borderId="0" xfId="0" applyFont="1"/>
    <xf numFmtId="0" fontId="10" fillId="0" borderId="1" xfId="0" applyFont="1" applyBorder="1" applyAlignment="1">
      <alignment horizontal="center" vertical="center"/>
    </xf>
    <xf numFmtId="14" fontId="10" fillId="0" borderId="1" xfId="0" applyNumberFormat="1" applyFont="1" applyBorder="1" applyAlignment="1">
      <alignment horizontal="left" vertical="center"/>
    </xf>
    <xf numFmtId="14" fontId="10" fillId="0" borderId="1" xfId="0" applyNumberFormat="1" applyFont="1" applyBorder="1" applyAlignment="1">
      <alignment horizontal="center" vertical="center"/>
    </xf>
    <xf numFmtId="0" fontId="18" fillId="0" borderId="0" xfId="1"/>
    <xf numFmtId="0" fontId="10" fillId="3" borderId="1" xfId="0" applyFont="1" applyFill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4" fillId="0" borderId="0" xfId="0" applyFont="1"/>
    <xf numFmtId="14" fontId="14" fillId="0" borderId="0" xfId="0" applyNumberFormat="1" applyFont="1"/>
    <xf numFmtId="0" fontId="12" fillId="4" borderId="1" xfId="0" applyFont="1" applyFill="1" applyBorder="1" applyAlignment="1">
      <alignment horizontal="center" vertical="center"/>
    </xf>
    <xf numFmtId="0" fontId="14" fillId="0" borderId="0" xfId="0" applyFont="1" applyAlignment="1">
      <alignment vertical="top" wrapText="1"/>
    </xf>
    <xf numFmtId="0" fontId="19" fillId="2" borderId="1" xfId="0" applyFont="1" applyFill="1" applyBorder="1" applyAlignment="1">
      <alignment horizontal="center"/>
    </xf>
    <xf numFmtId="0" fontId="20" fillId="0" borderId="0" xfId="0" applyFont="1"/>
    <xf numFmtId="0" fontId="19" fillId="2" borderId="1" xfId="0" applyFont="1" applyFill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5" fillId="2" borderId="1" xfId="0" applyFont="1" applyFill="1" applyBorder="1" applyAlignment="1">
      <alignment vertical="center"/>
    </xf>
    <xf numFmtId="0" fontId="21" fillId="2" borderId="0" xfId="0" applyFont="1" applyFill="1"/>
    <xf numFmtId="14" fontId="14" fillId="0" borderId="1" xfId="0" applyNumberFormat="1" applyFont="1" applyBorder="1" applyAlignment="1">
      <alignment horizontal="center" vertical="center"/>
    </xf>
    <xf numFmtId="0" fontId="8" fillId="0" borderId="0" xfId="0" applyFont="1"/>
    <xf numFmtId="14" fontId="8" fillId="0" borderId="0" xfId="0" applyNumberFormat="1" applyFont="1"/>
    <xf numFmtId="0" fontId="22" fillId="2" borderId="1" xfId="0" applyFont="1" applyFill="1" applyBorder="1" applyAlignment="1">
      <alignment vertical="center"/>
    </xf>
    <xf numFmtId="0" fontId="23" fillId="2" borderId="1" xfId="0" applyFont="1" applyFill="1" applyBorder="1" applyAlignment="1">
      <alignment vertical="center"/>
    </xf>
    <xf numFmtId="0" fontId="14" fillId="2" borderId="1" xfId="0" applyFont="1" applyFill="1" applyBorder="1" applyAlignment="1">
      <alignment vertical="center"/>
    </xf>
    <xf numFmtId="0" fontId="18" fillId="2" borderId="1" xfId="1" applyFill="1" applyBorder="1" applyAlignment="1">
      <alignment vertical="center"/>
    </xf>
    <xf numFmtId="0" fontId="13" fillId="2" borderId="1" xfId="0" applyFont="1" applyFill="1" applyBorder="1" applyAlignment="1">
      <alignment vertical="center"/>
    </xf>
    <xf numFmtId="14" fontId="10" fillId="2" borderId="1" xfId="0" applyNumberFormat="1" applyFont="1" applyFill="1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14" fontId="10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20" fillId="2" borderId="1" xfId="0" applyFont="1" applyFill="1" applyBorder="1" applyAlignment="1">
      <alignment vertical="center"/>
    </xf>
    <xf numFmtId="0" fontId="11" fillId="2" borderId="1" xfId="0" quotePrefix="1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14" fontId="11" fillId="2" borderId="1" xfId="0" applyNumberFormat="1" applyFont="1" applyFill="1" applyBorder="1" applyAlignment="1">
      <alignment horizontal="center"/>
    </xf>
    <xf numFmtId="14" fontId="12" fillId="0" borderId="1" xfId="0" applyNumberFormat="1" applyFont="1" applyBorder="1" applyAlignment="1">
      <alignment horizontal="center" vertical="center"/>
    </xf>
    <xf numFmtId="0" fontId="13" fillId="0" borderId="1" xfId="0" quotePrefix="1" applyFont="1" applyBorder="1" applyAlignment="1">
      <alignment horizontal="center" vertical="center"/>
    </xf>
    <xf numFmtId="14" fontId="12" fillId="5" borderId="1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12" fillId="5" borderId="1" xfId="0" applyNumberFormat="1" applyFont="1" applyFill="1" applyBorder="1" applyAlignment="1">
      <alignment horizontal="center" vertical="center"/>
    </xf>
    <xf numFmtId="14" fontId="15" fillId="2" borderId="1" xfId="0" applyNumberFormat="1" applyFont="1" applyFill="1" applyBorder="1" applyAlignment="1">
      <alignment horizontal="center" vertical="center"/>
    </xf>
    <xf numFmtId="0" fontId="17" fillId="2" borderId="0" xfId="0" applyFont="1" applyFill="1"/>
    <xf numFmtId="14" fontId="1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14" fontId="10" fillId="3" borderId="1" xfId="0" applyNumberFormat="1" applyFont="1" applyFill="1" applyBorder="1" applyAlignment="1">
      <alignment vertical="center"/>
    </xf>
    <xf numFmtId="14" fontId="10" fillId="0" borderId="1" xfId="0" applyNumberFormat="1" applyFont="1" applyBorder="1" applyAlignment="1">
      <alignment vertical="center"/>
    </xf>
    <xf numFmtId="0" fontId="0" fillId="0" borderId="0" xfId="0" applyProtection="1">
      <protection locked="0"/>
    </xf>
    <xf numFmtId="0" fontId="25" fillId="0" borderId="0" xfId="1" applyFont="1" applyProtection="1">
      <protection locked="0"/>
    </xf>
    <xf numFmtId="0" fontId="26" fillId="0" borderId="0" xfId="0" applyFont="1" applyProtection="1">
      <protection locked="0"/>
    </xf>
    <xf numFmtId="0" fontId="26" fillId="6" borderId="0" xfId="0" applyFont="1" applyFill="1" applyProtection="1">
      <protection locked="0"/>
    </xf>
    <xf numFmtId="0" fontId="27" fillId="0" borderId="0" xfId="0" applyFont="1" applyProtection="1">
      <protection locked="0"/>
    </xf>
    <xf numFmtId="14" fontId="0" fillId="0" borderId="0" xfId="0" applyNumberFormat="1"/>
    <xf numFmtId="0" fontId="15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7" fillId="0" borderId="1" xfId="0" applyNumberFormat="1" applyFont="1" applyBorder="1" applyAlignment="1">
      <alignment horizontal="center" vertical="center"/>
    </xf>
    <xf numFmtId="0" fontId="10" fillId="2" borderId="1" xfId="0" applyNumberFormat="1" applyFont="1" applyFill="1" applyBorder="1" applyAlignment="1">
      <alignment vertical="center"/>
    </xf>
    <xf numFmtId="0" fontId="0" fillId="0" borderId="0" xfId="0" applyNumberFormat="1"/>
    <xf numFmtId="0" fontId="15" fillId="0" borderId="2" xfId="0" applyNumberFormat="1" applyFont="1" applyBorder="1" applyAlignment="1">
      <alignment horizontal="left" vertical="center"/>
    </xf>
    <xf numFmtId="0" fontId="15" fillId="0" borderId="3" xfId="0" applyNumberFormat="1" applyFont="1" applyBorder="1" applyAlignment="1">
      <alignment horizontal="left" vertical="center"/>
    </xf>
    <xf numFmtId="0" fontId="15" fillId="0" borderId="4" xfId="0" applyNumberFormat="1" applyFont="1" applyBorder="1" applyAlignment="1">
      <alignment horizontal="left" vertical="center"/>
    </xf>
    <xf numFmtId="0" fontId="4" fillId="0" borderId="2" xfId="0" applyNumberFormat="1" applyFont="1" applyBorder="1" applyAlignment="1">
      <alignment horizontal="left" vertical="center"/>
    </xf>
    <xf numFmtId="0" fontId="4" fillId="0" borderId="3" xfId="0" applyNumberFormat="1" applyFont="1" applyBorder="1" applyAlignment="1">
      <alignment horizontal="left" vertical="center"/>
    </xf>
    <xf numFmtId="0" fontId="4" fillId="0" borderId="4" xfId="0" applyNumberFormat="1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14" fontId="12" fillId="0" borderId="4" xfId="0" applyNumberFormat="1" applyFont="1" applyBorder="1" applyAlignment="1">
      <alignment horizontal="left" vertical="center"/>
    </xf>
    <xf numFmtId="0" fontId="14" fillId="0" borderId="10" xfId="0" applyNumberFormat="1" applyFont="1" applyBorder="1"/>
    <xf numFmtId="0" fontId="14" fillId="0" borderId="11" xfId="0" applyNumberFormat="1" applyFont="1" applyBorder="1"/>
    <xf numFmtId="0" fontId="14" fillId="0" borderId="12" xfId="0" applyNumberFormat="1" applyFont="1" applyBorder="1"/>
    <xf numFmtId="0" fontId="1" fillId="0" borderId="2" xfId="0" applyNumberFormat="1" applyFont="1" applyBorder="1" applyAlignment="1">
      <alignment horizontal="left" vertical="center"/>
    </xf>
    <xf numFmtId="0" fontId="1" fillId="0" borderId="3" xfId="0" applyNumberFormat="1" applyFont="1" applyBorder="1" applyAlignment="1">
      <alignment horizontal="left" vertical="center"/>
    </xf>
    <xf numFmtId="0" fontId="1" fillId="0" borderId="4" xfId="0" applyNumberFormat="1" applyFont="1" applyBorder="1" applyAlignment="1">
      <alignment horizontal="left" vertical="center"/>
    </xf>
    <xf numFmtId="0" fontId="14" fillId="0" borderId="8" xfId="0" applyNumberFormat="1" applyFon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14" fillId="0" borderId="9" xfId="0" applyNumberFormat="1" applyFont="1" applyBorder="1" applyAlignment="1">
      <alignment horizontal="left"/>
    </xf>
    <xf numFmtId="0" fontId="14" fillId="0" borderId="5" xfId="0" applyNumberFormat="1" applyFont="1" applyBorder="1" applyAlignment="1">
      <alignment horizontal="left"/>
    </xf>
    <xf numFmtId="0" fontId="14" fillId="0" borderId="6" xfId="0" applyNumberFormat="1" applyFont="1" applyBorder="1" applyAlignment="1">
      <alignment horizontal="left"/>
    </xf>
    <xf numFmtId="0" fontId="14" fillId="0" borderId="7" xfId="0" applyNumberFormat="1" applyFont="1" applyBorder="1" applyAlignment="1">
      <alignment horizontal="left"/>
    </xf>
    <xf numFmtId="0" fontId="3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19</xdr:row>
          <xdr:rowOff>85725</xdr:rowOff>
        </xdr:from>
        <xdr:to>
          <xdr:col>4</xdr:col>
          <xdr:colOff>1019175</xdr:colOff>
          <xdr:row>20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Order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85725</xdr:rowOff>
        </xdr:from>
        <xdr:to>
          <xdr:col>1</xdr:col>
          <xdr:colOff>1276350</xdr:colOff>
          <xdr:row>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Find New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22</xdr:row>
          <xdr:rowOff>66675</xdr:rowOff>
        </xdr:from>
        <xdr:to>
          <xdr:col>1</xdr:col>
          <xdr:colOff>1266825</xdr:colOff>
          <xdr:row>23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SAP Order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22</xdr:row>
          <xdr:rowOff>85725</xdr:rowOff>
        </xdr:from>
        <xdr:to>
          <xdr:col>2</xdr:col>
          <xdr:colOff>1276350</xdr:colOff>
          <xdr:row>23</xdr:row>
          <xdr:rowOff>257175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 PDF Of Order 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257735</xdr:colOff>
      <xdr:row>2</xdr:row>
      <xdr:rowOff>22412</xdr:rowOff>
    </xdr:from>
    <xdr:to>
      <xdr:col>18</xdr:col>
      <xdr:colOff>401730</xdr:colOff>
      <xdr:row>4</xdr:row>
      <xdr:rowOff>201706</xdr:rowOff>
    </xdr:to>
    <xdr:sp macro="[0]!UpdateAllToCurrentYear" textlink="">
      <xdr:nvSpPr>
        <xdr:cNvPr id="7" name="Rounded Rectangle 6" descr="Use at the start of the new year to update all active orders with the new year for use with filtering by year.">
          <a:extLst>
            <a:ext uri="{FF2B5EF4-FFF2-40B4-BE49-F238E27FC236}">
              <a16:creationId xmlns:a16="http://schemas.microsoft.com/office/drawing/2014/main" id="{00000000-0008-0000-0000-000007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17940617" y="403412"/>
          <a:ext cx="962025" cy="57150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tx2">
              <a:lumMod val="50000"/>
            </a:schemeClr>
          </a:solidFill>
        </a:ln>
        <a:scene3d>
          <a:camera prst="orthographicFront"/>
          <a:lightRig rig="threePt" dir="t"/>
        </a:scene3d>
        <a:sp3d prstMaterial="matte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1">
                  <a:lumMod val="40000"/>
                  <a:lumOff val="60000"/>
                </a:schemeClr>
              </a:solidFill>
            </a:rPr>
            <a:t>Update</a:t>
          </a:r>
          <a:r>
            <a:rPr lang="en-US" sz="1100" b="1" baseline="0">
              <a:solidFill>
                <a:schemeClr val="accent1">
                  <a:lumMod val="40000"/>
                  <a:lumOff val="60000"/>
                </a:schemeClr>
              </a:solidFill>
            </a:rPr>
            <a:t> Active Year</a:t>
          </a:r>
          <a:endParaRPr lang="en-US" sz="1100" b="1">
            <a:solidFill>
              <a:schemeClr val="accent1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104775</xdr:rowOff>
        </xdr:from>
        <xdr:to>
          <xdr:col>2</xdr:col>
          <xdr:colOff>180975</xdr:colOff>
          <xdr:row>0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Order 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7</xdr:row>
          <xdr:rowOff>85725</xdr:rowOff>
        </xdr:from>
        <xdr:to>
          <xdr:col>3</xdr:col>
          <xdr:colOff>1019175</xdr:colOff>
          <xdr:row>8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NEW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14</xdr:row>
          <xdr:rowOff>85725</xdr:rowOff>
        </xdr:from>
        <xdr:to>
          <xdr:col>3</xdr:col>
          <xdr:colOff>1009650</xdr:colOff>
          <xdr:row>15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CO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USLXA-P-FS01.cps.local\sabetha\Orders\Orders\1100545000\1100545606_COPERION_KTRON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6.xml"/><Relationship Id="rId2" Type="http://schemas.openxmlformats.org/officeDocument/2006/relationships/hyperlink" Target="file:///\\USWWQ-P-FS01.cps.local\orders\Common%20Files\CPE\Temporary_Order_Files\1100109999\1100109999\1100109999E\Order_Review.pdf" TargetMode="External"/><Relationship Id="rId1" Type="http://schemas.openxmlformats.org/officeDocument/2006/relationships/hyperlink" Target="file:///\\USLXA-P-FS01.cps.local\sabetha\Orders\Orders\1100102000\1100102195_HOLCIM_US_INC\Engineering%20Documents\Order_Text\Order_1100102195.pdf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New_OrderWS"/>
  <dimension ref="A1:Z60"/>
  <sheetViews>
    <sheetView zoomScale="85" zoomScaleNormal="85" workbookViewId="0">
      <selection activeCell="M13" sqref="M13"/>
    </sheetView>
  </sheetViews>
  <sheetFormatPr defaultRowHeight="15" x14ac:dyDescent="0.25"/>
  <cols>
    <col min="1" max="1" width="3.7109375" customWidth="1"/>
    <col min="2" max="3" width="19.7109375" customWidth="1"/>
    <col min="4" max="4" width="17" bestFit="1" customWidth="1"/>
    <col min="5" max="5" width="16.7109375" customWidth="1"/>
    <col min="6" max="8" width="16.7109375" style="77" customWidth="1"/>
    <col min="9" max="9" width="21.7109375" style="77" customWidth="1"/>
    <col min="10" max="10" width="24.7109375" style="77" customWidth="1"/>
    <col min="11" max="11" width="13.42578125" bestFit="1" customWidth="1"/>
    <col min="12" max="12" width="13.7109375" customWidth="1"/>
    <col min="13" max="13" width="10.85546875" bestFit="1" customWidth="1"/>
    <col min="14" max="14" width="32" customWidth="1"/>
    <col min="16" max="16" width="15.85546875" customWidth="1"/>
    <col min="17" max="17" width="6.7109375" customWidth="1"/>
    <col min="18" max="18" width="12.28515625" customWidth="1"/>
    <col min="19" max="19" width="6.5703125" customWidth="1"/>
    <col min="20" max="20" width="12" customWidth="1"/>
    <col min="27" max="27" width="9.140625" customWidth="1"/>
  </cols>
  <sheetData>
    <row r="1" spans="1:26" x14ac:dyDescent="0.25">
      <c r="A1" s="1"/>
      <c r="B1" s="2"/>
      <c r="C1" s="8">
        <v>3</v>
      </c>
      <c r="D1" s="8">
        <v>4</v>
      </c>
      <c r="E1" s="8">
        <v>5</v>
      </c>
      <c r="F1" s="8">
        <v>6</v>
      </c>
      <c r="G1" s="8">
        <v>7</v>
      </c>
      <c r="H1" s="8">
        <v>8</v>
      </c>
      <c r="I1" s="8">
        <v>9</v>
      </c>
      <c r="J1" s="8">
        <v>10</v>
      </c>
      <c r="K1" s="8">
        <v>11</v>
      </c>
      <c r="L1" s="1"/>
      <c r="M1" s="1"/>
      <c r="N1" s="1"/>
      <c r="O1" s="1"/>
      <c r="P1" s="37"/>
      <c r="Q1" s="37"/>
      <c r="R1" s="37"/>
      <c r="S1" s="37"/>
      <c r="T1" s="37"/>
      <c r="U1" s="36"/>
      <c r="V1" s="36"/>
      <c r="W1" s="1"/>
      <c r="X1" s="1"/>
      <c r="Y1" s="1"/>
      <c r="Z1" s="1"/>
    </row>
    <row r="2" spans="1:26" x14ac:dyDescent="0.25">
      <c r="A2" s="1"/>
      <c r="B2" s="2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37"/>
      <c r="Q2" s="37"/>
      <c r="R2" s="37"/>
      <c r="S2" s="37"/>
      <c r="T2" s="37"/>
      <c r="U2" s="36"/>
      <c r="V2" s="36"/>
      <c r="W2" s="1"/>
      <c r="X2" s="1"/>
      <c r="Y2" s="1"/>
      <c r="Z2" s="1"/>
    </row>
    <row r="3" spans="1:26" x14ac:dyDescent="0.25">
      <c r="A3" s="1"/>
      <c r="B3" s="2"/>
      <c r="C3" s="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37"/>
      <c r="Q3" s="37"/>
      <c r="R3" s="37"/>
      <c r="S3" s="37"/>
      <c r="T3" s="37"/>
      <c r="U3" s="36"/>
      <c r="V3" s="36"/>
      <c r="W3" s="1"/>
      <c r="X3" s="1"/>
      <c r="Y3" s="1"/>
      <c r="Z3" s="1"/>
    </row>
    <row r="4" spans="1:26" ht="15.75" x14ac:dyDescent="0.25">
      <c r="A4" s="1"/>
      <c r="B4" s="3" t="s">
        <v>0</v>
      </c>
      <c r="C4" s="3" t="s">
        <v>1</v>
      </c>
      <c r="D4" s="3" t="s">
        <v>2</v>
      </c>
      <c r="E4" s="3" t="s">
        <v>3</v>
      </c>
      <c r="F4" s="3" t="s">
        <v>4</v>
      </c>
      <c r="G4" s="3" t="s">
        <v>5</v>
      </c>
      <c r="H4" s="3" t="s">
        <v>6</v>
      </c>
      <c r="I4" s="3" t="s">
        <v>7</v>
      </c>
      <c r="J4" s="3" t="s">
        <v>8</v>
      </c>
      <c r="K4" s="3" t="s">
        <v>9</v>
      </c>
      <c r="L4" s="1"/>
      <c r="M4" s="1"/>
      <c r="N4" s="1"/>
      <c r="O4" s="1"/>
      <c r="P4" s="37"/>
      <c r="Q4" s="37"/>
      <c r="R4" s="37"/>
      <c r="S4" s="37"/>
      <c r="T4" s="37"/>
      <c r="U4" s="36"/>
      <c r="V4" s="36"/>
      <c r="W4" s="1"/>
      <c r="X4" s="1"/>
      <c r="Y4" s="1"/>
      <c r="Z4" s="1"/>
    </row>
    <row r="5" spans="1:26" ht="24" customHeight="1" x14ac:dyDescent="0.25">
      <c r="A5" s="1"/>
      <c r="B5" s="25"/>
      <c r="C5" s="5"/>
      <c r="D5" s="53"/>
      <c r="E5" s="53"/>
      <c r="F5" s="53"/>
      <c r="G5" s="53"/>
      <c r="H5" s="53"/>
      <c r="I5" s="42"/>
      <c r="J5" s="54"/>
      <c r="K5" s="7"/>
      <c r="L5" s="42"/>
      <c r="M5" s="1"/>
      <c r="N5" s="1"/>
      <c r="O5" s="1"/>
      <c r="P5" s="37"/>
      <c r="Q5" s="37"/>
      <c r="R5" s="37"/>
      <c r="S5" s="37"/>
      <c r="T5" s="37"/>
      <c r="U5" s="36"/>
      <c r="V5" s="36"/>
      <c r="W5" s="1"/>
      <c r="X5" s="1"/>
      <c r="Y5" s="1"/>
      <c r="Z5" s="1"/>
    </row>
    <row r="6" spans="1:26" ht="18" x14ac:dyDescent="0.25">
      <c r="A6" s="1"/>
      <c r="B6" s="8"/>
      <c r="C6" s="5"/>
      <c r="D6" s="9"/>
      <c r="E6" s="9"/>
      <c r="F6" s="9"/>
      <c r="G6" s="9"/>
      <c r="H6" s="9"/>
      <c r="I6" s="8"/>
      <c r="J6" s="8"/>
      <c r="K6" s="8"/>
      <c r="L6" s="1"/>
      <c r="M6" s="1"/>
      <c r="N6" s="1"/>
      <c r="O6" s="1"/>
      <c r="P6" s="37" t="s">
        <v>2309</v>
      </c>
      <c r="Q6" s="37" t="s">
        <v>2311</v>
      </c>
      <c r="R6" s="37"/>
      <c r="S6" s="37"/>
      <c r="T6" s="37"/>
      <c r="U6" s="36"/>
      <c r="V6" s="36"/>
      <c r="W6" s="1"/>
      <c r="X6" s="1"/>
      <c r="Y6" s="1"/>
      <c r="Z6" s="1"/>
    </row>
    <row r="7" spans="1:26" ht="18" x14ac:dyDescent="0.25">
      <c r="A7" s="1"/>
      <c r="B7" s="8"/>
      <c r="C7" s="5"/>
      <c r="D7" s="9"/>
      <c r="E7" s="9"/>
      <c r="F7" s="41"/>
      <c r="G7" s="41"/>
      <c r="H7" s="41"/>
      <c r="I7" s="1"/>
      <c r="J7" s="1"/>
      <c r="K7" s="1"/>
      <c r="L7" s="1"/>
      <c r="M7" s="1"/>
      <c r="N7" s="38" t="s">
        <v>511</v>
      </c>
      <c r="O7" s="1"/>
      <c r="P7" s="37" t="s">
        <v>2310</v>
      </c>
      <c r="Q7" s="37" t="s">
        <v>2312</v>
      </c>
      <c r="R7" s="37"/>
      <c r="S7" s="37"/>
      <c r="T7" s="37"/>
      <c r="U7" s="36"/>
      <c r="V7" s="36"/>
      <c r="W7" s="1"/>
      <c r="X7" s="1"/>
      <c r="Y7" s="1"/>
      <c r="Z7" s="1"/>
    </row>
    <row r="8" spans="1:26" ht="18" x14ac:dyDescent="0.25">
      <c r="A8" s="1"/>
      <c r="B8" s="4" t="s">
        <v>10</v>
      </c>
      <c r="C8" s="5"/>
      <c r="D8" s="41"/>
      <c r="E8" s="41"/>
      <c r="F8" s="43" t="s">
        <v>115</v>
      </c>
      <c r="G8" s="43" t="s">
        <v>11</v>
      </c>
      <c r="H8" s="41"/>
      <c r="I8" s="1"/>
      <c r="J8" s="2" t="s">
        <v>114</v>
      </c>
      <c r="K8" s="40" t="s">
        <v>20</v>
      </c>
      <c r="L8" s="40" t="s">
        <v>25</v>
      </c>
      <c r="M8" s="1"/>
      <c r="N8" s="38"/>
      <c r="O8" s="1"/>
      <c r="P8" s="37" t="s">
        <v>2308</v>
      </c>
      <c r="Q8" s="37"/>
      <c r="R8" s="37"/>
      <c r="S8" s="37"/>
      <c r="T8" s="37"/>
      <c r="U8" s="36"/>
      <c r="V8" s="36"/>
      <c r="W8" s="1"/>
      <c r="X8" s="1"/>
      <c r="Y8" s="1"/>
      <c r="Z8" s="1"/>
    </row>
    <row r="9" spans="1:26" ht="24" customHeight="1" x14ac:dyDescent="0.25">
      <c r="A9" s="1"/>
      <c r="B9" s="84"/>
      <c r="C9" s="85"/>
      <c r="D9" s="86"/>
      <c r="E9" s="41"/>
      <c r="F9" s="70"/>
      <c r="G9" s="96"/>
      <c r="H9" s="97"/>
      <c r="I9" s="98"/>
      <c r="J9" s="71"/>
      <c r="K9" s="13">
        <v>0</v>
      </c>
      <c r="L9" s="13">
        <v>0</v>
      </c>
      <c r="M9" s="1"/>
      <c r="N9" s="39">
        <v>1100545606</v>
      </c>
      <c r="O9" s="1"/>
      <c r="P9" s="37" t="s">
        <v>12</v>
      </c>
      <c r="Q9" s="37"/>
      <c r="R9" s="37"/>
      <c r="S9" s="37"/>
      <c r="T9" s="37"/>
      <c r="U9" s="36"/>
      <c r="V9" s="36"/>
      <c r="W9" s="1"/>
      <c r="X9" s="1"/>
      <c r="Y9" s="1"/>
      <c r="Z9" s="1"/>
    </row>
    <row r="10" spans="1:26" ht="24" customHeight="1" x14ac:dyDescent="0.25">
      <c r="A10" s="1"/>
      <c r="B10" s="11" t="s">
        <v>13</v>
      </c>
      <c r="C10" s="11" t="s">
        <v>14</v>
      </c>
      <c r="D10" s="52" t="s">
        <v>15</v>
      </c>
      <c r="E10" s="41"/>
      <c r="F10" s="70"/>
      <c r="G10" s="93"/>
      <c r="H10" s="94"/>
      <c r="I10" s="95"/>
      <c r="J10" s="72"/>
      <c r="K10" s="13">
        <v>0</v>
      </c>
      <c r="L10" s="13">
        <v>0</v>
      </c>
      <c r="M10" s="1"/>
      <c r="N10" s="1"/>
      <c r="O10" s="1"/>
      <c r="P10" s="37" t="s">
        <v>16</v>
      </c>
      <c r="Q10" s="37"/>
      <c r="R10" s="37"/>
      <c r="S10" s="37"/>
      <c r="T10" s="37"/>
      <c r="U10" s="36"/>
      <c r="V10" s="36"/>
      <c r="W10" s="1"/>
      <c r="X10" s="1"/>
      <c r="Y10" s="1"/>
      <c r="Z10" s="1"/>
    </row>
    <row r="11" spans="1:26" ht="24" customHeight="1" x14ac:dyDescent="0.25">
      <c r="A11" s="1"/>
      <c r="B11" s="12" t="s">
        <v>17</v>
      </c>
      <c r="C11" s="12" t="s">
        <v>17</v>
      </c>
      <c r="D11" s="61">
        <v>2025</v>
      </c>
      <c r="E11" s="41"/>
      <c r="F11" s="70"/>
      <c r="G11" s="87"/>
      <c r="H11" s="88"/>
      <c r="I11" s="89"/>
      <c r="J11" s="73"/>
      <c r="K11" s="13">
        <v>0</v>
      </c>
      <c r="L11" s="13">
        <v>0</v>
      </c>
      <c r="M11" s="1"/>
      <c r="N11" s="1"/>
      <c r="O11" s="1"/>
      <c r="P11" s="37" t="s">
        <v>18</v>
      </c>
      <c r="Q11" s="37"/>
      <c r="R11" s="37"/>
      <c r="S11" s="37"/>
      <c r="T11" s="37"/>
      <c r="U11" s="36"/>
      <c r="V11" s="36"/>
      <c r="W11" s="1"/>
      <c r="X11" s="1"/>
      <c r="Y11" s="1"/>
      <c r="Z11" s="1"/>
    </row>
    <row r="12" spans="1:26" ht="24" customHeight="1" x14ac:dyDescent="0.25">
      <c r="A12" s="1"/>
      <c r="B12" s="11" t="s">
        <v>19</v>
      </c>
      <c r="C12" s="50" t="s">
        <v>17</v>
      </c>
      <c r="D12" s="52" t="s">
        <v>21</v>
      </c>
      <c r="E12" s="52" t="s">
        <v>106</v>
      </c>
      <c r="F12" s="70"/>
      <c r="G12" s="90"/>
      <c r="H12" s="91"/>
      <c r="I12" s="92"/>
      <c r="J12" s="73"/>
      <c r="K12" s="13">
        <v>0</v>
      </c>
      <c r="L12" s="13">
        <v>0</v>
      </c>
      <c r="M12" s="1"/>
      <c r="N12" s="1"/>
      <c r="O12" s="1"/>
      <c r="P12" s="37" t="s">
        <v>22</v>
      </c>
      <c r="Q12" s="37"/>
      <c r="R12" s="37"/>
      <c r="S12" s="37"/>
      <c r="T12" s="37"/>
      <c r="U12" s="36"/>
      <c r="V12" s="36"/>
      <c r="W12" s="1"/>
      <c r="X12" s="1"/>
      <c r="Y12" s="1"/>
      <c r="Z12" s="1"/>
    </row>
    <row r="13" spans="1:26" ht="24" customHeight="1" x14ac:dyDescent="0.25">
      <c r="A13" s="1"/>
      <c r="B13" s="12" t="s">
        <v>17</v>
      </c>
      <c r="C13" s="11"/>
      <c r="D13" s="57">
        <v>0</v>
      </c>
      <c r="E13" s="55"/>
      <c r="F13" s="70"/>
      <c r="G13" s="90"/>
      <c r="H13" s="91"/>
      <c r="I13" s="92"/>
      <c r="J13" s="74"/>
      <c r="K13" s="13">
        <v>0</v>
      </c>
      <c r="L13" s="13">
        <v>0</v>
      </c>
      <c r="M13" s="1" t="e">
        <f>_xlfn.XLOOKUP(B13,WW_Personnel_Info!E2:E40,WW_Personnel_Info!F2:F40,NA())</f>
        <v>#N/A</v>
      </c>
      <c r="N13" s="1"/>
      <c r="O13" s="1"/>
      <c r="P13" s="37" t="s">
        <v>23</v>
      </c>
      <c r="Q13" s="37"/>
      <c r="R13" s="37"/>
      <c r="S13" s="37"/>
      <c r="T13" s="37"/>
      <c r="U13" s="36"/>
      <c r="V13" s="36"/>
      <c r="W13" s="1"/>
      <c r="X13" s="1"/>
      <c r="Y13" s="1"/>
      <c r="Z13" s="1"/>
    </row>
    <row r="14" spans="1:26" ht="24" customHeight="1" x14ac:dyDescent="0.25">
      <c r="A14" s="1"/>
      <c r="B14" s="11" t="s">
        <v>24</v>
      </c>
      <c r="C14" s="11"/>
      <c r="D14" s="52" t="s">
        <v>26</v>
      </c>
      <c r="E14" s="52" t="s">
        <v>107</v>
      </c>
      <c r="F14" s="70"/>
      <c r="G14" s="90"/>
      <c r="H14" s="91"/>
      <c r="I14" s="92"/>
      <c r="J14" s="75"/>
      <c r="K14" s="13">
        <v>0</v>
      </c>
      <c r="L14" s="13">
        <v>0</v>
      </c>
      <c r="M14" s="1"/>
      <c r="N14" s="1"/>
      <c r="O14" s="1"/>
      <c r="P14" s="37" t="s">
        <v>27</v>
      </c>
      <c r="Q14" s="37"/>
      <c r="R14" s="37"/>
      <c r="S14" s="37"/>
      <c r="T14" s="37"/>
      <c r="U14" s="36"/>
      <c r="V14" s="36"/>
      <c r="W14" s="1"/>
      <c r="X14" s="1"/>
      <c r="Y14" s="1"/>
      <c r="Z14" s="1"/>
    </row>
    <row r="15" spans="1:26" ht="24" customHeight="1" x14ac:dyDescent="0.25">
      <c r="A15" s="1"/>
      <c r="B15" s="12" t="s">
        <v>17</v>
      </c>
      <c r="C15" s="11"/>
      <c r="D15" s="57">
        <v>0</v>
      </c>
      <c r="E15" s="55"/>
      <c r="F15" s="70"/>
      <c r="G15" s="81"/>
      <c r="H15" s="82"/>
      <c r="I15" s="83"/>
      <c r="J15" s="75"/>
      <c r="K15" s="13">
        <v>0</v>
      </c>
      <c r="L15" s="13">
        <v>0</v>
      </c>
      <c r="M15" s="1" t="e">
        <f>_xlfn.XLOOKUP(B15,WW_Personnel_Info!A2:A40,WW_Personnel_Info!B2:B40,NA())</f>
        <v>#N/A</v>
      </c>
      <c r="N15" s="1"/>
      <c r="O15" s="1"/>
      <c r="P15" s="37" t="s">
        <v>28</v>
      </c>
      <c r="Q15" s="37"/>
      <c r="R15" s="37"/>
      <c r="S15" s="37"/>
      <c r="T15" s="37"/>
      <c r="U15" s="37"/>
      <c r="V15" s="36"/>
      <c r="W15" s="1"/>
      <c r="X15" s="1"/>
      <c r="Y15" s="1"/>
      <c r="Z15" s="1"/>
    </row>
    <row r="16" spans="1:26" ht="24" customHeight="1" x14ac:dyDescent="0.25">
      <c r="A16" s="1"/>
      <c r="B16" s="11" t="s">
        <v>29</v>
      </c>
      <c r="C16" s="11" t="s">
        <v>30</v>
      </c>
      <c r="D16" s="52" t="s">
        <v>31</v>
      </c>
      <c r="E16" s="52" t="s">
        <v>108</v>
      </c>
      <c r="F16" s="70"/>
      <c r="G16" s="81"/>
      <c r="H16" s="82"/>
      <c r="I16" s="83"/>
      <c r="J16" s="74"/>
      <c r="K16" s="13">
        <v>0</v>
      </c>
      <c r="L16" s="13">
        <v>0</v>
      </c>
      <c r="M16" s="1"/>
      <c r="N16" s="1"/>
      <c r="O16" s="1"/>
      <c r="P16" s="37" t="s">
        <v>32</v>
      </c>
      <c r="Q16" s="37"/>
      <c r="R16" s="37"/>
      <c r="S16" s="37"/>
      <c r="T16" s="37"/>
      <c r="U16" s="37"/>
      <c r="V16" s="36"/>
      <c r="W16" s="1"/>
      <c r="X16" s="1"/>
      <c r="Y16" s="1"/>
      <c r="Z16" s="1"/>
    </row>
    <row r="17" spans="1:26" ht="24" customHeight="1" x14ac:dyDescent="0.25">
      <c r="A17" s="1"/>
      <c r="B17" s="60"/>
      <c r="C17" s="14">
        <v>0</v>
      </c>
      <c r="D17" s="56">
        <v>0</v>
      </c>
      <c r="E17" s="60"/>
      <c r="F17" s="70"/>
      <c r="G17" s="81"/>
      <c r="H17" s="82"/>
      <c r="I17" s="83"/>
      <c r="J17" s="75"/>
      <c r="K17" s="13">
        <v>0</v>
      </c>
      <c r="L17" s="13">
        <v>0</v>
      </c>
      <c r="M17" s="1"/>
      <c r="N17" s="1"/>
      <c r="O17" s="1"/>
      <c r="P17" s="37" t="s">
        <v>105</v>
      </c>
      <c r="Q17" s="37"/>
      <c r="R17" s="37"/>
      <c r="S17" s="37"/>
      <c r="T17" s="37"/>
      <c r="U17" s="37"/>
      <c r="V17" s="36"/>
      <c r="W17" s="1"/>
      <c r="X17" s="1"/>
      <c r="Y17" s="1"/>
      <c r="Z17" s="1"/>
    </row>
    <row r="18" spans="1:26" ht="24" customHeight="1" x14ac:dyDescent="0.25">
      <c r="A18" s="1"/>
      <c r="B18" s="11" t="s">
        <v>33</v>
      </c>
      <c r="C18" s="11" t="s">
        <v>34</v>
      </c>
      <c r="D18" s="11" t="s">
        <v>110</v>
      </c>
      <c r="E18" s="11" t="s">
        <v>109</v>
      </c>
      <c r="F18" s="70"/>
      <c r="G18" s="81"/>
      <c r="H18" s="82"/>
      <c r="I18" s="83"/>
      <c r="J18" s="74"/>
      <c r="K18" s="13">
        <v>0</v>
      </c>
      <c r="L18" s="13">
        <v>0</v>
      </c>
      <c r="M18" s="1"/>
      <c r="N18" s="1"/>
      <c r="O18" s="1"/>
      <c r="P18" s="38"/>
      <c r="Q18" s="37"/>
      <c r="R18" s="37"/>
      <c r="S18" s="37"/>
      <c r="T18" s="37"/>
      <c r="U18" s="37"/>
      <c r="V18" s="1"/>
      <c r="W18" s="1"/>
      <c r="X18" s="1"/>
      <c r="Y18" s="1"/>
      <c r="Z18" s="1"/>
    </row>
    <row r="19" spans="1:26" ht="24" customHeight="1" x14ac:dyDescent="0.25">
      <c r="A19" s="1"/>
      <c r="B19" s="15" t="s">
        <v>17</v>
      </c>
      <c r="C19" s="15" t="s">
        <v>17</v>
      </c>
      <c r="D19" s="6"/>
      <c r="E19" s="48" t="s">
        <v>17</v>
      </c>
      <c r="F19" s="70"/>
      <c r="G19" s="81"/>
      <c r="H19" s="82"/>
      <c r="I19" s="83"/>
      <c r="J19" s="75"/>
      <c r="K19" s="13">
        <v>0</v>
      </c>
      <c r="L19" s="13">
        <v>0</v>
      </c>
      <c r="M19" s="1"/>
      <c r="N19" s="1"/>
      <c r="O19" s="1"/>
      <c r="P19" s="49" t="str">
        <f>"PC: " &amp; B13 &amp; " " &amp; SUM(K9:K33) &amp; ".0 hrs"</f>
        <v>PC:  0.0 hrs</v>
      </c>
      <c r="Q19" s="37"/>
      <c r="R19" s="37"/>
      <c r="S19" s="37"/>
      <c r="T19" s="37"/>
      <c r="U19" s="37"/>
      <c r="V19" s="1"/>
      <c r="W19" s="1"/>
      <c r="X19" s="1"/>
      <c r="Y19" s="1"/>
      <c r="Z19" s="1"/>
    </row>
    <row r="20" spans="1:26" ht="24" customHeight="1" x14ac:dyDescent="0.25">
      <c r="A20" s="1"/>
      <c r="B20" s="2"/>
      <c r="C20" s="11" t="s">
        <v>111</v>
      </c>
      <c r="D20" s="1"/>
      <c r="E20" s="1"/>
      <c r="F20" s="70"/>
      <c r="G20" s="81"/>
      <c r="H20" s="82"/>
      <c r="I20" s="83"/>
      <c r="J20" s="70"/>
      <c r="K20" s="13">
        <v>0</v>
      </c>
      <c r="L20" s="13">
        <v>0</v>
      </c>
      <c r="M20" s="1"/>
      <c r="N20" s="45"/>
      <c r="O20" s="1"/>
      <c r="P20" s="49" t="str">
        <f>"ME: " &amp; B15 &amp; " " &amp; SUM(L9:L34) &amp; ".0 hrs"</f>
        <v>ME:  0.0 hrs</v>
      </c>
      <c r="Q20" s="37"/>
      <c r="R20" s="37"/>
      <c r="S20" s="37"/>
      <c r="T20" s="37"/>
      <c r="U20" s="37"/>
      <c r="V20" s="1"/>
      <c r="W20" s="1"/>
      <c r="X20" s="1"/>
      <c r="Y20" s="1"/>
      <c r="Z20" s="1"/>
    </row>
    <row r="21" spans="1:26" ht="24" customHeight="1" x14ac:dyDescent="0.25">
      <c r="A21" s="1"/>
      <c r="B21" s="2"/>
      <c r="C21" s="6"/>
      <c r="D21" s="1" t="s">
        <v>144</v>
      </c>
      <c r="E21" s="1"/>
      <c r="F21" s="70"/>
      <c r="G21" s="81"/>
      <c r="H21" s="82"/>
      <c r="I21" s="83"/>
      <c r="J21" s="70"/>
      <c r="K21" s="13">
        <v>0</v>
      </c>
      <c r="L21" s="13">
        <v>0</v>
      </c>
      <c r="M21" s="1"/>
      <c r="N21" s="45"/>
      <c r="O21" s="1"/>
      <c r="P21" s="49" t="str">
        <f>"Price: " &amp; C17</f>
        <v>Price: 0</v>
      </c>
      <c r="Q21" s="37"/>
      <c r="R21" s="37"/>
      <c r="S21" s="37"/>
      <c r="T21" s="37"/>
      <c r="U21" s="37"/>
      <c r="V21" s="1"/>
      <c r="W21" s="1"/>
      <c r="X21" s="1"/>
      <c r="Y21" s="1"/>
      <c r="Z21" s="1"/>
    </row>
    <row r="22" spans="1:26" ht="24" customHeight="1" x14ac:dyDescent="0.25">
      <c r="A22" s="1"/>
      <c r="B22" s="2"/>
      <c r="C22" s="2"/>
      <c r="D22" s="1"/>
      <c r="E22" s="1"/>
      <c r="F22" s="70"/>
      <c r="G22" s="78"/>
      <c r="H22" s="79"/>
      <c r="I22" s="80"/>
      <c r="J22" s="70"/>
      <c r="K22" s="13">
        <v>0</v>
      </c>
      <c r="L22" s="13">
        <v>0</v>
      </c>
      <c r="M22" s="1"/>
      <c r="N22" s="1"/>
      <c r="O22" s="1"/>
      <c r="P22" s="49" t="str">
        <f>"Industry: " &amp; C11</f>
        <v xml:space="preserve">Industry: </v>
      </c>
      <c r="Q22" s="37"/>
      <c r="R22" s="37"/>
      <c r="S22" s="37"/>
      <c r="T22" s="37"/>
      <c r="U22" s="37"/>
      <c r="V22" s="1"/>
      <c r="W22" s="1"/>
      <c r="X22" s="1"/>
      <c r="Y22" s="1"/>
      <c r="Z22" s="1"/>
    </row>
    <row r="23" spans="1:26" ht="24" customHeight="1" x14ac:dyDescent="0.25">
      <c r="A23" s="1"/>
      <c r="B23" s="2"/>
      <c r="C23" s="2"/>
      <c r="D23" s="1"/>
      <c r="E23" s="1"/>
      <c r="F23" s="70"/>
      <c r="G23" s="78"/>
      <c r="H23" s="79"/>
      <c r="I23" s="80"/>
      <c r="J23" s="70"/>
      <c r="K23" s="13">
        <v>0</v>
      </c>
      <c r="L23" s="13">
        <v>0</v>
      </c>
      <c r="M23" s="1"/>
      <c r="N23" s="1"/>
      <c r="O23" s="1"/>
      <c r="P23" s="49" t="str">
        <f>"Customer: " &amp; B9</f>
        <v xml:space="preserve">Customer: </v>
      </c>
      <c r="Q23" s="37"/>
      <c r="R23" s="37"/>
      <c r="S23" s="37"/>
      <c r="T23" s="37"/>
      <c r="U23" s="37"/>
      <c r="V23" s="1"/>
      <c r="W23" s="1"/>
      <c r="X23" s="1"/>
      <c r="Y23" s="1"/>
      <c r="Z23" s="1"/>
    </row>
    <row r="24" spans="1:26" ht="24" customHeight="1" x14ac:dyDescent="0.25">
      <c r="A24" s="1"/>
      <c r="B24" s="2"/>
      <c r="C24" s="2"/>
      <c r="D24" s="1"/>
      <c r="E24" s="1"/>
      <c r="F24" s="70"/>
      <c r="G24" s="78"/>
      <c r="H24" s="79"/>
      <c r="I24" s="80"/>
      <c r="J24" s="70"/>
      <c r="K24" s="13">
        <v>0</v>
      </c>
      <c r="L24" s="13">
        <v>0</v>
      </c>
      <c r="M24" s="1"/>
      <c r="N24" s="1"/>
      <c r="O24" s="1"/>
      <c r="P24" s="49" t="str">
        <f>"Region/AE: " &amp; B17</f>
        <v xml:space="preserve">Region/AE: </v>
      </c>
      <c r="Q24" s="37"/>
      <c r="R24" s="37"/>
      <c r="S24" s="37"/>
      <c r="T24" s="37"/>
      <c r="U24" s="37"/>
      <c r="V24" s="1"/>
      <c r="W24" s="1"/>
      <c r="X24" s="1"/>
      <c r="Y24" s="1"/>
      <c r="Z24" s="1"/>
    </row>
    <row r="25" spans="1:26" ht="24" customHeight="1" x14ac:dyDescent="0.25">
      <c r="A25" s="1"/>
      <c r="B25" s="2"/>
      <c r="C25" s="2"/>
      <c r="D25" s="51" t="str">
        <f>P19&amp;CHAR(10)&amp;P20&amp;CHAR(10)&amp;CHAR(10)&amp;P23</f>
        <v xml:space="preserve">PC:  0.0 hrs
ME:  0.0 hrs
Customer: </v>
      </c>
      <c r="E25" s="1"/>
      <c r="F25" s="70"/>
      <c r="G25" s="78"/>
      <c r="H25" s="79"/>
      <c r="I25" s="80"/>
      <c r="J25" s="70"/>
      <c r="K25" s="13">
        <v>0</v>
      </c>
      <c r="L25" s="13">
        <v>0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4" customHeight="1" x14ac:dyDescent="0.25">
      <c r="A26" s="1"/>
      <c r="B26" s="2"/>
      <c r="C26" s="2"/>
      <c r="D26" s="1"/>
      <c r="E26" s="1"/>
      <c r="F26" s="70"/>
      <c r="G26" s="78"/>
      <c r="H26" s="79"/>
      <c r="I26" s="80"/>
      <c r="J26" s="70"/>
      <c r="K26" s="13">
        <v>0</v>
      </c>
      <c r="L26" s="13">
        <v>0</v>
      </c>
      <c r="M26" s="1"/>
      <c r="N26" s="1"/>
      <c r="O26" s="1"/>
      <c r="P26" s="44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24" customHeight="1" x14ac:dyDescent="0.25">
      <c r="A27" s="1"/>
      <c r="B27" s="2"/>
      <c r="C27" s="2"/>
      <c r="D27" s="1"/>
      <c r="E27" s="1"/>
      <c r="F27" s="70"/>
      <c r="G27" s="78"/>
      <c r="H27" s="79"/>
      <c r="I27" s="80"/>
      <c r="J27" s="70"/>
      <c r="K27" s="13">
        <v>0</v>
      </c>
      <c r="L27" s="13">
        <v>0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24" customHeight="1" x14ac:dyDescent="0.25">
      <c r="A28" s="1"/>
      <c r="B28" s="2"/>
      <c r="C28" s="2"/>
      <c r="D28" s="1"/>
      <c r="E28" s="1"/>
      <c r="F28" s="70"/>
      <c r="G28" s="78"/>
      <c r="H28" s="79"/>
      <c r="I28" s="80"/>
      <c r="J28" s="70"/>
      <c r="K28" s="13">
        <v>0</v>
      </c>
      <c r="L28" s="13">
        <v>0</v>
      </c>
      <c r="M28" s="1"/>
      <c r="N28" s="1"/>
      <c r="O28" s="1"/>
      <c r="P28" s="44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4" customHeight="1" x14ac:dyDescent="0.25">
      <c r="A29" s="1"/>
      <c r="B29" s="2"/>
      <c r="C29" s="2"/>
      <c r="D29" s="1"/>
      <c r="E29" s="1"/>
      <c r="F29" s="70"/>
      <c r="G29" s="78"/>
      <c r="H29" s="79"/>
      <c r="I29" s="80"/>
      <c r="J29" s="70"/>
      <c r="K29" s="13">
        <v>0</v>
      </c>
      <c r="L29" s="13">
        <v>0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24" customHeight="1" x14ac:dyDescent="0.25">
      <c r="A30" s="1"/>
      <c r="B30" s="2"/>
      <c r="C30" s="2"/>
      <c r="D30" s="1"/>
      <c r="E30" s="1"/>
      <c r="F30" s="70"/>
      <c r="G30" s="78"/>
      <c r="H30" s="79"/>
      <c r="I30" s="80"/>
      <c r="J30" s="70"/>
      <c r="K30" s="13">
        <v>0</v>
      </c>
      <c r="L30" s="13">
        <v>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24" customHeight="1" x14ac:dyDescent="0.25">
      <c r="A31" s="1"/>
      <c r="B31" s="2"/>
      <c r="C31" s="2"/>
      <c r="D31" s="1"/>
      <c r="E31" s="1"/>
      <c r="F31" s="70"/>
      <c r="G31" s="78"/>
      <c r="H31" s="79"/>
      <c r="I31" s="80"/>
      <c r="J31" s="70"/>
      <c r="K31" s="13">
        <v>0</v>
      </c>
      <c r="L31" s="13">
        <v>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24" customHeight="1" x14ac:dyDescent="0.25">
      <c r="A32" s="1"/>
      <c r="B32" s="2"/>
      <c r="C32" s="2"/>
      <c r="D32" s="1"/>
      <c r="E32" s="1"/>
      <c r="F32" s="70"/>
      <c r="G32" s="78"/>
      <c r="H32" s="79"/>
      <c r="I32" s="80"/>
      <c r="J32" s="70"/>
      <c r="K32" s="13">
        <v>0</v>
      </c>
      <c r="L32" s="13">
        <v>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24" customHeight="1" x14ac:dyDescent="0.25">
      <c r="A33" s="1"/>
      <c r="B33" s="2"/>
      <c r="C33" s="2"/>
      <c r="D33" s="1"/>
      <c r="E33" s="1"/>
      <c r="F33" s="70"/>
      <c r="G33" s="78"/>
      <c r="H33" s="79"/>
      <c r="I33" s="80"/>
      <c r="J33" s="70"/>
      <c r="K33" s="13">
        <v>0</v>
      </c>
      <c r="L33" s="13">
        <v>0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24" customHeight="1" x14ac:dyDescent="0.25">
      <c r="A34" s="1"/>
      <c r="B34" s="2"/>
      <c r="C34" s="46"/>
      <c r="D34" s="1"/>
      <c r="E34" s="1"/>
      <c r="F34" s="70"/>
      <c r="G34" s="78"/>
      <c r="H34" s="79"/>
      <c r="I34" s="80"/>
      <c r="J34" s="70"/>
      <c r="K34" s="13">
        <v>0</v>
      </c>
      <c r="L34" s="13">
        <v>0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24" customHeight="1" x14ac:dyDescent="0.25">
      <c r="A35" s="1"/>
      <c r="B35" s="2"/>
      <c r="C35" s="2" t="s">
        <v>116</v>
      </c>
      <c r="D35" s="1"/>
      <c r="E35" s="1"/>
      <c r="F35" s="70"/>
      <c r="G35" s="78"/>
      <c r="H35" s="79"/>
      <c r="I35" s="80"/>
      <c r="J35" s="70"/>
      <c r="K35" s="13">
        <v>0</v>
      </c>
      <c r="L35" s="13">
        <v>0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24" customHeight="1" x14ac:dyDescent="0.25">
      <c r="A36" s="1"/>
      <c r="B36" s="2"/>
      <c r="C36" s="2"/>
      <c r="D36" s="1"/>
      <c r="E36" s="1"/>
      <c r="F36" s="70"/>
      <c r="G36" s="78"/>
      <c r="H36" s="79"/>
      <c r="I36" s="80"/>
      <c r="J36" s="70"/>
      <c r="K36" s="13">
        <v>0</v>
      </c>
      <c r="L36" s="13">
        <v>0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24" customHeight="1" x14ac:dyDescent="0.25">
      <c r="A37" s="1"/>
      <c r="B37" s="2"/>
      <c r="C37" s="2"/>
      <c r="D37" s="1"/>
      <c r="E37" s="1"/>
      <c r="F37" s="70"/>
      <c r="G37" s="78"/>
      <c r="H37" s="79"/>
      <c r="I37" s="80"/>
      <c r="J37" s="70"/>
      <c r="K37" s="13">
        <v>0</v>
      </c>
      <c r="L37" s="13">
        <v>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24" customHeight="1" x14ac:dyDescent="0.25">
      <c r="A38" s="1"/>
      <c r="B38" s="2"/>
      <c r="C38" s="2"/>
      <c r="D38" s="1"/>
      <c r="E38" s="1"/>
      <c r="F38" s="70"/>
      <c r="G38" s="78"/>
      <c r="H38" s="79"/>
      <c r="I38" s="80"/>
      <c r="J38" s="70"/>
      <c r="K38" s="13">
        <v>0</v>
      </c>
      <c r="L38" s="13">
        <v>0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24" customHeight="1" x14ac:dyDescent="0.25">
      <c r="A39" s="1"/>
      <c r="B39" s="2"/>
      <c r="C39" s="2"/>
      <c r="D39" s="1"/>
      <c r="E39" s="1"/>
      <c r="F39" s="70"/>
      <c r="G39" s="78"/>
      <c r="H39" s="79"/>
      <c r="I39" s="80"/>
      <c r="J39" s="70"/>
      <c r="K39" s="13">
        <v>0</v>
      </c>
      <c r="L39" s="13">
        <v>0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24" customHeight="1" x14ac:dyDescent="0.25">
      <c r="A40" s="1"/>
      <c r="B40" s="2"/>
      <c r="C40" s="2"/>
      <c r="D40" s="1"/>
      <c r="E40" s="1"/>
      <c r="F40" s="70"/>
      <c r="G40" s="78"/>
      <c r="H40" s="79"/>
      <c r="I40" s="80"/>
      <c r="J40" s="70"/>
      <c r="K40" s="13">
        <v>0</v>
      </c>
      <c r="L40" s="13">
        <v>0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24" customHeight="1" x14ac:dyDescent="0.25">
      <c r="A41" s="1"/>
      <c r="B41" s="2"/>
      <c r="C41" s="2"/>
      <c r="D41" s="1"/>
      <c r="E41" s="1"/>
      <c r="F41" s="70"/>
      <c r="G41" s="78"/>
      <c r="H41" s="79"/>
      <c r="I41" s="80"/>
      <c r="J41" s="70"/>
      <c r="K41" s="13">
        <v>0</v>
      </c>
      <c r="L41" s="13">
        <v>0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24" customHeight="1" x14ac:dyDescent="0.25">
      <c r="A42" s="1"/>
      <c r="B42" s="2"/>
      <c r="C42" s="2"/>
      <c r="D42" s="1"/>
      <c r="E42" s="1"/>
      <c r="F42" s="70"/>
      <c r="G42" s="78"/>
      <c r="H42" s="79"/>
      <c r="I42" s="80"/>
      <c r="J42" s="70"/>
      <c r="K42" s="13">
        <v>0</v>
      </c>
      <c r="L42" s="13">
        <v>0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24" customHeight="1" x14ac:dyDescent="0.25">
      <c r="A43" s="1"/>
      <c r="B43" s="2"/>
      <c r="C43" s="2"/>
      <c r="D43" s="1"/>
      <c r="E43" s="1"/>
      <c r="F43" s="70"/>
      <c r="G43" s="78"/>
      <c r="H43" s="79"/>
      <c r="I43" s="80"/>
      <c r="J43" s="70"/>
      <c r="K43" s="13">
        <v>0</v>
      </c>
      <c r="L43" s="13">
        <v>0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24" customHeight="1" x14ac:dyDescent="0.25">
      <c r="A44" s="1"/>
      <c r="B44" s="2"/>
      <c r="C44" s="2"/>
      <c r="D44" s="1"/>
      <c r="E44" s="1"/>
      <c r="F44" s="70"/>
      <c r="G44" s="78"/>
      <c r="H44" s="79"/>
      <c r="I44" s="80"/>
      <c r="J44" s="70"/>
      <c r="K44" s="13">
        <v>0</v>
      </c>
      <c r="L44" s="13">
        <v>0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24" customHeight="1" x14ac:dyDescent="0.25">
      <c r="A45" s="1"/>
      <c r="B45" s="2"/>
      <c r="C45" s="2"/>
      <c r="D45" s="1"/>
      <c r="E45" s="1"/>
      <c r="F45" s="70"/>
      <c r="G45" s="78"/>
      <c r="H45" s="79"/>
      <c r="I45" s="80"/>
      <c r="J45" s="70"/>
      <c r="K45" s="13">
        <v>0</v>
      </c>
      <c r="L45" s="13">
        <v>0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24" customHeight="1" x14ac:dyDescent="0.25">
      <c r="A46" s="1"/>
      <c r="B46" s="2"/>
      <c r="C46" s="2"/>
      <c r="D46" s="1"/>
      <c r="E46" s="1"/>
      <c r="F46" s="70"/>
      <c r="G46" s="78"/>
      <c r="H46" s="79"/>
      <c r="I46" s="80"/>
      <c r="J46" s="70"/>
      <c r="K46" s="13">
        <v>0</v>
      </c>
      <c r="L46" s="13">
        <v>0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24" customHeight="1" x14ac:dyDescent="0.25">
      <c r="A47" s="1"/>
      <c r="B47" s="2"/>
      <c r="C47" s="2"/>
      <c r="D47" s="1"/>
      <c r="E47" s="1"/>
      <c r="F47" s="70"/>
      <c r="G47" s="78"/>
      <c r="H47" s="79"/>
      <c r="I47" s="80"/>
      <c r="J47" s="70"/>
      <c r="K47" s="13">
        <v>0</v>
      </c>
      <c r="L47" s="13">
        <v>0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24" customHeight="1" x14ac:dyDescent="0.25">
      <c r="A48" s="1"/>
      <c r="B48" s="2"/>
      <c r="C48" s="2"/>
      <c r="D48" s="1"/>
      <c r="E48" s="1"/>
      <c r="F48" s="70"/>
      <c r="G48" s="78"/>
      <c r="H48" s="79"/>
      <c r="I48" s="80"/>
      <c r="J48" s="70"/>
      <c r="K48" s="13">
        <v>0</v>
      </c>
      <c r="L48" s="13">
        <v>0</v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24" customHeight="1" x14ac:dyDescent="0.25">
      <c r="A49" s="1"/>
      <c r="B49" s="2"/>
      <c r="C49" s="2"/>
      <c r="D49" s="1"/>
      <c r="E49" s="1"/>
      <c r="F49" s="70"/>
      <c r="G49" s="78"/>
      <c r="H49" s="79"/>
      <c r="I49" s="80"/>
      <c r="J49" s="70"/>
      <c r="K49" s="13">
        <v>0</v>
      </c>
      <c r="L49" s="13">
        <v>0</v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24" customHeight="1" x14ac:dyDescent="0.25">
      <c r="A50" s="1"/>
      <c r="B50" s="2"/>
      <c r="C50" s="2"/>
      <c r="D50" s="1"/>
      <c r="E50" s="1"/>
      <c r="F50" s="70"/>
      <c r="G50" s="78"/>
      <c r="H50" s="79"/>
      <c r="I50" s="80"/>
      <c r="J50" s="70"/>
      <c r="K50" s="13">
        <v>0</v>
      </c>
      <c r="L50" s="13">
        <v>0</v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24" customHeight="1" x14ac:dyDescent="0.25">
      <c r="A51" s="1"/>
      <c r="B51" s="2"/>
      <c r="C51" s="2"/>
      <c r="D51" s="1"/>
      <c r="E51" s="1"/>
      <c r="F51" s="70"/>
      <c r="G51" s="78"/>
      <c r="H51" s="79"/>
      <c r="I51" s="80"/>
      <c r="J51" s="70"/>
      <c r="K51" s="13">
        <v>0</v>
      </c>
      <c r="L51" s="13">
        <v>0</v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24" customHeight="1" x14ac:dyDescent="0.25">
      <c r="A52" s="1"/>
      <c r="B52" s="2"/>
      <c r="C52" s="2"/>
      <c r="D52" s="1"/>
      <c r="E52" s="1"/>
      <c r="F52" s="70"/>
      <c r="G52" s="78"/>
      <c r="H52" s="79"/>
      <c r="I52" s="80"/>
      <c r="J52" s="70"/>
      <c r="K52" s="13">
        <v>0</v>
      </c>
      <c r="L52" s="13">
        <v>0</v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24" customHeight="1" x14ac:dyDescent="0.25">
      <c r="A53" s="1"/>
      <c r="B53" s="2"/>
      <c r="C53" s="2"/>
      <c r="D53" s="1"/>
      <c r="E53" s="1"/>
      <c r="F53" s="70"/>
      <c r="G53" s="78"/>
      <c r="H53" s="79"/>
      <c r="I53" s="80"/>
      <c r="J53" s="70"/>
      <c r="K53" s="13">
        <v>0</v>
      </c>
      <c r="L53" s="13">
        <v>0</v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24" customHeight="1" x14ac:dyDescent="0.25">
      <c r="A54" s="1"/>
      <c r="B54" s="2"/>
      <c r="C54" s="2"/>
      <c r="D54" s="1"/>
      <c r="E54" s="1"/>
      <c r="F54" s="70"/>
      <c r="G54" s="78"/>
      <c r="H54" s="79"/>
      <c r="I54" s="80"/>
      <c r="J54" s="70"/>
      <c r="K54" s="13">
        <v>0</v>
      </c>
      <c r="L54" s="13">
        <v>0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24" customHeight="1" x14ac:dyDescent="0.25">
      <c r="A55" s="1"/>
      <c r="B55" s="2"/>
      <c r="C55" s="2"/>
      <c r="D55" s="1"/>
      <c r="E55" s="1"/>
      <c r="F55" s="70"/>
      <c r="G55" s="78"/>
      <c r="H55" s="79"/>
      <c r="I55" s="80"/>
      <c r="J55" s="70"/>
      <c r="K55" s="13">
        <v>0</v>
      </c>
      <c r="L55" s="13">
        <v>0</v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24" customHeight="1" x14ac:dyDescent="0.25">
      <c r="A56" s="1"/>
      <c r="B56" s="2"/>
      <c r="C56" s="2"/>
      <c r="D56" s="1"/>
      <c r="E56" s="1"/>
      <c r="F56" s="76"/>
      <c r="G56" s="76"/>
      <c r="H56" s="76"/>
      <c r="I56" s="76"/>
      <c r="J56" s="76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24" customHeight="1" x14ac:dyDescent="0.25">
      <c r="A57" s="1"/>
      <c r="B57" s="2"/>
      <c r="C57" s="2"/>
      <c r="D57" s="1"/>
      <c r="E57" s="1"/>
      <c r="F57" s="76"/>
      <c r="G57" s="76"/>
      <c r="H57" s="76"/>
      <c r="I57" s="76"/>
      <c r="J57" s="76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24" customHeight="1" x14ac:dyDescent="0.25">
      <c r="A58" s="1"/>
      <c r="B58" s="2"/>
      <c r="C58" s="2"/>
      <c r="D58" s="1"/>
      <c r="E58" s="1"/>
      <c r="F58" s="76"/>
      <c r="G58" s="76"/>
      <c r="H58" s="76"/>
      <c r="I58" s="76"/>
      <c r="J58" s="76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24" customHeight="1" x14ac:dyDescent="0.25">
      <c r="A59" s="1"/>
      <c r="B59" s="2"/>
      <c r="C59" s="2"/>
      <c r="D59" s="1"/>
      <c r="E59" s="1"/>
      <c r="F59" s="76"/>
      <c r="G59" s="76"/>
      <c r="H59" s="76"/>
      <c r="I59" s="76"/>
      <c r="J59" s="76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2"/>
      <c r="C60" s="2"/>
      <c r="D60" s="1"/>
      <c r="E60" s="1"/>
      <c r="F60" s="76"/>
      <c r="G60" s="76"/>
      <c r="H60" s="76"/>
      <c r="I60" s="76"/>
      <c r="J60" s="76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</sheetData>
  <sortState xmlns:xlrd2="http://schemas.microsoft.com/office/spreadsheetml/2017/richdata2" ref="P1:P4">
    <sortCondition ref="P1:P4"/>
  </sortState>
  <dataConsolidate/>
  <mergeCells count="48">
    <mergeCell ref="G19:I19"/>
    <mergeCell ref="B9:D9"/>
    <mergeCell ref="G11:I11"/>
    <mergeCell ref="G12:I12"/>
    <mergeCell ref="G15:I15"/>
    <mergeCell ref="G16:I16"/>
    <mergeCell ref="G17:I17"/>
    <mergeCell ref="G18:I18"/>
    <mergeCell ref="G13:I13"/>
    <mergeCell ref="G14:I14"/>
    <mergeCell ref="G10:I10"/>
    <mergeCell ref="G9:I9"/>
    <mergeCell ref="G31:I31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43:I43"/>
    <mergeCell ref="G32:I32"/>
    <mergeCell ref="G33:I33"/>
    <mergeCell ref="G34:I34"/>
    <mergeCell ref="G35:I35"/>
    <mergeCell ref="G36:I36"/>
    <mergeCell ref="G37:I37"/>
    <mergeCell ref="G38:I38"/>
    <mergeCell ref="G39:I39"/>
    <mergeCell ref="G40:I40"/>
    <mergeCell ref="G41:I41"/>
    <mergeCell ref="G42:I42"/>
    <mergeCell ref="G55:I55"/>
    <mergeCell ref="G44:I44"/>
    <mergeCell ref="G45:I45"/>
    <mergeCell ref="G46:I46"/>
    <mergeCell ref="G47:I47"/>
    <mergeCell ref="G48:I48"/>
    <mergeCell ref="G49:I49"/>
    <mergeCell ref="G50:I50"/>
    <mergeCell ref="G51:I51"/>
    <mergeCell ref="G52:I52"/>
    <mergeCell ref="G53:I53"/>
    <mergeCell ref="G54:I54"/>
  </mergeCells>
  <dataValidations count="4">
    <dataValidation type="list" allowBlank="1" showInputMessage="1" showErrorMessage="1" sqref="E15 E13" xr:uid="{00000000-0002-0000-0000-000002000000}">
      <formula1>$S$9:$S$15</formula1>
    </dataValidation>
    <dataValidation type="list" allowBlank="1" showInputMessage="1" showErrorMessage="1" sqref="B11" xr:uid="{00000000-0002-0000-0000-000003000000}">
      <formula1>$P$6:$P$17</formula1>
    </dataValidation>
    <dataValidation type="date" allowBlank="1" showInputMessage="1" showErrorMessage="1" errorTitle="Incorrect Format" error="Date is required." sqref="D19 C21" xr:uid="{C9C87647-5650-40D3-BBC2-1BDDB81BCAAC}">
      <formula1>1</formula1>
      <formula2>401404</formula2>
    </dataValidation>
    <dataValidation type="list" allowBlank="1" showInputMessage="1" showErrorMessage="1" sqref="C11" xr:uid="{C3C0F229-E19E-424C-9FAE-61DCB4220AB6}">
      <formula1>$Q$6:$Q$7</formula1>
    </dataValidation>
  </dataValidations>
  <hyperlinks>
    <hyperlink ref="N9" r:id="rId1" display="\\USLXA-P-FS01.cps.local\sabetha\Orders\Orders\1100545000\1100545606_COPERION_KTRON" xr:uid="{FDDB2DEB-6AA4-4B6A-8E8B-04EF89C239FF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NewOrder2NewDB">
                <anchor moveWithCells="1" sizeWithCells="1">
                  <from>
                    <xdr:col>4</xdr:col>
                    <xdr:colOff>142875</xdr:colOff>
                    <xdr:row>19</xdr:row>
                    <xdr:rowOff>85725</xdr:rowOff>
                  </from>
                  <to>
                    <xdr:col>4</xdr:col>
                    <xdr:colOff>1019175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rodCont_Query">
                <anchor moveWithCells="1" sizeWithCells="1">
                  <from>
                    <xdr:col>1</xdr:col>
                    <xdr:colOff>66675</xdr:colOff>
                    <xdr:row>0</xdr:row>
                    <xdr:rowOff>85725</xdr:rowOff>
                  </from>
                  <to>
                    <xdr:col>1</xdr:col>
                    <xdr:colOff>1276350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nsert_SAP_Data">
                <anchor moveWithCells="1" sizeWithCells="1">
                  <from>
                    <xdr:col>1</xdr:col>
                    <xdr:colOff>95250</xdr:colOff>
                    <xdr:row>22</xdr:row>
                    <xdr:rowOff>66675</xdr:rowOff>
                  </from>
                  <to>
                    <xdr:col>1</xdr:col>
                    <xdr:colOff>1266825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Print_SAP_Order">
                <anchor moveWithCells="1" sizeWithCells="1">
                  <from>
                    <xdr:col>2</xdr:col>
                    <xdr:colOff>152400</xdr:colOff>
                    <xdr:row>22</xdr:row>
                    <xdr:rowOff>85725</xdr:rowOff>
                  </from>
                  <to>
                    <xdr:col>2</xdr:col>
                    <xdr:colOff>1276350</xdr:colOff>
                    <xdr:row>23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D333CA2-BC37-47B6-B131-194FE4ABD9DE}">
          <x14:formula1>
            <xm:f>WW_Personnel_Info!$J$2:$J$6</xm:f>
          </x14:formula1>
          <xm:sqref>K5</xm:sqref>
        </x14:dataValidation>
        <x14:dataValidation type="list" allowBlank="1" showInputMessage="1" showErrorMessage="1" xr:uid="{976A6571-0FFB-4AB3-BD95-4CC19F6D607D}">
          <x14:formula1>
            <xm:f>WW_Personnel_Info!$A$2:$A$16</xm:f>
          </x14:formula1>
          <xm:sqref>B15</xm:sqref>
        </x14:dataValidation>
        <x14:dataValidation type="list" allowBlank="1" showInputMessage="1" showErrorMessage="1" xr:uid="{BD30EA9F-1FED-4B33-AC91-621DE0E2C6D4}">
          <x14:formula1>
            <xm:f>WW_Personnel_Info!$E$2:$E$10</xm:f>
          </x14:formula1>
          <xm:sqref>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QuerySheet"/>
  <dimension ref="D5:H5"/>
  <sheetViews>
    <sheetView workbookViewId="0">
      <selection activeCell="K14" sqref="K14"/>
    </sheetView>
  </sheetViews>
  <sheetFormatPr defaultRowHeight="15" x14ac:dyDescent="0.25"/>
  <cols>
    <col min="3" max="3" width="11" bestFit="1" customWidth="1"/>
    <col min="4" max="4" width="9.7109375" bestFit="1" customWidth="1"/>
    <col min="6" max="7" width="9.7109375" bestFit="1" customWidth="1"/>
    <col min="8" max="8" width="10.7109375" bestFit="1" customWidth="1"/>
    <col min="9" max="10" width="11" bestFit="1" customWidth="1"/>
  </cols>
  <sheetData>
    <row r="5" spans="4:8" x14ac:dyDescent="0.25">
      <c r="D5" s="69"/>
      <c r="E5" s="69"/>
      <c r="F5" s="69"/>
      <c r="G5" s="69"/>
      <c r="H5" s="6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mailsWS"/>
  <dimension ref="A1:AR49"/>
  <sheetViews>
    <sheetView tabSelected="1" zoomScale="80" zoomScaleNormal="92" workbookViewId="0">
      <selection activeCell="N5" sqref="N5"/>
    </sheetView>
  </sheetViews>
  <sheetFormatPr defaultColWidth="9.140625" defaultRowHeight="15.75" x14ac:dyDescent="0.25"/>
  <cols>
    <col min="1" max="1" width="3.7109375" style="16" customWidth="1"/>
    <col min="2" max="2" width="14.7109375" style="16" customWidth="1"/>
    <col min="3" max="3" width="38.140625" style="16" customWidth="1"/>
    <col min="4" max="4" width="15.85546875" style="16" customWidth="1"/>
    <col min="5" max="6" width="12.7109375" style="16" customWidth="1"/>
    <col min="7" max="8" width="42.7109375" style="16" customWidth="1"/>
    <col min="9" max="9" width="12.7109375" style="16" customWidth="1"/>
    <col min="10" max="15" width="11.7109375" style="28" customWidth="1"/>
    <col min="16" max="16" width="9.5703125" style="28" customWidth="1"/>
    <col min="17" max="18" width="11.7109375" style="28" customWidth="1"/>
    <col min="19" max="25" width="9.140625" style="16"/>
    <col min="26" max="26" width="33" style="16" customWidth="1"/>
    <col min="27" max="27" width="13.28515625" style="23" bestFit="1" customWidth="1"/>
    <col min="28" max="28" width="27.85546875" style="23" customWidth="1"/>
    <col min="29" max="29" width="10.7109375" style="23" bestFit="1" customWidth="1"/>
    <col min="30" max="34" width="9.140625" style="23"/>
    <col min="35" max="35" width="10.7109375" style="23" bestFit="1" customWidth="1"/>
    <col min="36" max="39" width="9.28515625" style="23" bestFit="1" customWidth="1"/>
    <col min="40" max="40" width="9.140625" style="23"/>
    <col min="41" max="42" width="9.28515625" style="23" bestFit="1" customWidth="1"/>
    <col min="43" max="44" width="9.140625" style="23"/>
    <col min="45" max="16384" width="9.140625" style="16"/>
  </cols>
  <sheetData>
    <row r="1" spans="1:44" ht="48" customHeight="1" x14ac:dyDescent="0.25">
      <c r="A1" s="1"/>
      <c r="B1" s="2"/>
      <c r="C1" s="2"/>
      <c r="D1" s="2"/>
      <c r="E1" s="2"/>
      <c r="F1" s="2"/>
      <c r="G1" s="2"/>
      <c r="H1" s="2"/>
      <c r="I1" s="2"/>
      <c r="J1" s="27" t="s">
        <v>3</v>
      </c>
      <c r="K1" s="27" t="s">
        <v>35</v>
      </c>
      <c r="L1" s="27" t="s">
        <v>36</v>
      </c>
      <c r="M1" s="27" t="s">
        <v>35</v>
      </c>
      <c r="N1" s="27" t="s">
        <v>36</v>
      </c>
      <c r="O1" s="27"/>
      <c r="P1" s="27" t="s">
        <v>35</v>
      </c>
      <c r="Q1" s="27" t="s">
        <v>104</v>
      </c>
      <c r="R1" s="27"/>
      <c r="S1" s="31"/>
      <c r="AA1" s="23">
        <v>27</v>
      </c>
      <c r="AB1" s="23">
        <v>28</v>
      </c>
      <c r="AC1" s="23">
        <v>29</v>
      </c>
      <c r="AD1" s="23">
        <v>30</v>
      </c>
      <c r="AE1" s="23">
        <v>31</v>
      </c>
      <c r="AF1" s="23">
        <v>32</v>
      </c>
      <c r="AG1" s="23">
        <v>33</v>
      </c>
      <c r="AH1" s="23">
        <v>34</v>
      </c>
      <c r="AI1" s="23">
        <v>35</v>
      </c>
      <c r="AJ1" s="23">
        <v>36</v>
      </c>
      <c r="AK1" s="23">
        <v>37</v>
      </c>
      <c r="AL1" s="23">
        <v>38</v>
      </c>
      <c r="AM1" s="23">
        <v>39</v>
      </c>
      <c r="AN1" s="23">
        <v>40</v>
      </c>
      <c r="AO1" s="23">
        <v>41</v>
      </c>
      <c r="AP1" s="23">
        <v>42</v>
      </c>
      <c r="AQ1" s="23">
        <v>43</v>
      </c>
      <c r="AR1" s="23">
        <v>44</v>
      </c>
    </row>
    <row r="2" spans="1:44" x14ac:dyDescent="0.25">
      <c r="A2" s="1"/>
      <c r="B2" s="3" t="s">
        <v>0</v>
      </c>
      <c r="C2" s="3" t="s">
        <v>10</v>
      </c>
      <c r="D2" s="3" t="s">
        <v>37</v>
      </c>
      <c r="E2" s="3" t="s">
        <v>38</v>
      </c>
      <c r="F2" s="3" t="s">
        <v>39</v>
      </c>
      <c r="G2" s="3" t="s">
        <v>40</v>
      </c>
      <c r="H2" s="3" t="s">
        <v>41</v>
      </c>
      <c r="I2" s="3" t="s">
        <v>13</v>
      </c>
      <c r="J2" s="29" t="s">
        <v>42</v>
      </c>
      <c r="K2" s="29" t="s">
        <v>43</v>
      </c>
      <c r="L2" s="29" t="s">
        <v>43</v>
      </c>
      <c r="M2" s="29" t="s">
        <v>101</v>
      </c>
      <c r="N2" s="29" t="s">
        <v>101</v>
      </c>
      <c r="O2" s="29" t="s">
        <v>112</v>
      </c>
      <c r="P2" s="29" t="s">
        <v>103</v>
      </c>
      <c r="Q2" s="29" t="s">
        <v>103</v>
      </c>
      <c r="R2" s="29"/>
      <c r="S2" s="31"/>
      <c r="AA2" s="23" t="s">
        <v>4330</v>
      </c>
      <c r="AB2" s="23" t="s">
        <v>4331</v>
      </c>
      <c r="AC2" s="23" t="s">
        <v>4334</v>
      </c>
      <c r="AD2" s="23" t="s">
        <v>4332</v>
      </c>
      <c r="AE2" s="23" t="s">
        <v>104</v>
      </c>
      <c r="AF2" s="23" t="s">
        <v>40</v>
      </c>
      <c r="AG2" s="23" t="s">
        <v>41</v>
      </c>
      <c r="AH2" s="23" t="s">
        <v>4333</v>
      </c>
      <c r="AI2" s="23" t="s">
        <v>4337</v>
      </c>
      <c r="AJ2" s="23" t="s">
        <v>4335</v>
      </c>
      <c r="AK2" s="23" t="s">
        <v>4336</v>
      </c>
      <c r="AL2" s="23" t="s">
        <v>4338</v>
      </c>
      <c r="AM2" s="23" t="s">
        <v>4339</v>
      </c>
      <c r="AN2" s="23" t="s">
        <v>112</v>
      </c>
      <c r="AO2" s="23" t="s">
        <v>4340</v>
      </c>
      <c r="AP2" s="23" t="s">
        <v>4341</v>
      </c>
      <c r="AQ2" s="23" t="s">
        <v>4342</v>
      </c>
      <c r="AR2" s="23" t="s">
        <v>11</v>
      </c>
    </row>
    <row r="3" spans="1:44" ht="19.7" customHeight="1" x14ac:dyDescent="0.25">
      <c r="A3" s="41"/>
      <c r="B3" s="17"/>
      <c r="C3" s="18"/>
      <c r="D3" s="19"/>
      <c r="E3" s="17"/>
      <c r="F3" s="17"/>
      <c r="G3" s="17"/>
      <c r="H3" s="17"/>
      <c r="I3" s="17"/>
      <c r="J3" s="30"/>
      <c r="K3" s="30"/>
      <c r="L3" s="30"/>
      <c r="M3" s="30"/>
      <c r="N3" s="30"/>
      <c r="O3" s="30"/>
      <c r="P3" s="33"/>
      <c r="Q3" s="33"/>
      <c r="R3" s="58"/>
      <c r="S3" s="59"/>
      <c r="AA3" s="23">
        <v>1100440229</v>
      </c>
      <c r="AB3" s="23" t="s">
        <v>4343</v>
      </c>
      <c r="AC3" s="24">
        <v>44232</v>
      </c>
      <c r="AD3" s="23" t="s">
        <v>465</v>
      </c>
      <c r="AE3" s="23" t="s">
        <v>4344</v>
      </c>
      <c r="AF3" s="23" t="s">
        <v>1182</v>
      </c>
      <c r="AG3" s="23" t="s">
        <v>1182</v>
      </c>
      <c r="AH3" s="23" t="s">
        <v>12</v>
      </c>
      <c r="AI3" s="24">
        <v>44246</v>
      </c>
      <c r="AJ3" s="24">
        <v>44245</v>
      </c>
      <c r="AK3" s="24">
        <v>44265</v>
      </c>
      <c r="AL3" s="24">
        <v>44249</v>
      </c>
      <c r="AM3" s="24">
        <v>44277</v>
      </c>
      <c r="AO3" s="24">
        <v>44250</v>
      </c>
      <c r="AP3" s="24">
        <v>44279</v>
      </c>
      <c r="AQ3" s="23">
        <v>10</v>
      </c>
      <c r="AR3" s="23" t="s">
        <v>4345</v>
      </c>
    </row>
    <row r="4" spans="1:44" x14ac:dyDescent="0.25">
      <c r="A4" s="41"/>
      <c r="B4" s="1"/>
      <c r="C4" s="1"/>
      <c r="D4" s="1"/>
      <c r="E4" s="1"/>
      <c r="F4" s="1"/>
      <c r="G4" s="1"/>
      <c r="H4" s="1"/>
      <c r="I4" s="1"/>
      <c r="J4" s="31"/>
      <c r="K4" s="31"/>
      <c r="L4" s="31"/>
      <c r="M4" s="31"/>
      <c r="N4" s="31"/>
      <c r="O4" s="31"/>
      <c r="P4" s="31"/>
      <c r="Q4" s="31"/>
      <c r="R4" s="31"/>
      <c r="S4" s="31"/>
      <c r="AA4" s="23">
        <v>1100440229</v>
      </c>
      <c r="AB4" s="23" t="s">
        <v>830</v>
      </c>
      <c r="AC4" s="24">
        <v>42325</v>
      </c>
      <c r="AD4" s="23" t="s">
        <v>4346</v>
      </c>
      <c r="AE4" s="23" t="s">
        <v>447</v>
      </c>
      <c r="AF4" s="23" t="s">
        <v>1182</v>
      </c>
      <c r="AG4" s="23" t="s">
        <v>1182</v>
      </c>
      <c r="AH4" s="23" t="s">
        <v>22</v>
      </c>
      <c r="AI4" s="24">
        <v>2</v>
      </c>
      <c r="AJ4" s="24">
        <v>2</v>
      </c>
      <c r="AK4" s="24">
        <v>2</v>
      </c>
      <c r="AL4" s="24">
        <v>2</v>
      </c>
      <c r="AM4" s="24">
        <v>2</v>
      </c>
      <c r="AO4" s="24">
        <v>42326</v>
      </c>
      <c r="AP4" s="24">
        <v>42328</v>
      </c>
      <c r="AQ4" s="23">
        <v>20</v>
      </c>
      <c r="AR4" s="23" t="s">
        <v>4347</v>
      </c>
    </row>
    <row r="5" spans="1:44" ht="327.75" customHeight="1" x14ac:dyDescent="0.25">
      <c r="A5" s="41"/>
      <c r="B5" s="1"/>
      <c r="C5" s="26"/>
      <c r="D5" s="1"/>
      <c r="E5" s="1"/>
      <c r="F5" s="1"/>
      <c r="G5" s="26"/>
      <c r="H5" s="26"/>
      <c r="I5" s="1"/>
      <c r="J5" s="31"/>
      <c r="K5" s="31"/>
      <c r="L5" s="31"/>
      <c r="M5" s="31"/>
      <c r="N5" s="31"/>
      <c r="O5" s="31"/>
      <c r="P5" s="31"/>
      <c r="Q5" s="31"/>
      <c r="R5" s="31"/>
      <c r="S5" s="31"/>
      <c r="AA5" s="23">
        <v>1100440229</v>
      </c>
      <c r="AB5" s="23" t="s">
        <v>4343</v>
      </c>
      <c r="AC5" s="24">
        <v>44232</v>
      </c>
      <c r="AD5" s="23" t="s">
        <v>465</v>
      </c>
      <c r="AE5" s="23" t="s">
        <v>4344</v>
      </c>
      <c r="AF5" s="23" t="s">
        <v>1182</v>
      </c>
      <c r="AG5" s="23" t="s">
        <v>1182</v>
      </c>
      <c r="AH5" s="23" t="s">
        <v>12</v>
      </c>
      <c r="AI5" s="24">
        <v>44246</v>
      </c>
      <c r="AJ5" s="24">
        <v>44245</v>
      </c>
      <c r="AK5" s="24">
        <v>44265</v>
      </c>
      <c r="AL5" s="24">
        <v>44249</v>
      </c>
      <c r="AM5" s="24">
        <v>44277</v>
      </c>
      <c r="AO5" s="24">
        <v>44250</v>
      </c>
      <c r="AP5" s="24">
        <v>44279</v>
      </c>
      <c r="AQ5" s="23">
        <v>20</v>
      </c>
      <c r="AR5" s="23" t="s">
        <v>4348</v>
      </c>
    </row>
    <row r="6" spans="1:44" x14ac:dyDescent="0.25">
      <c r="A6" s="41"/>
      <c r="B6" s="1"/>
      <c r="C6" s="1"/>
      <c r="D6" s="1"/>
      <c r="E6" s="1"/>
      <c r="F6" s="1"/>
      <c r="G6" s="1"/>
      <c r="H6" s="1"/>
      <c r="I6" s="1"/>
      <c r="J6" s="31"/>
      <c r="K6" s="31"/>
      <c r="L6" s="31"/>
      <c r="M6" s="31"/>
      <c r="N6" s="31"/>
      <c r="O6" s="31"/>
      <c r="P6" s="31"/>
      <c r="Q6" s="31"/>
      <c r="R6" s="31"/>
      <c r="S6" s="31"/>
      <c r="Z6" s="20"/>
      <c r="AA6" s="23">
        <v>1100440229</v>
      </c>
      <c r="AB6" s="23" t="s">
        <v>4343</v>
      </c>
      <c r="AC6" s="24">
        <v>44232</v>
      </c>
      <c r="AD6" s="23" t="s">
        <v>465</v>
      </c>
      <c r="AE6" s="23" t="s">
        <v>4344</v>
      </c>
      <c r="AF6" s="23" t="s">
        <v>1182</v>
      </c>
      <c r="AG6" s="23" t="s">
        <v>1182</v>
      </c>
      <c r="AH6" s="23" t="s">
        <v>12</v>
      </c>
      <c r="AI6" s="24">
        <v>44246</v>
      </c>
      <c r="AJ6" s="24">
        <v>44245</v>
      </c>
      <c r="AK6" s="24">
        <v>44265</v>
      </c>
      <c r="AL6" s="24">
        <v>44249</v>
      </c>
      <c r="AM6" s="24">
        <v>44277</v>
      </c>
      <c r="AO6" s="24">
        <v>44250</v>
      </c>
      <c r="AP6" s="24">
        <v>44279</v>
      </c>
      <c r="AQ6" s="23">
        <v>30</v>
      </c>
      <c r="AR6" s="23" t="s">
        <v>4349</v>
      </c>
    </row>
    <row r="7" spans="1:44" x14ac:dyDescent="0.25">
      <c r="A7" s="62" t="s">
        <v>44</v>
      </c>
      <c r="B7" s="21"/>
      <c r="C7" s="21"/>
      <c r="D7" s="1"/>
      <c r="E7" s="21">
        <f>_xlfn.XLOOKUP(E3,WW_Personnel_Info!E2:E40,WW_Personnel_Info!G2:G40,"N/A")</f>
        <v>0</v>
      </c>
      <c r="F7" s="21">
        <f>_xlfn.XLOOKUP(F3,WW_Personnel_Info!A2:A41,WW_Personnel_Info!C2:C41,"N/A")</f>
        <v>0</v>
      </c>
      <c r="G7" s="21" t="str">
        <f>IF(_xlfn.XLOOKUP(E3,WW_Personnel_Info!E2:E40,WW_Personnel_Info!H2:H40) &lt;&gt; "",_xlfn.XLOOKUP(E3,WW_Personnel_Info!E2:E40,WW_Personnel_Info!H2:H40,NA()), "")</f>
        <v/>
      </c>
      <c r="H7" s="21" t="str">
        <f>IF(_xlfn.XLOOKUP(F3,WW_Personnel_Info!A2:A41,WW_Personnel_Info!D2:D41) &lt;&gt; "",_xlfn.XLOOKUP(F3,WW_Personnel_Info!A2:A41,WW_Personnel_Info!D2:D41,NA()), "")</f>
        <v/>
      </c>
      <c r="I7" s="1"/>
      <c r="J7" s="31"/>
      <c r="K7" s="31"/>
      <c r="L7" s="31"/>
      <c r="M7" s="31"/>
      <c r="N7" s="31"/>
      <c r="O7" s="31"/>
      <c r="P7" s="31"/>
      <c r="Q7" s="31"/>
      <c r="R7" s="31"/>
      <c r="S7" s="31"/>
      <c r="Z7" s="20"/>
      <c r="AA7" s="23">
        <v>1100440229</v>
      </c>
      <c r="AB7" s="23" t="s">
        <v>4343</v>
      </c>
      <c r="AC7" s="24">
        <v>44232</v>
      </c>
      <c r="AD7" s="23" t="s">
        <v>465</v>
      </c>
      <c r="AE7" s="23" t="s">
        <v>4344</v>
      </c>
      <c r="AF7" s="23" t="s">
        <v>1182</v>
      </c>
      <c r="AG7" s="23" t="s">
        <v>1182</v>
      </c>
      <c r="AH7" s="23" t="s">
        <v>12</v>
      </c>
      <c r="AI7" s="24">
        <v>44246</v>
      </c>
      <c r="AJ7" s="24">
        <v>44245</v>
      </c>
      <c r="AK7" s="24">
        <v>44265</v>
      </c>
      <c r="AL7" s="24">
        <v>44249</v>
      </c>
      <c r="AM7" s="24">
        <v>44277</v>
      </c>
      <c r="AO7" s="24">
        <v>44250</v>
      </c>
      <c r="AP7" s="24">
        <v>44279</v>
      </c>
      <c r="AQ7" s="23">
        <v>40</v>
      </c>
      <c r="AR7" s="23" t="s">
        <v>4348</v>
      </c>
    </row>
    <row r="8" spans="1:44" x14ac:dyDescent="0.25">
      <c r="A8" s="63">
        <v>1</v>
      </c>
      <c r="B8" s="22" t="s">
        <v>45</v>
      </c>
      <c r="C8" s="22"/>
      <c r="D8" s="1"/>
      <c r="E8" s="1"/>
      <c r="F8" s="1"/>
      <c r="G8" s="22" t="str">
        <f>IFERROR(G7,"")</f>
        <v/>
      </c>
      <c r="H8" s="22" t="str">
        <f>IFERROR(H7,"")</f>
        <v/>
      </c>
      <c r="I8" s="1"/>
      <c r="J8" s="31"/>
      <c r="K8" s="31"/>
      <c r="L8" s="31"/>
      <c r="M8" s="31"/>
      <c r="N8" s="32"/>
      <c r="O8" s="32"/>
      <c r="P8" s="32"/>
      <c r="Q8" s="32"/>
      <c r="R8" s="32"/>
      <c r="S8" s="31"/>
      <c r="Z8" s="20"/>
      <c r="AA8" s="23">
        <v>1100440229</v>
      </c>
      <c r="AB8" s="23" t="s">
        <v>4343</v>
      </c>
      <c r="AC8" s="24">
        <v>44232</v>
      </c>
      <c r="AD8" s="23" t="s">
        <v>465</v>
      </c>
      <c r="AE8" s="23" t="s">
        <v>4344</v>
      </c>
      <c r="AF8" s="23" t="s">
        <v>1182</v>
      </c>
      <c r="AG8" s="23" t="s">
        <v>1182</v>
      </c>
      <c r="AH8" s="23" t="s">
        <v>12</v>
      </c>
      <c r="AI8" s="24">
        <v>44246</v>
      </c>
      <c r="AJ8" s="24">
        <v>44245</v>
      </c>
      <c r="AK8" s="24">
        <v>44265</v>
      </c>
      <c r="AL8" s="24">
        <v>44249</v>
      </c>
      <c r="AM8" s="24">
        <v>44277</v>
      </c>
      <c r="AO8" s="24">
        <v>44250</v>
      </c>
      <c r="AP8" s="24">
        <v>44279</v>
      </c>
      <c r="AQ8" s="23">
        <v>50</v>
      </c>
      <c r="AR8" s="23" t="s">
        <v>4348</v>
      </c>
    </row>
    <row r="9" spans="1:44" x14ac:dyDescent="0.25">
      <c r="A9" s="63">
        <v>2</v>
      </c>
      <c r="B9" s="22" t="s">
        <v>46</v>
      </c>
      <c r="C9" s="22"/>
      <c r="D9" s="1"/>
      <c r="E9" s="1"/>
      <c r="F9" s="1"/>
      <c r="G9" s="1"/>
      <c r="H9" s="1"/>
      <c r="I9" s="1"/>
      <c r="J9" s="31"/>
      <c r="K9" s="31"/>
      <c r="L9" s="31"/>
      <c r="M9" s="31"/>
      <c r="N9" s="32"/>
      <c r="O9" s="32"/>
      <c r="P9" s="32"/>
      <c r="Q9" s="32"/>
      <c r="R9" s="32"/>
      <c r="S9" s="31"/>
      <c r="Z9" s="20"/>
      <c r="AA9" s="23">
        <v>1100440229</v>
      </c>
      <c r="AB9" s="23" t="s">
        <v>4343</v>
      </c>
      <c r="AC9" s="24">
        <v>44232</v>
      </c>
      <c r="AD9" s="23" t="s">
        <v>465</v>
      </c>
      <c r="AE9" s="23" t="s">
        <v>4344</v>
      </c>
      <c r="AF9" s="23" t="s">
        <v>1182</v>
      </c>
      <c r="AG9" s="23" t="s">
        <v>1182</v>
      </c>
      <c r="AH9" s="23" t="s">
        <v>12</v>
      </c>
      <c r="AI9" s="24">
        <v>44246</v>
      </c>
      <c r="AJ9" s="24">
        <v>44245</v>
      </c>
      <c r="AK9" s="24">
        <v>44265</v>
      </c>
      <c r="AL9" s="24">
        <v>44249</v>
      </c>
      <c r="AM9" s="24">
        <v>44277</v>
      </c>
      <c r="AO9" s="24">
        <v>44250</v>
      </c>
      <c r="AP9" s="24">
        <v>44279</v>
      </c>
      <c r="AQ9" s="23">
        <v>60</v>
      </c>
      <c r="AR9" s="23" t="s">
        <v>4348</v>
      </c>
    </row>
    <row r="10" spans="1:44" x14ac:dyDescent="0.25">
      <c r="A10" s="63">
        <v>3</v>
      </c>
      <c r="B10" s="22" t="s">
        <v>47</v>
      </c>
      <c r="C10" s="22"/>
      <c r="D10" s="1"/>
      <c r="E10" s="1"/>
      <c r="F10" s="1"/>
      <c r="G10" s="1"/>
      <c r="H10" s="1"/>
      <c r="I10" s="1"/>
      <c r="J10" s="31"/>
      <c r="K10" s="31"/>
      <c r="L10" s="31"/>
      <c r="M10" s="31"/>
      <c r="N10" s="32"/>
      <c r="O10" s="32"/>
      <c r="P10" s="32"/>
      <c r="Q10" s="32"/>
      <c r="R10" s="32"/>
      <c r="S10" s="31"/>
      <c r="Z10" s="20"/>
      <c r="AA10" s="23">
        <v>1100440229</v>
      </c>
      <c r="AB10" s="23" t="s">
        <v>4343</v>
      </c>
      <c r="AC10" s="24">
        <v>44232</v>
      </c>
      <c r="AD10" s="23" t="s">
        <v>465</v>
      </c>
      <c r="AE10" s="23" t="s">
        <v>4344</v>
      </c>
      <c r="AF10" s="23" t="s">
        <v>1182</v>
      </c>
      <c r="AG10" s="23" t="s">
        <v>1182</v>
      </c>
      <c r="AH10" s="23" t="s">
        <v>12</v>
      </c>
      <c r="AI10" s="24">
        <v>44246</v>
      </c>
      <c r="AJ10" s="24">
        <v>44245</v>
      </c>
      <c r="AK10" s="24">
        <v>44265</v>
      </c>
      <c r="AL10" s="24">
        <v>44249</v>
      </c>
      <c r="AM10" s="24">
        <v>44277</v>
      </c>
      <c r="AO10" s="24">
        <v>44250</v>
      </c>
      <c r="AP10" s="24">
        <v>44279</v>
      </c>
      <c r="AQ10" s="23">
        <v>70</v>
      </c>
      <c r="AR10" s="23" t="s">
        <v>123</v>
      </c>
    </row>
    <row r="11" spans="1:44" x14ac:dyDescent="0.25">
      <c r="A11" s="63">
        <v>4</v>
      </c>
      <c r="B11" s="22" t="s">
        <v>48</v>
      </c>
      <c r="C11" s="22"/>
      <c r="D11" s="1"/>
      <c r="E11" s="1"/>
      <c r="F11" s="1"/>
      <c r="G11" s="1"/>
      <c r="H11" s="1"/>
      <c r="I11" s="1"/>
      <c r="J11" s="31"/>
      <c r="K11" s="31"/>
      <c r="L11" s="31"/>
      <c r="M11" s="31"/>
      <c r="N11" s="32"/>
      <c r="O11" s="32"/>
      <c r="P11" s="32"/>
      <c r="Q11" s="32"/>
      <c r="R11" s="32"/>
      <c r="S11" s="31"/>
      <c r="Z11" s="20"/>
      <c r="AC11" s="24"/>
      <c r="AI11" s="24"/>
      <c r="AJ11" s="24"/>
      <c r="AK11" s="24"/>
      <c r="AL11" s="24"/>
      <c r="AM11" s="24"/>
      <c r="AO11" s="24"/>
      <c r="AP11" s="24"/>
    </row>
    <row r="12" spans="1:44" x14ac:dyDescent="0.25">
      <c r="A12" s="63">
        <v>5</v>
      </c>
      <c r="B12" s="22" t="s">
        <v>49</v>
      </c>
      <c r="C12" s="22"/>
      <c r="D12" s="1"/>
      <c r="E12" s="1"/>
      <c r="F12" s="1"/>
      <c r="G12" s="1"/>
      <c r="H12" s="1"/>
      <c r="I12" s="1"/>
      <c r="J12" s="31"/>
      <c r="K12" s="31"/>
      <c r="L12" s="31"/>
      <c r="M12" s="31"/>
      <c r="N12" s="32"/>
      <c r="O12" s="32"/>
      <c r="P12" s="32"/>
      <c r="Q12" s="32"/>
      <c r="R12" s="32"/>
      <c r="S12" s="31"/>
      <c r="Z12" s="20"/>
      <c r="AC12" s="24"/>
      <c r="AI12" s="24"/>
      <c r="AJ12" s="24"/>
      <c r="AK12" s="24"/>
      <c r="AL12" s="24"/>
      <c r="AM12" s="24"/>
      <c r="AO12" s="24"/>
      <c r="AP12" s="24"/>
    </row>
    <row r="13" spans="1:44" x14ac:dyDescent="0.25">
      <c r="A13" s="63">
        <v>6</v>
      </c>
      <c r="B13" s="22" t="s">
        <v>50</v>
      </c>
      <c r="C13" s="22"/>
      <c r="D13" s="1"/>
      <c r="E13" s="1"/>
      <c r="F13" s="1"/>
      <c r="G13" s="39" t="s">
        <v>4363</v>
      </c>
      <c r="H13" s="38" t="s">
        <v>4364</v>
      </c>
      <c r="I13" s="1"/>
      <c r="J13" s="31"/>
      <c r="K13" s="31"/>
      <c r="L13" s="31"/>
      <c r="M13" s="31"/>
      <c r="N13" s="32"/>
      <c r="O13" s="32"/>
      <c r="P13" s="32"/>
      <c r="Q13" s="32"/>
      <c r="R13" s="32"/>
      <c r="S13" s="31"/>
      <c r="Z13" s="20"/>
      <c r="AC13" s="24"/>
      <c r="AI13" s="24"/>
      <c r="AJ13" s="24"/>
      <c r="AK13" s="24"/>
      <c r="AL13" s="24"/>
      <c r="AM13" s="24"/>
      <c r="AO13" s="24"/>
      <c r="AP13" s="24"/>
    </row>
    <row r="14" spans="1:44" x14ac:dyDescent="0.25">
      <c r="A14" s="63">
        <v>7</v>
      </c>
      <c r="B14" s="22" t="s">
        <v>51</v>
      </c>
      <c r="C14" s="22"/>
      <c r="D14" s="1"/>
      <c r="E14" s="1"/>
      <c r="F14" s="1"/>
      <c r="G14" s="1"/>
      <c r="H14" s="38"/>
      <c r="I14" s="1"/>
      <c r="J14" s="31"/>
      <c r="K14" s="31"/>
      <c r="L14" s="31"/>
      <c r="M14" s="31"/>
      <c r="N14" s="32"/>
      <c r="O14" s="32"/>
      <c r="P14" s="32"/>
      <c r="Q14" s="32"/>
      <c r="R14" s="32"/>
      <c r="S14" s="31"/>
      <c r="Z14" s="20"/>
      <c r="AC14" s="24"/>
      <c r="AI14" s="24"/>
      <c r="AJ14" s="24"/>
      <c r="AK14" s="24"/>
      <c r="AL14" s="24"/>
      <c r="AM14" s="24"/>
      <c r="AO14" s="24"/>
      <c r="AP14" s="24"/>
    </row>
    <row r="15" spans="1:44" x14ac:dyDescent="0.25">
      <c r="A15" s="63">
        <v>8</v>
      </c>
      <c r="B15" s="22" t="s">
        <v>52</v>
      </c>
      <c r="C15" s="22"/>
      <c r="D15" s="1"/>
      <c r="E15" s="1"/>
      <c r="F15" s="1"/>
      <c r="G15" s="1"/>
      <c r="H15" s="39" t="s">
        <v>4365</v>
      </c>
      <c r="I15" s="1"/>
      <c r="J15" s="31"/>
      <c r="K15" s="31"/>
      <c r="L15" s="31"/>
      <c r="M15" s="31"/>
      <c r="N15" s="32"/>
      <c r="O15" s="32"/>
      <c r="P15" s="32"/>
      <c r="Q15" s="32"/>
      <c r="R15" s="32"/>
      <c r="S15" s="31"/>
      <c r="Z15" s="20"/>
      <c r="AC15" s="24"/>
      <c r="AI15" s="24"/>
      <c r="AJ15" s="24"/>
      <c r="AK15" s="24"/>
      <c r="AL15" s="24"/>
      <c r="AM15" s="24"/>
      <c r="AO15" s="24"/>
      <c r="AP15" s="24"/>
    </row>
    <row r="16" spans="1:44" x14ac:dyDescent="0.25">
      <c r="A16" s="22">
        <v>9</v>
      </c>
      <c r="B16" s="22" t="s">
        <v>53</v>
      </c>
      <c r="C16" s="22"/>
      <c r="D16" s="1"/>
      <c r="E16" s="1"/>
      <c r="F16" s="1"/>
      <c r="G16" s="1"/>
      <c r="H16" s="1"/>
      <c r="I16" s="1"/>
      <c r="J16" s="31"/>
      <c r="K16" s="31"/>
      <c r="L16" s="31"/>
      <c r="M16" s="31"/>
      <c r="N16" s="32"/>
      <c r="O16" s="32"/>
      <c r="P16" s="32"/>
      <c r="Q16" s="32"/>
      <c r="R16" s="32"/>
      <c r="S16" s="31"/>
      <c r="Z16" s="20"/>
      <c r="AC16" s="24"/>
      <c r="AI16" s="24"/>
      <c r="AJ16" s="24"/>
      <c r="AK16" s="24"/>
      <c r="AL16" s="24"/>
      <c r="AM16" s="24"/>
      <c r="AO16" s="24"/>
      <c r="AP16" s="24"/>
    </row>
    <row r="17" spans="1:42" x14ac:dyDescent="0.25">
      <c r="A17" s="1"/>
      <c r="B17" s="1"/>
      <c r="C17" s="1"/>
      <c r="D17" s="1"/>
      <c r="E17" s="1"/>
      <c r="F17" s="1"/>
      <c r="G17" s="1"/>
      <c r="H17" s="1"/>
      <c r="I17" s="1"/>
      <c r="J17" s="31"/>
      <c r="K17" s="31"/>
      <c r="L17" s="31"/>
      <c r="M17" s="31"/>
      <c r="N17" s="32"/>
      <c r="O17" s="32"/>
      <c r="P17" s="32"/>
      <c r="Q17" s="32"/>
      <c r="R17" s="32"/>
      <c r="S17" s="31"/>
      <c r="Z17" s="20"/>
      <c r="AC17" s="24"/>
      <c r="AI17" s="24"/>
      <c r="AJ17" s="24"/>
      <c r="AK17" s="24"/>
      <c r="AL17" s="24"/>
      <c r="AM17" s="24"/>
      <c r="AO17" s="24"/>
      <c r="AP17" s="24"/>
    </row>
    <row r="18" spans="1:42" x14ac:dyDescent="0.25">
      <c r="A18" s="1"/>
      <c r="B18" s="1"/>
      <c r="C18" s="1"/>
      <c r="D18" s="1"/>
      <c r="E18" s="1"/>
      <c r="F18" s="1"/>
      <c r="G18" s="1"/>
      <c r="H18" s="1"/>
      <c r="I18" s="1"/>
      <c r="J18" s="31"/>
      <c r="K18" s="31"/>
      <c r="L18" s="31"/>
      <c r="M18" s="31"/>
      <c r="N18" s="32"/>
      <c r="O18" s="32"/>
      <c r="P18" s="32"/>
      <c r="Q18" s="32"/>
      <c r="R18" s="32"/>
      <c r="S18" s="31"/>
      <c r="Z18" s="20"/>
      <c r="AC18" s="24"/>
      <c r="AI18" s="24"/>
      <c r="AJ18" s="24"/>
      <c r="AK18" s="24"/>
      <c r="AL18" s="24"/>
      <c r="AM18" s="24"/>
      <c r="AO18" s="24"/>
      <c r="AP18" s="24"/>
    </row>
    <row r="19" spans="1:42" x14ac:dyDescent="0.25">
      <c r="A19" s="1"/>
      <c r="B19" s="1"/>
      <c r="C19" s="1"/>
      <c r="D19" s="1"/>
      <c r="E19" s="1"/>
      <c r="F19" s="1"/>
      <c r="G19" s="1"/>
      <c r="H19" s="1"/>
      <c r="I19" s="1"/>
      <c r="J19" s="31"/>
      <c r="K19" s="31"/>
      <c r="L19" s="31"/>
      <c r="M19" s="31"/>
      <c r="N19" s="32"/>
      <c r="O19" s="32"/>
      <c r="P19" s="32"/>
      <c r="Q19" s="32"/>
      <c r="R19" s="32"/>
      <c r="S19" s="31"/>
      <c r="Z19" s="20"/>
      <c r="AC19" s="24"/>
      <c r="AI19" s="24"/>
      <c r="AJ19" s="24"/>
      <c r="AK19" s="24"/>
      <c r="AL19" s="24"/>
      <c r="AM19" s="24"/>
      <c r="AO19" s="24"/>
      <c r="AP19" s="24"/>
    </row>
    <row r="20" spans="1:42" x14ac:dyDescent="0.25">
      <c r="A20" s="1"/>
      <c r="B20" s="1"/>
      <c r="C20" s="1"/>
      <c r="D20" s="1"/>
      <c r="E20" s="1"/>
      <c r="F20" s="1"/>
      <c r="G20" s="45"/>
      <c r="H20" s="1"/>
      <c r="I20" s="1"/>
      <c r="J20" s="31"/>
      <c r="K20" s="31"/>
      <c r="L20" s="31"/>
      <c r="M20" s="31"/>
      <c r="N20" s="32"/>
      <c r="O20" s="32"/>
      <c r="P20" s="32"/>
      <c r="Q20" s="32"/>
      <c r="R20" s="32"/>
      <c r="S20" s="31"/>
      <c r="Z20" s="20"/>
      <c r="AC20" s="24"/>
      <c r="AI20" s="24"/>
      <c r="AJ20" s="24"/>
      <c r="AK20" s="24"/>
      <c r="AL20" s="24"/>
      <c r="AM20" s="24"/>
      <c r="AO20" s="24"/>
      <c r="AP20" s="24"/>
    </row>
    <row r="21" spans="1:42" x14ac:dyDescent="0.25">
      <c r="A21" s="1"/>
      <c r="B21" s="1"/>
      <c r="C21" s="1"/>
      <c r="D21" s="1"/>
      <c r="E21" s="1"/>
      <c r="F21" s="1"/>
      <c r="G21" s="1"/>
      <c r="H21" s="1"/>
      <c r="I21" s="1"/>
      <c r="J21" s="31"/>
      <c r="K21" s="31"/>
      <c r="L21" s="31"/>
      <c r="M21" s="31"/>
      <c r="N21" s="32"/>
      <c r="O21" s="32"/>
      <c r="P21" s="32"/>
      <c r="Q21" s="32"/>
      <c r="R21" s="32"/>
      <c r="S21" s="31"/>
      <c r="Z21" s="20"/>
      <c r="AC21" s="24"/>
      <c r="AI21" s="24"/>
      <c r="AJ21" s="24"/>
      <c r="AK21" s="24"/>
      <c r="AL21" s="24"/>
      <c r="AM21" s="24"/>
      <c r="AO21" s="24"/>
      <c r="AP21" s="24"/>
    </row>
    <row r="22" spans="1:42" x14ac:dyDescent="0.25">
      <c r="A22" s="1"/>
      <c r="B22" s="1"/>
      <c r="C22" s="1"/>
      <c r="D22" s="1"/>
      <c r="E22" s="1"/>
      <c r="F22" s="1"/>
      <c r="G22" s="1"/>
      <c r="H22" s="1"/>
      <c r="I22" s="1"/>
      <c r="J22" s="31"/>
      <c r="K22" s="31"/>
      <c r="L22" s="31"/>
      <c r="M22" s="31"/>
      <c r="N22" s="32"/>
      <c r="O22" s="32"/>
      <c r="P22" s="32"/>
      <c r="Q22" s="32"/>
      <c r="R22" s="32"/>
      <c r="S22" s="31"/>
      <c r="Z22" s="20"/>
      <c r="AC22" s="24"/>
      <c r="AI22" s="24"/>
      <c r="AJ22" s="24"/>
      <c r="AK22" s="24"/>
      <c r="AL22" s="24"/>
      <c r="AM22" s="24"/>
      <c r="AO22" s="24"/>
      <c r="AP22" s="24"/>
    </row>
    <row r="23" spans="1:42" x14ac:dyDescent="0.25">
      <c r="A23" s="1"/>
      <c r="B23" s="1"/>
      <c r="C23" s="1"/>
      <c r="D23" s="1"/>
      <c r="E23" s="1"/>
      <c r="F23" s="1"/>
      <c r="G23" s="1"/>
      <c r="H23" s="1"/>
      <c r="I23" s="1"/>
      <c r="J23" s="31"/>
      <c r="K23" s="31"/>
      <c r="L23" s="31"/>
      <c r="M23" s="31"/>
      <c r="N23" s="32"/>
      <c r="O23" s="32"/>
      <c r="P23" s="32"/>
      <c r="Q23" s="32"/>
      <c r="R23" s="32"/>
      <c r="S23" s="31"/>
      <c r="AC23" s="24"/>
      <c r="AI23" s="24"/>
      <c r="AJ23" s="24"/>
      <c r="AK23" s="24"/>
      <c r="AL23" s="24"/>
      <c r="AM23" s="24"/>
      <c r="AO23" s="24"/>
      <c r="AP23" s="24"/>
    </row>
    <row r="24" spans="1:42" x14ac:dyDescent="0.25">
      <c r="A24" s="1"/>
      <c r="B24" s="1"/>
      <c r="C24" s="1"/>
      <c r="D24" s="1"/>
      <c r="E24" s="1"/>
      <c r="F24" s="1"/>
      <c r="G24" s="1"/>
      <c r="H24" s="1"/>
      <c r="I24" s="1"/>
      <c r="J24" s="31"/>
      <c r="K24" s="31"/>
      <c r="L24" s="31"/>
      <c r="M24" s="31"/>
      <c r="N24" s="32"/>
      <c r="O24" s="32"/>
      <c r="P24" s="32"/>
      <c r="Q24" s="32"/>
      <c r="R24" s="32"/>
      <c r="S24" s="31"/>
      <c r="AC24" s="24"/>
      <c r="AI24" s="24"/>
      <c r="AJ24" s="24"/>
      <c r="AK24" s="24"/>
      <c r="AL24" s="24"/>
      <c r="AM24" s="24"/>
      <c r="AO24" s="24"/>
      <c r="AP24" s="24"/>
    </row>
    <row r="25" spans="1:42" x14ac:dyDescent="0.25">
      <c r="A25" s="1"/>
      <c r="B25" s="1"/>
      <c r="C25" s="1"/>
      <c r="D25" s="1"/>
      <c r="E25" s="1"/>
      <c r="F25" s="1"/>
      <c r="G25" s="1"/>
      <c r="H25" s="1"/>
      <c r="I25" s="1"/>
      <c r="J25" s="31"/>
      <c r="K25" s="31"/>
      <c r="L25" s="31"/>
      <c r="M25" s="31"/>
      <c r="N25" s="32"/>
      <c r="O25" s="32"/>
      <c r="P25" s="32"/>
      <c r="Q25" s="32"/>
      <c r="R25" s="32"/>
      <c r="S25" s="31"/>
      <c r="AC25" s="24"/>
      <c r="AI25" s="24"/>
      <c r="AJ25" s="24"/>
      <c r="AK25" s="24"/>
      <c r="AL25" s="24"/>
      <c r="AM25" s="24"/>
      <c r="AO25" s="24"/>
      <c r="AP25" s="24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31"/>
      <c r="K26" s="31"/>
      <c r="L26" s="31"/>
      <c r="M26" s="31"/>
      <c r="N26" s="32"/>
      <c r="O26" s="32"/>
      <c r="P26" s="32"/>
      <c r="Q26" s="32"/>
      <c r="R26" s="32"/>
      <c r="S26" s="31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31"/>
      <c r="K27" s="31"/>
      <c r="L27" s="31"/>
      <c r="M27" s="31"/>
      <c r="N27" s="32"/>
      <c r="O27" s="32"/>
      <c r="P27" s="32"/>
      <c r="Q27" s="32"/>
      <c r="R27" s="32"/>
      <c r="S27" s="31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31"/>
      <c r="K28" s="31"/>
      <c r="L28" s="31"/>
      <c r="M28" s="31"/>
      <c r="N28" s="32"/>
      <c r="O28" s="32"/>
      <c r="P28" s="32"/>
      <c r="Q28" s="32"/>
      <c r="R28" s="32"/>
      <c r="S28" s="31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31"/>
      <c r="K29" s="31"/>
      <c r="L29" s="31"/>
      <c r="M29" s="31"/>
      <c r="N29" s="32"/>
      <c r="O29" s="32"/>
      <c r="P29" s="32"/>
      <c r="Q29" s="32"/>
      <c r="R29" s="32"/>
      <c r="S29" s="31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31"/>
      <c r="K30" s="31"/>
      <c r="L30" s="31"/>
      <c r="M30" s="31"/>
      <c r="N30" s="32"/>
      <c r="O30" s="32"/>
      <c r="P30" s="32"/>
      <c r="Q30" s="32"/>
      <c r="R30" s="32"/>
      <c r="S30" s="31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31"/>
      <c r="K31" s="31"/>
      <c r="L31" s="31"/>
      <c r="M31" s="31"/>
      <c r="N31" s="32"/>
      <c r="O31" s="32"/>
      <c r="P31" s="32"/>
      <c r="Q31" s="32"/>
      <c r="R31" s="32"/>
      <c r="S31" s="31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31"/>
      <c r="K32" s="31"/>
      <c r="L32" s="31"/>
      <c r="M32" s="31"/>
      <c r="N32" s="32"/>
      <c r="O32" s="32"/>
      <c r="P32" s="32"/>
      <c r="Q32" s="32"/>
      <c r="R32" s="32"/>
      <c r="S32" s="3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31"/>
      <c r="K33" s="31"/>
      <c r="L33" s="31"/>
      <c r="M33" s="31"/>
      <c r="N33" s="32"/>
      <c r="O33" s="32"/>
      <c r="P33" s="32"/>
      <c r="Q33" s="32"/>
      <c r="R33" s="32"/>
      <c r="S33" s="3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31"/>
      <c r="K34" s="31"/>
      <c r="L34" s="31"/>
      <c r="M34" s="31"/>
      <c r="N34" s="32"/>
      <c r="O34" s="32"/>
      <c r="P34" s="32"/>
      <c r="Q34" s="32"/>
      <c r="R34" s="32"/>
      <c r="S34" s="3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31"/>
      <c r="K35" s="31"/>
      <c r="L35" s="31"/>
      <c r="M35" s="31"/>
      <c r="N35" s="31"/>
      <c r="O35" s="31"/>
      <c r="P35" s="31"/>
      <c r="Q35" s="31"/>
      <c r="R35" s="31"/>
      <c r="S35" s="3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31"/>
      <c r="K36" s="31"/>
      <c r="L36" s="31"/>
      <c r="M36" s="31"/>
      <c r="N36" s="31"/>
      <c r="O36" s="31"/>
      <c r="P36" s="31"/>
      <c r="Q36" s="31"/>
      <c r="R36" s="31"/>
      <c r="S36" s="3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31"/>
      <c r="K37" s="31"/>
      <c r="L37" s="31"/>
      <c r="M37" s="31"/>
      <c r="N37" s="31"/>
      <c r="O37" s="31"/>
      <c r="P37" s="31"/>
      <c r="Q37" s="31"/>
      <c r="R37" s="31"/>
      <c r="S37" s="3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31"/>
      <c r="K38" s="31"/>
      <c r="L38" s="31"/>
      <c r="M38" s="31"/>
      <c r="N38" s="31"/>
      <c r="O38" s="31"/>
      <c r="P38" s="31"/>
      <c r="Q38" s="31"/>
      <c r="R38" s="31"/>
      <c r="S38" s="3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31"/>
      <c r="K39" s="31"/>
      <c r="L39" s="31"/>
      <c r="M39" s="31"/>
      <c r="N39" s="31"/>
      <c r="O39" s="31"/>
      <c r="P39" s="31"/>
      <c r="Q39" s="31"/>
      <c r="R39" s="31"/>
      <c r="S39" s="3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31"/>
      <c r="K40" s="31"/>
      <c r="L40" s="31"/>
      <c r="M40" s="31"/>
      <c r="N40" s="31"/>
      <c r="O40" s="31"/>
      <c r="P40" s="31"/>
      <c r="Q40" s="31"/>
      <c r="R40" s="31"/>
      <c r="S40" s="3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31"/>
      <c r="K41" s="31"/>
      <c r="L41" s="31"/>
      <c r="M41" s="31"/>
      <c r="N41" s="31"/>
      <c r="O41" s="31"/>
      <c r="P41" s="31"/>
      <c r="Q41" s="31"/>
      <c r="R41" s="31"/>
      <c r="S41" s="3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31"/>
      <c r="K42" s="31"/>
      <c r="L42" s="31"/>
      <c r="M42" s="31"/>
      <c r="N42" s="31"/>
      <c r="O42" s="31"/>
      <c r="P42" s="31"/>
      <c r="Q42" s="31"/>
      <c r="R42" s="31"/>
      <c r="S42" s="3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31"/>
      <c r="K43" s="31"/>
      <c r="L43" s="31"/>
      <c r="M43" s="31"/>
      <c r="N43" s="31"/>
      <c r="O43" s="31"/>
      <c r="P43" s="31"/>
      <c r="Q43" s="31"/>
      <c r="R43" s="31"/>
      <c r="S43" s="3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31"/>
      <c r="K44" s="31"/>
      <c r="L44" s="31"/>
      <c r="M44" s="31"/>
      <c r="N44" s="31"/>
      <c r="O44" s="31"/>
      <c r="P44" s="31"/>
      <c r="Q44" s="31"/>
      <c r="R44" s="31"/>
      <c r="S44" s="3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31"/>
      <c r="K45" s="31"/>
      <c r="L45" s="31"/>
      <c r="M45" s="31"/>
      <c r="N45" s="31"/>
      <c r="O45" s="31"/>
      <c r="P45" s="31"/>
      <c r="Q45" s="31"/>
      <c r="R45" s="31"/>
      <c r="S45" s="3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31"/>
      <c r="K46" s="31"/>
      <c r="L46" s="31"/>
      <c r="M46" s="31"/>
      <c r="N46" s="31"/>
      <c r="O46" s="31"/>
      <c r="P46" s="31"/>
      <c r="Q46" s="31"/>
      <c r="R46" s="31"/>
      <c r="S46" s="31"/>
    </row>
    <row r="47" spans="1:19" x14ac:dyDescent="0.25">
      <c r="A47" s="1"/>
      <c r="B47" s="1"/>
      <c r="C47" s="1"/>
      <c r="D47" s="1"/>
      <c r="E47" s="1"/>
      <c r="F47" s="1"/>
      <c r="G47" s="1"/>
      <c r="H47" s="1"/>
      <c r="I47" s="1"/>
      <c r="J47" s="31"/>
      <c r="K47" s="31"/>
      <c r="L47" s="31"/>
      <c r="M47" s="31"/>
      <c r="N47" s="31"/>
      <c r="O47" s="31"/>
      <c r="P47" s="31"/>
      <c r="Q47" s="31"/>
      <c r="R47" s="31"/>
      <c r="S47" s="31"/>
    </row>
    <row r="48" spans="1:19" x14ac:dyDescent="0.25">
      <c r="A48" s="1"/>
      <c r="B48" s="1"/>
      <c r="C48" s="1"/>
      <c r="D48" s="1"/>
      <c r="E48" s="1"/>
      <c r="F48" s="1"/>
      <c r="G48" s="1"/>
      <c r="H48" s="1"/>
      <c r="I48" s="1"/>
      <c r="J48" s="31"/>
      <c r="K48" s="31"/>
      <c r="L48" s="31"/>
      <c r="M48" s="31"/>
      <c r="N48" s="31"/>
      <c r="O48" s="31"/>
      <c r="P48" s="31"/>
      <c r="Q48" s="31"/>
      <c r="R48" s="31"/>
      <c r="S48" s="31"/>
    </row>
    <row r="49" spans="1:19" x14ac:dyDescent="0.25">
      <c r="A49" s="1"/>
      <c r="B49" s="1"/>
      <c r="C49" s="1"/>
      <c r="D49" s="1"/>
      <c r="E49" s="1"/>
      <c r="F49" s="1"/>
      <c r="G49" s="1"/>
      <c r="H49" s="1"/>
      <c r="I49" s="1"/>
      <c r="J49" s="31"/>
      <c r="K49" s="31"/>
      <c r="L49" s="31"/>
      <c r="M49" s="31"/>
      <c r="N49" s="31"/>
      <c r="O49" s="31"/>
      <c r="P49" s="31"/>
      <c r="Q49" s="31"/>
      <c r="R49" s="31"/>
      <c r="S49" s="31"/>
    </row>
  </sheetData>
  <sortState xmlns:xlrd2="http://schemas.microsoft.com/office/spreadsheetml/2017/richdata2" ref="N8:O11">
    <sortCondition ref="N8:N11"/>
  </sortState>
  <hyperlinks>
    <hyperlink ref="G13" r:id="rId1" display="\\USLXA-P-FS01.cps.local\sabetha\Orders\Orders\1100102000\1100102195_HOLCIM_US_INC\Engineering Documents\Order_Text\Order_1100102195.pdf" xr:uid="{92B91314-F220-4696-84BE-9473B8143B03}"/>
    <hyperlink ref="H15" r:id="rId2" display="\\USWWQ-P-FS01.cps.local\orders\Common Files\CPE\Temporary_Order_Files\1100109999\1100109999\1100109999E\Order_Review.pdf" xr:uid="{57F757A2-744F-48B1-A64A-730C313A2C22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WhoHasOrder">
                <anchor moveWithCells="1" sizeWithCells="1">
                  <from>
                    <xdr:col>1</xdr:col>
                    <xdr:colOff>95250</xdr:colOff>
                    <xdr:row>0</xdr:row>
                    <xdr:rowOff>104775</xdr:rowOff>
                  </from>
                  <to>
                    <xdr:col>2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SendNew_Email">
                <anchor moveWithCells="1" sizeWithCells="1">
                  <from>
                    <xdr:col>3</xdr:col>
                    <xdr:colOff>104775</xdr:colOff>
                    <xdr:row>7</xdr:row>
                    <xdr:rowOff>85725</xdr:rowOff>
                  </from>
                  <to>
                    <xdr:col>3</xdr:col>
                    <xdr:colOff>1019175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Send_Change_Order">
                <anchor moveWithCells="1" sizeWithCells="1">
                  <from>
                    <xdr:col>3</xdr:col>
                    <xdr:colOff>171450</xdr:colOff>
                    <xdr:row>14</xdr:row>
                    <xdr:rowOff>85725</xdr:rowOff>
                  </from>
                  <to>
                    <xdr:col>3</xdr:col>
                    <xdr:colOff>1009650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Open_EquipWS"/>
  <dimension ref="A2:AC1286"/>
  <sheetViews>
    <sheetView workbookViewId="0">
      <selection activeCell="C11" sqref="C11"/>
    </sheetView>
  </sheetViews>
  <sheetFormatPr defaultColWidth="9.140625" defaultRowHeight="11.25" x14ac:dyDescent="0.2"/>
  <cols>
    <col min="1" max="1" width="18.7109375" style="23" bestFit="1" customWidth="1"/>
    <col min="2" max="2" width="2.140625" style="23" bestFit="1" customWidth="1"/>
    <col min="3" max="3" width="9.5703125" style="23" bestFit="1" customWidth="1"/>
    <col min="4" max="4" width="20.28515625" style="23" customWidth="1"/>
    <col min="5" max="5" width="5.28515625" style="23" bestFit="1" customWidth="1"/>
    <col min="6" max="6" width="10.85546875" style="23" bestFit="1" customWidth="1"/>
    <col min="7" max="7" width="35.7109375" style="23" customWidth="1"/>
    <col min="8" max="8" width="9.7109375" style="24" customWidth="1"/>
    <col min="9" max="9" width="9" style="24" bestFit="1" customWidth="1"/>
    <col min="10" max="11" width="32.7109375" style="23" customWidth="1"/>
    <col min="12" max="12" width="8.7109375" style="23" customWidth="1"/>
    <col min="13" max="14" width="4.7109375" style="23" customWidth="1"/>
    <col min="15" max="15" width="9.140625" style="23"/>
    <col min="16" max="17" width="4.7109375" style="23" customWidth="1"/>
    <col min="18" max="18" width="9.140625" style="23"/>
    <col min="19" max="21" width="9.7109375" style="24" customWidth="1"/>
    <col min="22" max="23" width="4.7109375" style="23" customWidth="1"/>
    <col min="24" max="24" width="9.7109375" style="24" customWidth="1"/>
    <col min="25" max="27" width="9.140625" style="23"/>
    <col min="28" max="28" width="9.7109375" style="24" customWidth="1"/>
    <col min="29" max="16384" width="9.140625" style="23"/>
  </cols>
  <sheetData>
    <row r="2" spans="1:29" x14ac:dyDescent="0.2">
      <c r="A2" s="24">
        <v>46087</v>
      </c>
      <c r="D2" s="23" t="s">
        <v>286</v>
      </c>
      <c r="AC2" s="23">
        <v>1</v>
      </c>
    </row>
    <row r="4" spans="1:29" x14ac:dyDescent="0.2">
      <c r="A4" s="23" t="s">
        <v>54</v>
      </c>
    </row>
    <row r="6" spans="1:29" x14ac:dyDescent="0.2">
      <c r="C6" s="23" t="s">
        <v>55</v>
      </c>
      <c r="E6" s="23" t="s">
        <v>56</v>
      </c>
      <c r="F6" s="23" t="s">
        <v>57</v>
      </c>
      <c r="G6" s="23" t="s">
        <v>11</v>
      </c>
      <c r="H6" s="24" t="s">
        <v>58</v>
      </c>
      <c r="I6" s="24" t="s">
        <v>59</v>
      </c>
      <c r="J6" s="23" t="s">
        <v>60</v>
      </c>
      <c r="K6" s="23" t="s">
        <v>61</v>
      </c>
      <c r="L6" s="23" t="s">
        <v>62</v>
      </c>
      <c r="M6" s="23" t="s">
        <v>63</v>
      </c>
      <c r="N6" s="23" t="s">
        <v>64</v>
      </c>
      <c r="O6" s="23" t="s">
        <v>287</v>
      </c>
      <c r="P6" s="23" t="s">
        <v>66</v>
      </c>
      <c r="Q6" s="23" t="s">
        <v>67</v>
      </c>
      <c r="R6" s="23" t="s">
        <v>68</v>
      </c>
      <c r="S6" s="24" t="s">
        <v>69</v>
      </c>
      <c r="T6" s="24" t="s">
        <v>70</v>
      </c>
      <c r="U6" s="24" t="s">
        <v>71</v>
      </c>
      <c r="V6" s="23" t="s">
        <v>72</v>
      </c>
      <c r="W6" s="23" t="s">
        <v>73</v>
      </c>
      <c r="X6" s="24" t="s">
        <v>69</v>
      </c>
      <c r="Y6" s="23" t="s">
        <v>74</v>
      </c>
      <c r="Z6" s="23" t="s">
        <v>75</v>
      </c>
      <c r="AA6" s="23" t="s">
        <v>76</v>
      </c>
      <c r="AB6" s="24" t="s">
        <v>77</v>
      </c>
    </row>
    <row r="8" spans="1:29" x14ac:dyDescent="0.2">
      <c r="C8" s="23">
        <v>1100109999</v>
      </c>
      <c r="E8" s="23">
        <v>30</v>
      </c>
      <c r="F8" s="23" t="s">
        <v>400</v>
      </c>
      <c r="G8" s="23" t="s">
        <v>401</v>
      </c>
      <c r="H8" s="24">
        <v>46086</v>
      </c>
      <c r="I8" s="24">
        <v>46086</v>
      </c>
      <c r="J8" s="23" t="s">
        <v>157</v>
      </c>
      <c r="K8" s="23" t="s">
        <v>157</v>
      </c>
      <c r="L8" s="23">
        <v>1</v>
      </c>
      <c r="M8" s="23" t="s">
        <v>78</v>
      </c>
      <c r="N8" s="23" t="s">
        <v>78</v>
      </c>
      <c r="O8" s="23">
        <v>82118</v>
      </c>
      <c r="P8" s="23" t="s">
        <v>79</v>
      </c>
      <c r="Q8" s="23" t="s">
        <v>83</v>
      </c>
      <c r="R8" s="23">
        <v>11100018</v>
      </c>
      <c r="S8" s="24">
        <v>45915</v>
      </c>
      <c r="T8" s="24">
        <v>45728</v>
      </c>
      <c r="U8" s="24">
        <v>45915</v>
      </c>
      <c r="X8" s="24">
        <v>45726</v>
      </c>
      <c r="Y8" s="23">
        <v>1111</v>
      </c>
      <c r="Z8" s="23">
        <v>11100002</v>
      </c>
      <c r="AA8" s="23">
        <v>5124</v>
      </c>
      <c r="AB8" s="24">
        <v>45728</v>
      </c>
    </row>
    <row r="9" spans="1:29" x14ac:dyDescent="0.2">
      <c r="C9" s="23">
        <v>1100109999</v>
      </c>
      <c r="E9" s="23">
        <v>40</v>
      </c>
      <c r="F9" s="23" t="s">
        <v>400</v>
      </c>
      <c r="G9" s="23" t="s">
        <v>401</v>
      </c>
      <c r="H9" s="24">
        <v>46086</v>
      </c>
      <c r="I9" s="24">
        <v>46086</v>
      </c>
      <c r="J9" s="23" t="s">
        <v>157</v>
      </c>
      <c r="K9" s="23" t="s">
        <v>157</v>
      </c>
      <c r="L9" s="23">
        <v>1</v>
      </c>
      <c r="M9" s="23" t="s">
        <v>78</v>
      </c>
      <c r="N9" s="23" t="s">
        <v>78</v>
      </c>
      <c r="O9" s="23">
        <v>82118</v>
      </c>
      <c r="P9" s="23" t="s">
        <v>79</v>
      </c>
      <c r="Q9" s="23" t="s">
        <v>83</v>
      </c>
      <c r="R9" s="23">
        <v>11100018</v>
      </c>
      <c r="S9" s="24">
        <v>45915</v>
      </c>
      <c r="T9" s="24">
        <v>45728</v>
      </c>
      <c r="U9" s="24">
        <v>45915</v>
      </c>
      <c r="X9" s="24">
        <v>45726</v>
      </c>
      <c r="Y9" s="23">
        <v>1111</v>
      </c>
      <c r="Z9" s="23">
        <v>11100002</v>
      </c>
      <c r="AA9" s="23">
        <v>5124</v>
      </c>
      <c r="AB9" s="24">
        <v>45728</v>
      </c>
    </row>
    <row r="10" spans="1:29" x14ac:dyDescent="0.2">
      <c r="C10" s="23">
        <v>1100109999</v>
      </c>
      <c r="E10" s="23">
        <v>50</v>
      </c>
      <c r="F10" s="23" t="s">
        <v>84</v>
      </c>
      <c r="G10" s="23" t="s">
        <v>123</v>
      </c>
      <c r="H10" s="24">
        <v>46086</v>
      </c>
      <c r="I10" s="24">
        <v>46064</v>
      </c>
      <c r="J10" s="23" t="s">
        <v>157</v>
      </c>
      <c r="K10" s="23" t="s">
        <v>157</v>
      </c>
      <c r="L10" s="23">
        <v>1</v>
      </c>
      <c r="M10" s="23" t="s">
        <v>78</v>
      </c>
      <c r="N10" s="23" t="s">
        <v>78</v>
      </c>
      <c r="O10" s="23">
        <v>0.01</v>
      </c>
      <c r="P10" s="23" t="s">
        <v>79</v>
      </c>
      <c r="Q10" s="23" t="s">
        <v>83</v>
      </c>
      <c r="R10" s="23">
        <v>11100018</v>
      </c>
      <c r="S10" s="24" t="s">
        <v>80</v>
      </c>
      <c r="T10" s="24">
        <v>45728</v>
      </c>
      <c r="U10" s="24">
        <v>45915</v>
      </c>
      <c r="X10" s="24">
        <v>45726</v>
      </c>
      <c r="Y10" s="23">
        <v>1111</v>
      </c>
      <c r="Z10" s="23">
        <v>11100002</v>
      </c>
      <c r="AA10" s="23">
        <v>5124</v>
      </c>
      <c r="AB10" s="24">
        <v>45728</v>
      </c>
    </row>
    <row r="11" spans="1:29" x14ac:dyDescent="0.2">
      <c r="B11" s="23" t="s">
        <v>81</v>
      </c>
      <c r="C11" s="23">
        <v>1100109999</v>
      </c>
      <c r="H11" s="24">
        <v>46086</v>
      </c>
      <c r="O11" s="23">
        <v>164236.01</v>
      </c>
      <c r="P11" s="23" t="s">
        <v>79</v>
      </c>
    </row>
    <row r="12" spans="1:29" x14ac:dyDescent="0.2">
      <c r="C12" s="23">
        <v>1100551728</v>
      </c>
      <c r="E12" s="23">
        <v>20</v>
      </c>
      <c r="F12" s="23" t="s">
        <v>641</v>
      </c>
      <c r="G12" s="23" t="s">
        <v>484</v>
      </c>
      <c r="H12" s="24">
        <v>46086</v>
      </c>
      <c r="I12" s="24">
        <v>46086</v>
      </c>
      <c r="J12" s="23" t="s">
        <v>640</v>
      </c>
      <c r="K12" s="23" t="s">
        <v>640</v>
      </c>
      <c r="L12" s="23">
        <v>1</v>
      </c>
      <c r="M12" s="23" t="s">
        <v>78</v>
      </c>
      <c r="N12" s="23" t="s">
        <v>78</v>
      </c>
      <c r="O12" s="23">
        <v>12762</v>
      </c>
      <c r="P12" s="23" t="s">
        <v>79</v>
      </c>
      <c r="Q12" s="23" t="s">
        <v>83</v>
      </c>
      <c r="R12" s="23">
        <v>11100189</v>
      </c>
      <c r="S12" s="24">
        <v>45787</v>
      </c>
      <c r="T12" s="24">
        <v>45799</v>
      </c>
      <c r="U12" s="24">
        <v>47116</v>
      </c>
      <c r="X12" s="24">
        <v>45772</v>
      </c>
      <c r="Y12" s="23">
        <v>1111</v>
      </c>
      <c r="Z12" s="23">
        <v>11100306</v>
      </c>
      <c r="AA12" s="23">
        <v>331203</v>
      </c>
      <c r="AB12" s="24">
        <v>45799</v>
      </c>
    </row>
    <row r="13" spans="1:29" x14ac:dyDescent="0.2">
      <c r="C13" s="23">
        <v>1100551728</v>
      </c>
      <c r="E13" s="23">
        <v>40</v>
      </c>
      <c r="F13" s="23" t="s">
        <v>84</v>
      </c>
      <c r="G13" s="23" t="s">
        <v>123</v>
      </c>
      <c r="H13" s="24">
        <v>46086</v>
      </c>
      <c r="I13" s="24">
        <v>46086</v>
      </c>
      <c r="J13" s="23" t="s">
        <v>640</v>
      </c>
      <c r="K13" s="23" t="s">
        <v>640</v>
      </c>
      <c r="L13" s="23">
        <v>1</v>
      </c>
      <c r="M13" s="23" t="s">
        <v>78</v>
      </c>
      <c r="N13" s="23" t="s">
        <v>78</v>
      </c>
      <c r="O13" s="23">
        <v>0.01</v>
      </c>
      <c r="P13" s="23" t="s">
        <v>79</v>
      </c>
      <c r="Q13" s="23" t="s">
        <v>83</v>
      </c>
      <c r="R13" s="23">
        <v>11100189</v>
      </c>
      <c r="S13" s="24">
        <v>45787</v>
      </c>
      <c r="T13" s="24">
        <v>45799</v>
      </c>
      <c r="U13" s="24">
        <v>46002</v>
      </c>
      <c r="X13" s="24">
        <v>45772</v>
      </c>
      <c r="Y13" s="23">
        <v>1111</v>
      </c>
      <c r="Z13" s="23">
        <v>11100306</v>
      </c>
      <c r="AA13" s="23">
        <v>331203</v>
      </c>
      <c r="AB13" s="24">
        <v>45799</v>
      </c>
    </row>
    <row r="14" spans="1:29" x14ac:dyDescent="0.2">
      <c r="B14" s="23" t="s">
        <v>81</v>
      </c>
      <c r="C14" s="23">
        <v>1100551728</v>
      </c>
      <c r="H14" s="24">
        <v>46086</v>
      </c>
      <c r="O14" s="23">
        <v>12762.01</v>
      </c>
      <c r="P14" s="23" t="s">
        <v>79</v>
      </c>
    </row>
    <row r="15" spans="1:29" x14ac:dyDescent="0.2">
      <c r="C15" s="23">
        <v>1100559053</v>
      </c>
      <c r="E15" s="23">
        <v>200</v>
      </c>
      <c r="F15" s="23" t="s">
        <v>1255</v>
      </c>
      <c r="G15" s="23" t="s">
        <v>484</v>
      </c>
      <c r="H15" s="24">
        <v>46086</v>
      </c>
      <c r="I15" s="24">
        <v>46086</v>
      </c>
      <c r="J15" s="23" t="s">
        <v>1256</v>
      </c>
      <c r="K15" s="23" t="s">
        <v>1256</v>
      </c>
      <c r="L15" s="23">
        <v>1</v>
      </c>
      <c r="M15" s="23" t="s">
        <v>78</v>
      </c>
      <c r="N15" s="23" t="s">
        <v>78</v>
      </c>
      <c r="O15" s="23">
        <v>29520</v>
      </c>
      <c r="P15" s="23" t="s">
        <v>79</v>
      </c>
      <c r="Q15" s="23" t="s">
        <v>83</v>
      </c>
      <c r="R15" s="23">
        <v>11100189</v>
      </c>
      <c r="S15" s="24">
        <v>46059</v>
      </c>
      <c r="T15" s="24">
        <v>45877</v>
      </c>
      <c r="U15" s="24">
        <v>46752</v>
      </c>
      <c r="X15" s="24">
        <v>45846</v>
      </c>
      <c r="Y15" s="23">
        <v>1111</v>
      </c>
      <c r="Z15" s="23">
        <v>11100316</v>
      </c>
      <c r="AA15" s="23">
        <v>386103</v>
      </c>
      <c r="AB15" s="24">
        <v>45877</v>
      </c>
    </row>
    <row r="16" spans="1:29" x14ac:dyDescent="0.2">
      <c r="C16" s="23">
        <v>1100559053</v>
      </c>
      <c r="E16" s="23">
        <v>210</v>
      </c>
      <c r="F16" s="23" t="s">
        <v>1255</v>
      </c>
      <c r="G16" s="23" t="s">
        <v>484</v>
      </c>
      <c r="H16" s="24">
        <v>46086</v>
      </c>
      <c r="I16" s="24">
        <v>46086</v>
      </c>
      <c r="J16" s="23" t="s">
        <v>1256</v>
      </c>
      <c r="K16" s="23" t="s">
        <v>1256</v>
      </c>
      <c r="L16" s="23">
        <v>1</v>
      </c>
      <c r="M16" s="23" t="s">
        <v>78</v>
      </c>
      <c r="N16" s="23" t="s">
        <v>78</v>
      </c>
      <c r="O16" s="23">
        <v>29520</v>
      </c>
      <c r="P16" s="23" t="s">
        <v>79</v>
      </c>
      <c r="Q16" s="23" t="s">
        <v>83</v>
      </c>
      <c r="R16" s="23">
        <v>11100189</v>
      </c>
      <c r="S16" s="24">
        <v>46059</v>
      </c>
      <c r="T16" s="24">
        <v>45877</v>
      </c>
      <c r="U16" s="24">
        <v>46752</v>
      </c>
      <c r="X16" s="24">
        <v>45846</v>
      </c>
      <c r="Y16" s="23">
        <v>1111</v>
      </c>
      <c r="Z16" s="23">
        <v>11100316</v>
      </c>
      <c r="AA16" s="23">
        <v>386103</v>
      </c>
      <c r="AB16" s="24">
        <v>45877</v>
      </c>
    </row>
    <row r="17" spans="2:28" x14ac:dyDescent="0.2">
      <c r="C17" s="23">
        <v>1100559053</v>
      </c>
      <c r="E17" s="23">
        <v>240</v>
      </c>
      <c r="F17" s="23" t="s">
        <v>84</v>
      </c>
      <c r="G17" s="23" t="s">
        <v>123</v>
      </c>
      <c r="H17" s="24">
        <v>46086</v>
      </c>
      <c r="I17" s="24">
        <v>46752</v>
      </c>
      <c r="J17" s="23" t="s">
        <v>1256</v>
      </c>
      <c r="K17" s="23" t="s">
        <v>1256</v>
      </c>
      <c r="L17" s="23">
        <v>1</v>
      </c>
      <c r="M17" s="23" t="s">
        <v>78</v>
      </c>
      <c r="N17" s="23" t="s">
        <v>78</v>
      </c>
      <c r="O17" s="23">
        <v>0.01</v>
      </c>
      <c r="P17" s="23" t="s">
        <v>79</v>
      </c>
      <c r="Q17" s="23" t="s">
        <v>83</v>
      </c>
      <c r="R17" s="23">
        <v>11100189</v>
      </c>
      <c r="S17" s="24" t="s">
        <v>80</v>
      </c>
      <c r="T17" s="24">
        <v>45877</v>
      </c>
      <c r="U17" s="24">
        <v>46752</v>
      </c>
      <c r="X17" s="24">
        <v>45846</v>
      </c>
      <c r="Y17" s="23">
        <v>1111</v>
      </c>
      <c r="Z17" s="23">
        <v>11100316</v>
      </c>
      <c r="AA17" s="23">
        <v>386103</v>
      </c>
      <c r="AB17" s="24">
        <v>45877</v>
      </c>
    </row>
    <row r="18" spans="2:28" x14ac:dyDescent="0.2">
      <c r="B18" s="23" t="s">
        <v>81</v>
      </c>
      <c r="C18" s="23">
        <v>1100559053</v>
      </c>
      <c r="H18" s="24">
        <v>46086</v>
      </c>
      <c r="O18" s="23">
        <v>59040.01</v>
      </c>
      <c r="P18" s="23" t="s">
        <v>79</v>
      </c>
    </row>
    <row r="19" spans="2:28" x14ac:dyDescent="0.2">
      <c r="C19" s="23">
        <v>1100558755</v>
      </c>
      <c r="E19" s="23">
        <v>10</v>
      </c>
      <c r="F19" s="23" t="s">
        <v>1258</v>
      </c>
      <c r="G19" s="23" t="s">
        <v>1259</v>
      </c>
      <c r="H19" s="24">
        <v>46087</v>
      </c>
      <c r="I19" s="24">
        <v>46087</v>
      </c>
      <c r="J19" s="23" t="s">
        <v>551</v>
      </c>
      <c r="K19" s="23" t="s">
        <v>551</v>
      </c>
      <c r="L19" s="23">
        <v>1</v>
      </c>
      <c r="M19" s="23" t="s">
        <v>78</v>
      </c>
      <c r="N19" s="23" t="s">
        <v>78</v>
      </c>
      <c r="O19" s="23">
        <v>10609</v>
      </c>
      <c r="P19" s="23" t="s">
        <v>79</v>
      </c>
      <c r="Q19" s="23" t="s">
        <v>83</v>
      </c>
      <c r="R19" s="23">
        <v>11100299</v>
      </c>
      <c r="S19" s="24">
        <v>45939</v>
      </c>
      <c r="T19" s="24">
        <v>45875</v>
      </c>
      <c r="U19" s="24">
        <v>46063</v>
      </c>
      <c r="X19" s="24">
        <v>45869</v>
      </c>
      <c r="Y19" s="23">
        <v>1111</v>
      </c>
      <c r="Z19" s="23">
        <v>11100002</v>
      </c>
      <c r="AA19" s="23">
        <v>5101</v>
      </c>
      <c r="AB19" s="24">
        <v>45875</v>
      </c>
    </row>
    <row r="20" spans="2:28" x14ac:dyDescent="0.2">
      <c r="C20" s="23">
        <v>1100558755</v>
      </c>
      <c r="E20" s="23">
        <v>20</v>
      </c>
      <c r="F20" s="23" t="s">
        <v>84</v>
      </c>
      <c r="G20" s="23" t="s">
        <v>123</v>
      </c>
      <c r="H20" s="24">
        <v>46087</v>
      </c>
      <c r="I20" s="24">
        <v>46087</v>
      </c>
      <c r="J20" s="23" t="s">
        <v>551</v>
      </c>
      <c r="K20" s="23" t="s">
        <v>551</v>
      </c>
      <c r="L20" s="23">
        <v>1</v>
      </c>
      <c r="M20" s="23" t="s">
        <v>78</v>
      </c>
      <c r="N20" s="23" t="s">
        <v>78</v>
      </c>
      <c r="O20" s="23">
        <v>0.01</v>
      </c>
      <c r="P20" s="23" t="s">
        <v>79</v>
      </c>
      <c r="Q20" s="23" t="s">
        <v>83</v>
      </c>
      <c r="R20" s="23">
        <v>11100299</v>
      </c>
      <c r="S20" s="24" t="s">
        <v>80</v>
      </c>
      <c r="T20" s="24">
        <v>45875</v>
      </c>
      <c r="U20" s="24">
        <v>46063</v>
      </c>
      <c r="X20" s="24">
        <v>45869</v>
      </c>
      <c r="Y20" s="23">
        <v>1111</v>
      </c>
      <c r="Z20" s="23">
        <v>11100002</v>
      </c>
      <c r="AA20" s="23">
        <v>5101</v>
      </c>
      <c r="AB20" s="24">
        <v>45875</v>
      </c>
    </row>
    <row r="21" spans="2:28" x14ac:dyDescent="0.2">
      <c r="B21" s="23" t="s">
        <v>81</v>
      </c>
      <c r="C21" s="23">
        <v>1100558755</v>
      </c>
      <c r="H21" s="24">
        <v>46087</v>
      </c>
      <c r="O21" s="23">
        <v>10609.01</v>
      </c>
      <c r="P21" s="23" t="s">
        <v>79</v>
      </c>
    </row>
    <row r="22" spans="2:28" x14ac:dyDescent="0.2">
      <c r="C22" s="23">
        <v>1100560015</v>
      </c>
      <c r="E22" s="23">
        <v>10</v>
      </c>
      <c r="F22" s="23" t="s">
        <v>1219</v>
      </c>
      <c r="G22" s="23" t="s">
        <v>1220</v>
      </c>
      <c r="H22" s="24">
        <v>46091</v>
      </c>
      <c r="I22" s="24">
        <v>46091</v>
      </c>
      <c r="J22" s="23" t="s">
        <v>1221</v>
      </c>
      <c r="K22" s="23" t="s">
        <v>1221</v>
      </c>
      <c r="L22" s="23">
        <v>2</v>
      </c>
      <c r="M22" s="23" t="s">
        <v>78</v>
      </c>
      <c r="N22" s="23" t="s">
        <v>78</v>
      </c>
      <c r="O22" s="23">
        <v>78308.66</v>
      </c>
      <c r="P22" s="23" t="s">
        <v>79</v>
      </c>
      <c r="Q22" s="23" t="s">
        <v>83</v>
      </c>
      <c r="R22" s="23">
        <v>11100189</v>
      </c>
      <c r="S22" s="24">
        <v>46020</v>
      </c>
      <c r="T22" s="24">
        <v>45887</v>
      </c>
      <c r="U22" s="24">
        <v>46752</v>
      </c>
      <c r="X22" s="24">
        <v>45887</v>
      </c>
      <c r="Y22" s="23">
        <v>1111</v>
      </c>
      <c r="Z22" s="23">
        <v>11100305</v>
      </c>
      <c r="AA22" s="23">
        <v>330103</v>
      </c>
      <c r="AB22" s="24">
        <v>45887</v>
      </c>
    </row>
    <row r="23" spans="2:28" x14ac:dyDescent="0.2">
      <c r="C23" s="23">
        <v>1100560015</v>
      </c>
      <c r="E23" s="23">
        <v>20</v>
      </c>
      <c r="F23" s="23" t="s">
        <v>1219</v>
      </c>
      <c r="G23" s="23" t="s">
        <v>1220</v>
      </c>
      <c r="H23" s="24">
        <v>46091</v>
      </c>
      <c r="I23" s="24">
        <v>46091</v>
      </c>
      <c r="J23" s="23" t="s">
        <v>1221</v>
      </c>
      <c r="K23" s="23" t="s">
        <v>1221</v>
      </c>
      <c r="L23" s="23">
        <v>1</v>
      </c>
      <c r="M23" s="23" t="s">
        <v>78</v>
      </c>
      <c r="N23" s="23" t="s">
        <v>78</v>
      </c>
      <c r="O23" s="23">
        <v>39154.339999999997</v>
      </c>
      <c r="P23" s="23" t="s">
        <v>79</v>
      </c>
      <c r="Q23" s="23" t="s">
        <v>83</v>
      </c>
      <c r="R23" s="23">
        <v>11100189</v>
      </c>
      <c r="S23" s="24" t="s">
        <v>1222</v>
      </c>
      <c r="T23" s="24">
        <v>45887</v>
      </c>
      <c r="U23" s="24">
        <v>46752</v>
      </c>
      <c r="X23" s="24">
        <v>45887</v>
      </c>
      <c r="Y23" s="23">
        <v>1111</v>
      </c>
      <c r="Z23" s="23">
        <v>11100305</v>
      </c>
      <c r="AA23" s="23">
        <v>330103</v>
      </c>
      <c r="AB23" s="24">
        <v>45887</v>
      </c>
    </row>
    <row r="24" spans="2:28" x14ac:dyDescent="0.2">
      <c r="C24" s="23">
        <v>1100560015</v>
      </c>
      <c r="E24" s="23">
        <v>30</v>
      </c>
      <c r="F24" s="23" t="s">
        <v>293</v>
      </c>
      <c r="G24" s="23" t="s">
        <v>294</v>
      </c>
      <c r="H24" s="24">
        <v>46091</v>
      </c>
      <c r="I24" s="24">
        <v>46091</v>
      </c>
      <c r="J24" s="23" t="s">
        <v>1221</v>
      </c>
      <c r="K24" s="23" t="s">
        <v>1221</v>
      </c>
      <c r="L24" s="23">
        <v>1</v>
      </c>
      <c r="M24" s="23" t="s">
        <v>78</v>
      </c>
      <c r="N24" s="23" t="s">
        <v>78</v>
      </c>
      <c r="O24" s="23">
        <v>11500</v>
      </c>
      <c r="P24" s="23" t="s">
        <v>79</v>
      </c>
      <c r="Q24" s="23" t="s">
        <v>83</v>
      </c>
      <c r="R24" s="23">
        <v>11100189</v>
      </c>
      <c r="S24" s="24">
        <v>46020</v>
      </c>
      <c r="T24" s="24">
        <v>45887</v>
      </c>
      <c r="U24" s="24">
        <v>46752</v>
      </c>
      <c r="X24" s="24">
        <v>45887</v>
      </c>
      <c r="Y24" s="23">
        <v>1111</v>
      </c>
      <c r="Z24" s="23">
        <v>11100305</v>
      </c>
      <c r="AA24" s="23">
        <v>330103</v>
      </c>
      <c r="AB24" s="24">
        <v>45887</v>
      </c>
    </row>
    <row r="25" spans="2:28" x14ac:dyDescent="0.2">
      <c r="C25" s="23">
        <v>1100560015</v>
      </c>
      <c r="E25" s="23">
        <v>40</v>
      </c>
      <c r="F25" s="23" t="s">
        <v>84</v>
      </c>
      <c r="G25" s="23" t="s">
        <v>123</v>
      </c>
      <c r="H25" s="24">
        <v>46091</v>
      </c>
      <c r="I25" s="24">
        <v>46091</v>
      </c>
      <c r="J25" s="23" t="s">
        <v>1221</v>
      </c>
      <c r="K25" s="23" t="s">
        <v>1221</v>
      </c>
      <c r="L25" s="23">
        <v>1</v>
      </c>
      <c r="M25" s="23" t="s">
        <v>78</v>
      </c>
      <c r="N25" s="23" t="s">
        <v>78</v>
      </c>
      <c r="O25" s="23">
        <v>0.01</v>
      </c>
      <c r="P25" s="23" t="s">
        <v>79</v>
      </c>
      <c r="Q25" s="23" t="s">
        <v>83</v>
      </c>
      <c r="R25" s="23">
        <v>11100189</v>
      </c>
      <c r="S25" s="24">
        <v>46020</v>
      </c>
      <c r="T25" s="24">
        <v>45887</v>
      </c>
      <c r="U25" s="24">
        <v>46752</v>
      </c>
      <c r="X25" s="24">
        <v>45887</v>
      </c>
      <c r="Y25" s="23">
        <v>1111</v>
      </c>
      <c r="Z25" s="23">
        <v>11100305</v>
      </c>
      <c r="AA25" s="23">
        <v>330103</v>
      </c>
      <c r="AB25" s="24">
        <v>45887</v>
      </c>
    </row>
    <row r="26" spans="2:28" x14ac:dyDescent="0.2">
      <c r="C26" s="23">
        <v>1100560015</v>
      </c>
      <c r="E26" s="23">
        <v>50</v>
      </c>
      <c r="F26" s="23" t="s">
        <v>82</v>
      </c>
      <c r="G26" s="23" t="s">
        <v>139</v>
      </c>
      <c r="H26" s="24">
        <v>46091</v>
      </c>
      <c r="I26" s="24">
        <v>46091</v>
      </c>
      <c r="J26" s="23" t="s">
        <v>1221</v>
      </c>
      <c r="K26" s="23" t="s">
        <v>1221</v>
      </c>
      <c r="L26" s="23">
        <v>1</v>
      </c>
      <c r="M26" s="23" t="s">
        <v>78</v>
      </c>
      <c r="N26" s="23" t="s">
        <v>78</v>
      </c>
      <c r="O26" s="23">
        <v>0.01</v>
      </c>
      <c r="P26" s="23" t="s">
        <v>79</v>
      </c>
      <c r="Q26" s="23" t="s">
        <v>83</v>
      </c>
      <c r="R26" s="23">
        <v>11100189</v>
      </c>
      <c r="S26" s="24">
        <v>46020</v>
      </c>
      <c r="T26" s="24">
        <v>45887</v>
      </c>
      <c r="U26" s="24">
        <v>46752</v>
      </c>
      <c r="X26" s="24">
        <v>45887</v>
      </c>
      <c r="Y26" s="23">
        <v>1111</v>
      </c>
      <c r="Z26" s="23">
        <v>11100305</v>
      </c>
      <c r="AA26" s="23">
        <v>330103</v>
      </c>
      <c r="AB26" s="24">
        <v>45887</v>
      </c>
    </row>
    <row r="27" spans="2:28" x14ac:dyDescent="0.2">
      <c r="B27" s="23" t="s">
        <v>81</v>
      </c>
      <c r="C27" s="23">
        <v>1100560015</v>
      </c>
      <c r="H27" s="24">
        <v>46091</v>
      </c>
      <c r="O27" s="23">
        <v>128963.02</v>
      </c>
      <c r="P27" s="23" t="s">
        <v>79</v>
      </c>
    </row>
    <row r="28" spans="2:28" x14ac:dyDescent="0.2">
      <c r="C28" s="23">
        <v>1100566650</v>
      </c>
      <c r="E28" s="23">
        <v>10</v>
      </c>
      <c r="F28" s="23" t="s">
        <v>1318</v>
      </c>
      <c r="G28" s="23" t="s">
        <v>1319</v>
      </c>
      <c r="H28" s="24">
        <v>46091</v>
      </c>
      <c r="I28" s="24">
        <v>46091</v>
      </c>
      <c r="J28" s="23" t="s">
        <v>272</v>
      </c>
      <c r="K28" s="23" t="s">
        <v>272</v>
      </c>
      <c r="L28" s="23">
        <v>1</v>
      </c>
      <c r="M28" s="23" t="s">
        <v>78</v>
      </c>
      <c r="N28" s="23" t="s">
        <v>78</v>
      </c>
      <c r="O28" s="23">
        <v>26544</v>
      </c>
      <c r="P28" s="23" t="s">
        <v>79</v>
      </c>
      <c r="Q28" s="23" t="s">
        <v>83</v>
      </c>
      <c r="R28" s="23">
        <v>11100299</v>
      </c>
      <c r="S28" s="24">
        <v>46034</v>
      </c>
      <c r="T28" s="24">
        <v>45951</v>
      </c>
      <c r="U28" s="24">
        <v>46091</v>
      </c>
      <c r="X28" s="24">
        <v>45947</v>
      </c>
      <c r="Y28" s="23">
        <v>1111</v>
      </c>
      <c r="Z28" s="23">
        <v>11100002</v>
      </c>
      <c r="AA28" s="23">
        <v>3501</v>
      </c>
      <c r="AB28" s="24">
        <v>45951</v>
      </c>
    </row>
    <row r="29" spans="2:28" x14ac:dyDescent="0.2">
      <c r="C29" s="23">
        <v>1100566650</v>
      </c>
      <c r="E29" s="23">
        <v>20</v>
      </c>
      <c r="F29" s="23" t="s">
        <v>297</v>
      </c>
      <c r="G29" s="23" t="s">
        <v>298</v>
      </c>
      <c r="H29" s="24">
        <v>46091</v>
      </c>
      <c r="I29" s="24">
        <v>46091</v>
      </c>
      <c r="J29" s="23" t="s">
        <v>272</v>
      </c>
      <c r="K29" s="23" t="s">
        <v>272</v>
      </c>
      <c r="L29" s="23">
        <v>1</v>
      </c>
      <c r="M29" s="23" t="s">
        <v>78</v>
      </c>
      <c r="N29" s="23" t="s">
        <v>78</v>
      </c>
      <c r="O29" s="23">
        <v>0.01</v>
      </c>
      <c r="P29" s="23" t="s">
        <v>79</v>
      </c>
      <c r="Q29" s="23" t="s">
        <v>83</v>
      </c>
      <c r="R29" s="23">
        <v>11100299</v>
      </c>
      <c r="S29" s="24">
        <v>46034</v>
      </c>
      <c r="T29" s="24">
        <v>45951</v>
      </c>
      <c r="U29" s="24">
        <v>46091</v>
      </c>
      <c r="X29" s="24">
        <v>45947</v>
      </c>
      <c r="Y29" s="23">
        <v>1111</v>
      </c>
      <c r="Z29" s="23">
        <v>11100002</v>
      </c>
      <c r="AA29" s="23">
        <v>3501</v>
      </c>
      <c r="AB29" s="24">
        <v>45951</v>
      </c>
    </row>
    <row r="30" spans="2:28" x14ac:dyDescent="0.2">
      <c r="C30" s="23">
        <v>1100566650</v>
      </c>
      <c r="E30" s="23">
        <v>30</v>
      </c>
      <c r="F30" s="23" t="s">
        <v>84</v>
      </c>
      <c r="G30" s="23" t="s">
        <v>123</v>
      </c>
      <c r="H30" s="24">
        <v>46091</v>
      </c>
      <c r="I30" s="24">
        <v>46091</v>
      </c>
      <c r="J30" s="23" t="s">
        <v>272</v>
      </c>
      <c r="K30" s="23" t="s">
        <v>272</v>
      </c>
      <c r="L30" s="23">
        <v>1</v>
      </c>
      <c r="M30" s="23" t="s">
        <v>78</v>
      </c>
      <c r="N30" s="23" t="s">
        <v>78</v>
      </c>
      <c r="O30" s="23">
        <v>0.01</v>
      </c>
      <c r="P30" s="23" t="s">
        <v>79</v>
      </c>
      <c r="Q30" s="23" t="s">
        <v>83</v>
      </c>
      <c r="R30" s="23">
        <v>11100299</v>
      </c>
      <c r="S30" s="24" t="s">
        <v>80</v>
      </c>
      <c r="T30" s="24">
        <v>45951</v>
      </c>
      <c r="U30" s="24">
        <v>46091</v>
      </c>
      <c r="X30" s="24">
        <v>45947</v>
      </c>
      <c r="Y30" s="23">
        <v>1111</v>
      </c>
      <c r="Z30" s="23">
        <v>11100002</v>
      </c>
      <c r="AA30" s="23">
        <v>3501</v>
      </c>
      <c r="AB30" s="24">
        <v>45951</v>
      </c>
    </row>
    <row r="31" spans="2:28" x14ac:dyDescent="0.2">
      <c r="C31" s="23">
        <v>1100566650</v>
      </c>
      <c r="E31" s="23">
        <v>40</v>
      </c>
      <c r="F31" s="23" t="s">
        <v>1242</v>
      </c>
      <c r="G31" s="23" t="s">
        <v>1320</v>
      </c>
      <c r="H31" s="24">
        <v>46091</v>
      </c>
      <c r="I31" s="24">
        <v>46091</v>
      </c>
      <c r="J31" s="23" t="s">
        <v>272</v>
      </c>
      <c r="K31" s="23" t="s">
        <v>272</v>
      </c>
      <c r="L31" s="23">
        <v>1</v>
      </c>
      <c r="M31" s="23" t="s">
        <v>78</v>
      </c>
      <c r="N31" s="23" t="s">
        <v>78</v>
      </c>
      <c r="O31" s="23">
        <v>0.01</v>
      </c>
      <c r="P31" s="23" t="s">
        <v>79</v>
      </c>
      <c r="Q31" s="23" t="s">
        <v>83</v>
      </c>
      <c r="R31" s="23">
        <v>11100299</v>
      </c>
      <c r="S31" s="24" t="s">
        <v>80</v>
      </c>
      <c r="T31" s="24">
        <v>45951</v>
      </c>
      <c r="U31" s="24">
        <v>46091</v>
      </c>
      <c r="X31" s="24">
        <v>45947</v>
      </c>
      <c r="Y31" s="23">
        <v>1111</v>
      </c>
      <c r="Z31" s="23">
        <v>11100002</v>
      </c>
      <c r="AA31" s="23">
        <v>3501</v>
      </c>
      <c r="AB31" s="24">
        <v>45951</v>
      </c>
    </row>
    <row r="32" spans="2:28" x14ac:dyDescent="0.2">
      <c r="B32" s="23" t="s">
        <v>81</v>
      </c>
      <c r="C32" s="23">
        <v>1100566650</v>
      </c>
      <c r="H32" s="24">
        <v>46091</v>
      </c>
      <c r="O32" s="23">
        <v>26544.03</v>
      </c>
      <c r="P32" s="23" t="s">
        <v>79</v>
      </c>
    </row>
    <row r="33" spans="2:28" x14ac:dyDescent="0.2">
      <c r="C33" s="23">
        <v>1100559555</v>
      </c>
      <c r="E33" s="23">
        <v>10</v>
      </c>
      <c r="F33" s="23" t="s">
        <v>1323</v>
      </c>
      <c r="G33" s="23" t="s">
        <v>1324</v>
      </c>
      <c r="H33" s="24">
        <v>46092</v>
      </c>
      <c r="I33" s="24">
        <v>46092</v>
      </c>
      <c r="J33" s="23" t="s">
        <v>92</v>
      </c>
      <c r="K33" s="23" t="s">
        <v>92</v>
      </c>
      <c r="L33" s="23">
        <v>2</v>
      </c>
      <c r="M33" s="23" t="s">
        <v>78</v>
      </c>
      <c r="N33" s="23" t="s">
        <v>78</v>
      </c>
      <c r="O33" s="23">
        <v>112939.84</v>
      </c>
      <c r="P33" s="23" t="s">
        <v>79</v>
      </c>
      <c r="Q33" s="23" t="s">
        <v>83</v>
      </c>
      <c r="R33" s="23">
        <v>11100189</v>
      </c>
      <c r="S33" s="24" t="s">
        <v>80</v>
      </c>
      <c r="T33" s="24">
        <v>45882</v>
      </c>
      <c r="U33" s="24">
        <v>46752</v>
      </c>
      <c r="X33" s="24">
        <v>45876</v>
      </c>
      <c r="Y33" s="23">
        <v>1111</v>
      </c>
      <c r="Z33" s="23">
        <v>11100303</v>
      </c>
      <c r="AA33" s="23">
        <v>510103</v>
      </c>
      <c r="AB33" s="24">
        <v>45882</v>
      </c>
    </row>
    <row r="34" spans="2:28" x14ac:dyDescent="0.2">
      <c r="C34" s="23">
        <v>1100559555</v>
      </c>
      <c r="E34" s="23">
        <v>20</v>
      </c>
      <c r="F34" s="23" t="s">
        <v>1325</v>
      </c>
      <c r="G34" s="23" t="s">
        <v>1326</v>
      </c>
      <c r="H34" s="24">
        <v>46092</v>
      </c>
      <c r="I34" s="24">
        <v>46092</v>
      </c>
      <c r="J34" s="23" t="s">
        <v>92</v>
      </c>
      <c r="K34" s="23" t="s">
        <v>92</v>
      </c>
      <c r="L34" s="23">
        <v>3</v>
      </c>
      <c r="M34" s="23" t="s">
        <v>78</v>
      </c>
      <c r="N34" s="23" t="s">
        <v>78</v>
      </c>
      <c r="O34" s="23">
        <v>180918.96</v>
      </c>
      <c r="P34" s="23" t="s">
        <v>79</v>
      </c>
      <c r="Q34" s="23" t="s">
        <v>83</v>
      </c>
      <c r="R34" s="23">
        <v>11100189</v>
      </c>
      <c r="S34" s="24" t="s">
        <v>80</v>
      </c>
      <c r="T34" s="24">
        <v>45882</v>
      </c>
      <c r="U34" s="24">
        <v>46752</v>
      </c>
      <c r="X34" s="24">
        <v>45876</v>
      </c>
      <c r="Y34" s="23">
        <v>1111</v>
      </c>
      <c r="Z34" s="23">
        <v>11100303</v>
      </c>
      <c r="AA34" s="23">
        <v>510103</v>
      </c>
      <c r="AB34" s="24">
        <v>45882</v>
      </c>
    </row>
    <row r="35" spans="2:28" x14ac:dyDescent="0.2">
      <c r="C35" s="23">
        <v>1100559555</v>
      </c>
      <c r="E35" s="23">
        <v>30</v>
      </c>
      <c r="F35" s="23" t="s">
        <v>1327</v>
      </c>
      <c r="G35" s="23" t="s">
        <v>1328</v>
      </c>
      <c r="H35" s="24">
        <v>46092</v>
      </c>
      <c r="I35" s="24">
        <v>46092</v>
      </c>
      <c r="J35" s="23" t="s">
        <v>92</v>
      </c>
      <c r="K35" s="23" t="s">
        <v>92</v>
      </c>
      <c r="L35" s="23">
        <v>1</v>
      </c>
      <c r="M35" s="23" t="s">
        <v>78</v>
      </c>
      <c r="N35" s="23" t="s">
        <v>78</v>
      </c>
      <c r="O35" s="23">
        <v>17199.2</v>
      </c>
      <c r="P35" s="23" t="s">
        <v>79</v>
      </c>
      <c r="Q35" s="23" t="s">
        <v>83</v>
      </c>
      <c r="R35" s="23">
        <v>11100189</v>
      </c>
      <c r="S35" s="24" t="s">
        <v>80</v>
      </c>
      <c r="T35" s="24">
        <v>45882</v>
      </c>
      <c r="U35" s="24">
        <v>46752</v>
      </c>
      <c r="X35" s="24">
        <v>45876</v>
      </c>
      <c r="Y35" s="23">
        <v>1111</v>
      </c>
      <c r="Z35" s="23">
        <v>11100303</v>
      </c>
      <c r="AA35" s="23">
        <v>510103</v>
      </c>
      <c r="AB35" s="24">
        <v>45882</v>
      </c>
    </row>
    <row r="36" spans="2:28" x14ac:dyDescent="0.2">
      <c r="C36" s="23">
        <v>1100559555</v>
      </c>
      <c r="E36" s="23">
        <v>40</v>
      </c>
      <c r="F36" s="23" t="s">
        <v>84</v>
      </c>
      <c r="G36" s="23" t="s">
        <v>123</v>
      </c>
      <c r="H36" s="24">
        <v>46092</v>
      </c>
      <c r="I36" s="24">
        <v>46092</v>
      </c>
      <c r="J36" s="23" t="s">
        <v>92</v>
      </c>
      <c r="K36" s="23" t="s">
        <v>92</v>
      </c>
      <c r="L36" s="23">
        <v>1</v>
      </c>
      <c r="M36" s="23" t="s">
        <v>78</v>
      </c>
      <c r="N36" s="23" t="s">
        <v>78</v>
      </c>
      <c r="O36" s="23">
        <v>0.01</v>
      </c>
      <c r="P36" s="23" t="s">
        <v>79</v>
      </c>
      <c r="Q36" s="23" t="s">
        <v>83</v>
      </c>
      <c r="R36" s="23">
        <v>11100189</v>
      </c>
      <c r="S36" s="24" t="s">
        <v>80</v>
      </c>
      <c r="T36" s="24">
        <v>45882</v>
      </c>
      <c r="U36" s="24">
        <v>46752</v>
      </c>
      <c r="X36" s="24">
        <v>45876</v>
      </c>
      <c r="Y36" s="23">
        <v>1111</v>
      </c>
      <c r="Z36" s="23">
        <v>11100303</v>
      </c>
      <c r="AA36" s="23">
        <v>510103</v>
      </c>
      <c r="AB36" s="24">
        <v>45882</v>
      </c>
    </row>
    <row r="37" spans="2:28" x14ac:dyDescent="0.2">
      <c r="B37" s="23" t="s">
        <v>81</v>
      </c>
      <c r="C37" s="23">
        <v>1100559555</v>
      </c>
      <c r="H37" s="24">
        <v>46092</v>
      </c>
      <c r="O37" s="23">
        <v>311058.01</v>
      </c>
      <c r="P37" s="23" t="s">
        <v>79</v>
      </c>
    </row>
    <row r="38" spans="2:28" x14ac:dyDescent="0.2">
      <c r="C38" s="23">
        <v>1100567887</v>
      </c>
      <c r="E38" s="23">
        <v>10</v>
      </c>
      <c r="F38" s="23" t="s">
        <v>1267</v>
      </c>
      <c r="G38" s="23" t="s">
        <v>1268</v>
      </c>
      <c r="H38" s="24">
        <v>46092</v>
      </c>
      <c r="I38" s="24">
        <v>46092</v>
      </c>
      <c r="J38" s="23" t="s">
        <v>92</v>
      </c>
      <c r="K38" s="23" t="s">
        <v>92</v>
      </c>
      <c r="L38" s="23">
        <v>1</v>
      </c>
      <c r="M38" s="23" t="s">
        <v>78</v>
      </c>
      <c r="N38" s="23" t="s">
        <v>78</v>
      </c>
      <c r="O38" s="23">
        <v>18700</v>
      </c>
      <c r="P38" s="23" t="s">
        <v>79</v>
      </c>
      <c r="Q38" s="23" t="s">
        <v>83</v>
      </c>
      <c r="R38" s="23">
        <v>11100299</v>
      </c>
      <c r="S38" s="24" t="s">
        <v>80</v>
      </c>
      <c r="T38" s="24">
        <v>45964</v>
      </c>
      <c r="U38" s="24">
        <v>46085</v>
      </c>
      <c r="X38" s="24">
        <v>45932</v>
      </c>
      <c r="Y38" s="23">
        <v>1111</v>
      </c>
      <c r="Z38" s="23">
        <v>11100303</v>
      </c>
      <c r="AA38" s="23">
        <v>521203</v>
      </c>
      <c r="AB38" s="24">
        <v>45964</v>
      </c>
    </row>
    <row r="39" spans="2:28" x14ac:dyDescent="0.2">
      <c r="C39" s="23">
        <v>1100567887</v>
      </c>
      <c r="E39" s="23">
        <v>20</v>
      </c>
      <c r="F39" s="23" t="s">
        <v>84</v>
      </c>
      <c r="G39" s="23" t="s">
        <v>123</v>
      </c>
      <c r="H39" s="24">
        <v>46092</v>
      </c>
      <c r="I39" s="24">
        <v>46092</v>
      </c>
      <c r="J39" s="23" t="s">
        <v>92</v>
      </c>
      <c r="K39" s="23" t="s">
        <v>92</v>
      </c>
      <c r="L39" s="23">
        <v>1</v>
      </c>
      <c r="M39" s="23" t="s">
        <v>78</v>
      </c>
      <c r="N39" s="23" t="s">
        <v>78</v>
      </c>
      <c r="O39" s="23">
        <v>0.01</v>
      </c>
      <c r="P39" s="23" t="s">
        <v>79</v>
      </c>
      <c r="Q39" s="23" t="s">
        <v>83</v>
      </c>
      <c r="R39" s="23">
        <v>11100299</v>
      </c>
      <c r="S39" s="24" t="s">
        <v>80</v>
      </c>
      <c r="T39" s="24">
        <v>45964</v>
      </c>
      <c r="U39" s="24">
        <v>46085</v>
      </c>
      <c r="X39" s="24">
        <v>45932</v>
      </c>
      <c r="Y39" s="23">
        <v>1111</v>
      </c>
      <c r="Z39" s="23">
        <v>11100303</v>
      </c>
      <c r="AA39" s="23">
        <v>521203</v>
      </c>
      <c r="AB39" s="24">
        <v>45964</v>
      </c>
    </row>
    <row r="40" spans="2:28" x14ac:dyDescent="0.2">
      <c r="B40" s="23" t="s">
        <v>81</v>
      </c>
      <c r="C40" s="23">
        <v>1100567887</v>
      </c>
      <c r="H40" s="24">
        <v>46092</v>
      </c>
      <c r="O40" s="23">
        <v>18700.009999999998</v>
      </c>
      <c r="P40" s="23" t="s">
        <v>79</v>
      </c>
    </row>
    <row r="41" spans="2:28" x14ac:dyDescent="0.2">
      <c r="C41" s="23">
        <v>1100571283</v>
      </c>
      <c r="E41" s="23">
        <v>10</v>
      </c>
      <c r="F41" s="23" t="s">
        <v>2323</v>
      </c>
      <c r="G41" s="23" t="s">
        <v>541</v>
      </c>
      <c r="H41" s="24">
        <v>46092</v>
      </c>
      <c r="I41" s="24">
        <v>46092</v>
      </c>
      <c r="J41" s="23" t="s">
        <v>165</v>
      </c>
      <c r="K41" s="23" t="s">
        <v>165</v>
      </c>
      <c r="L41" s="23">
        <v>1</v>
      </c>
      <c r="M41" s="23" t="s">
        <v>78</v>
      </c>
      <c r="N41" s="23" t="s">
        <v>78</v>
      </c>
      <c r="O41" s="23">
        <v>25248</v>
      </c>
      <c r="P41" s="23" t="s">
        <v>79</v>
      </c>
      <c r="Q41" s="23" t="s">
        <v>83</v>
      </c>
      <c r="R41" s="23">
        <v>11100008</v>
      </c>
      <c r="S41" s="24" t="s">
        <v>80</v>
      </c>
      <c r="T41" s="24">
        <v>46003</v>
      </c>
      <c r="U41" s="24" t="s">
        <v>80</v>
      </c>
      <c r="X41" s="24">
        <v>45973</v>
      </c>
      <c r="Y41" s="23">
        <v>1111</v>
      </c>
      <c r="Z41" s="23">
        <v>11100303</v>
      </c>
      <c r="AA41" s="23">
        <v>334903</v>
      </c>
      <c r="AB41" s="24">
        <v>46003</v>
      </c>
    </row>
    <row r="42" spans="2:28" x14ac:dyDescent="0.2">
      <c r="C42" s="23">
        <v>1100571283</v>
      </c>
      <c r="E42" s="23">
        <v>20</v>
      </c>
      <c r="F42" s="23" t="s">
        <v>84</v>
      </c>
      <c r="G42" s="23" t="s">
        <v>123</v>
      </c>
      <c r="H42" s="24">
        <v>46092</v>
      </c>
      <c r="I42" s="24">
        <v>46092</v>
      </c>
      <c r="J42" s="23" t="s">
        <v>165</v>
      </c>
      <c r="K42" s="23" t="s">
        <v>165</v>
      </c>
      <c r="L42" s="23">
        <v>1</v>
      </c>
      <c r="M42" s="23" t="s">
        <v>78</v>
      </c>
      <c r="N42" s="23" t="s">
        <v>78</v>
      </c>
      <c r="O42" s="23">
        <v>0.01</v>
      </c>
      <c r="P42" s="23" t="s">
        <v>79</v>
      </c>
      <c r="Q42" s="23" t="s">
        <v>83</v>
      </c>
      <c r="R42" s="23">
        <v>11100008</v>
      </c>
      <c r="S42" s="24" t="s">
        <v>80</v>
      </c>
      <c r="T42" s="24">
        <v>46003</v>
      </c>
      <c r="U42" s="24" t="s">
        <v>80</v>
      </c>
      <c r="X42" s="24">
        <v>45973</v>
      </c>
      <c r="Y42" s="23">
        <v>1111</v>
      </c>
      <c r="Z42" s="23">
        <v>11100303</v>
      </c>
      <c r="AA42" s="23">
        <v>334903</v>
      </c>
      <c r="AB42" s="24">
        <v>46003</v>
      </c>
    </row>
    <row r="43" spans="2:28" x14ac:dyDescent="0.2">
      <c r="C43" s="23">
        <v>1100571283</v>
      </c>
      <c r="E43" s="23">
        <v>30</v>
      </c>
      <c r="F43" s="23" t="s">
        <v>82</v>
      </c>
      <c r="G43" s="23" t="s">
        <v>139</v>
      </c>
      <c r="H43" s="24">
        <v>46092</v>
      </c>
      <c r="I43" s="24">
        <v>46092</v>
      </c>
      <c r="J43" s="23" t="s">
        <v>165</v>
      </c>
      <c r="K43" s="23" t="s">
        <v>165</v>
      </c>
      <c r="L43" s="23">
        <v>1</v>
      </c>
      <c r="M43" s="23" t="s">
        <v>78</v>
      </c>
      <c r="N43" s="23" t="s">
        <v>78</v>
      </c>
      <c r="O43" s="23">
        <v>0.01</v>
      </c>
      <c r="P43" s="23" t="s">
        <v>79</v>
      </c>
      <c r="Q43" s="23" t="s">
        <v>83</v>
      </c>
      <c r="R43" s="23">
        <v>11100008</v>
      </c>
      <c r="S43" s="24" t="s">
        <v>80</v>
      </c>
      <c r="T43" s="24">
        <v>46003</v>
      </c>
      <c r="U43" s="24" t="s">
        <v>80</v>
      </c>
      <c r="X43" s="24">
        <v>45973</v>
      </c>
      <c r="Y43" s="23">
        <v>1111</v>
      </c>
      <c r="Z43" s="23">
        <v>11100303</v>
      </c>
      <c r="AA43" s="23">
        <v>334903</v>
      </c>
      <c r="AB43" s="24">
        <v>46003</v>
      </c>
    </row>
    <row r="44" spans="2:28" x14ac:dyDescent="0.2">
      <c r="B44" s="23" t="s">
        <v>81</v>
      </c>
      <c r="C44" s="23">
        <v>1100571283</v>
      </c>
      <c r="H44" s="24">
        <v>46092</v>
      </c>
      <c r="O44" s="23">
        <v>25248.02</v>
      </c>
      <c r="P44" s="23" t="s">
        <v>79</v>
      </c>
    </row>
    <row r="45" spans="2:28" x14ac:dyDescent="0.2">
      <c r="C45" s="23">
        <v>1100102689</v>
      </c>
      <c r="E45" s="23">
        <v>800</v>
      </c>
      <c r="F45" s="23" t="s">
        <v>1012</v>
      </c>
      <c r="G45" s="23" t="s">
        <v>1013</v>
      </c>
      <c r="H45" s="24">
        <v>46093</v>
      </c>
      <c r="I45" s="24">
        <v>46093</v>
      </c>
      <c r="J45" s="23" t="s">
        <v>249</v>
      </c>
      <c r="K45" s="23" t="s">
        <v>249</v>
      </c>
      <c r="L45" s="23">
        <v>1</v>
      </c>
      <c r="M45" s="23" t="s">
        <v>78</v>
      </c>
      <c r="N45" s="23" t="s">
        <v>78</v>
      </c>
      <c r="O45" s="23">
        <v>31844</v>
      </c>
      <c r="P45" s="23" t="s">
        <v>79</v>
      </c>
      <c r="Q45" s="23" t="s">
        <v>119</v>
      </c>
      <c r="R45" s="23">
        <v>11100018</v>
      </c>
      <c r="S45" s="24">
        <v>45961</v>
      </c>
      <c r="T45" s="24">
        <v>45873</v>
      </c>
      <c r="U45" s="24">
        <v>46751</v>
      </c>
      <c r="X45" s="24">
        <v>45873</v>
      </c>
      <c r="Y45" s="23">
        <v>1111</v>
      </c>
      <c r="Z45" s="23">
        <v>11400912</v>
      </c>
      <c r="AA45" s="23">
        <v>3261</v>
      </c>
      <c r="AB45" s="24">
        <v>45873</v>
      </c>
    </row>
    <row r="46" spans="2:28" x14ac:dyDescent="0.2">
      <c r="C46" s="23">
        <v>1100102689</v>
      </c>
      <c r="E46" s="23">
        <v>850</v>
      </c>
      <c r="F46" s="23" t="s">
        <v>1183</v>
      </c>
      <c r="G46" s="23" t="s">
        <v>1013</v>
      </c>
      <c r="H46" s="24">
        <v>46093</v>
      </c>
      <c r="I46" s="24">
        <v>46093</v>
      </c>
      <c r="J46" s="23" t="s">
        <v>249</v>
      </c>
      <c r="K46" s="23" t="s">
        <v>249</v>
      </c>
      <c r="L46" s="23">
        <v>1</v>
      </c>
      <c r="M46" s="23" t="s">
        <v>78</v>
      </c>
      <c r="N46" s="23" t="s">
        <v>78</v>
      </c>
      <c r="O46" s="23">
        <v>31844</v>
      </c>
      <c r="P46" s="23" t="s">
        <v>79</v>
      </c>
      <c r="Q46" s="23" t="s">
        <v>119</v>
      </c>
      <c r="R46" s="23">
        <v>11100018</v>
      </c>
      <c r="S46" s="24">
        <v>45961</v>
      </c>
      <c r="T46" s="24">
        <v>45873</v>
      </c>
      <c r="U46" s="24">
        <v>46751</v>
      </c>
      <c r="X46" s="24">
        <v>45873</v>
      </c>
      <c r="Y46" s="23">
        <v>1111</v>
      </c>
      <c r="Z46" s="23">
        <v>11400912</v>
      </c>
      <c r="AA46" s="23">
        <v>3261</v>
      </c>
      <c r="AB46" s="24">
        <v>45875</v>
      </c>
    </row>
    <row r="47" spans="2:28" x14ac:dyDescent="0.2">
      <c r="C47" s="23">
        <v>1100102689</v>
      </c>
      <c r="E47" s="23">
        <v>900</v>
      </c>
      <c r="F47" s="23" t="s">
        <v>1014</v>
      </c>
      <c r="G47" s="23" t="s">
        <v>1015</v>
      </c>
      <c r="H47" s="24">
        <v>46093</v>
      </c>
      <c r="I47" s="24">
        <v>46093</v>
      </c>
      <c r="J47" s="23" t="s">
        <v>249</v>
      </c>
      <c r="K47" s="23" t="s">
        <v>249</v>
      </c>
      <c r="L47" s="23">
        <v>1</v>
      </c>
      <c r="M47" s="23" t="s">
        <v>78</v>
      </c>
      <c r="N47" s="23" t="s">
        <v>78</v>
      </c>
      <c r="O47" s="23">
        <v>31844</v>
      </c>
      <c r="P47" s="23" t="s">
        <v>79</v>
      </c>
      <c r="Q47" s="23" t="s">
        <v>119</v>
      </c>
      <c r="R47" s="23">
        <v>11100018</v>
      </c>
      <c r="S47" s="24">
        <v>45961</v>
      </c>
      <c r="T47" s="24">
        <v>45873</v>
      </c>
      <c r="U47" s="24">
        <v>46751</v>
      </c>
      <c r="X47" s="24">
        <v>45873</v>
      </c>
      <c r="Y47" s="23">
        <v>1111</v>
      </c>
      <c r="Z47" s="23">
        <v>11400912</v>
      </c>
      <c r="AA47" s="23">
        <v>3261</v>
      </c>
      <c r="AB47" s="24">
        <v>45873</v>
      </c>
    </row>
    <row r="48" spans="2:28" x14ac:dyDescent="0.2">
      <c r="C48" s="23">
        <v>1100102689</v>
      </c>
      <c r="E48" s="23">
        <v>1100</v>
      </c>
      <c r="F48" s="23" t="s">
        <v>1016</v>
      </c>
      <c r="G48" s="23" t="s">
        <v>1017</v>
      </c>
      <c r="H48" s="24">
        <v>46093</v>
      </c>
      <c r="I48" s="24">
        <v>46093</v>
      </c>
      <c r="J48" s="23" t="s">
        <v>249</v>
      </c>
      <c r="K48" s="23" t="s">
        <v>249</v>
      </c>
      <c r="L48" s="23">
        <v>1</v>
      </c>
      <c r="M48" s="23" t="s">
        <v>78</v>
      </c>
      <c r="N48" s="23" t="s">
        <v>78</v>
      </c>
      <c r="O48" s="23">
        <v>31844</v>
      </c>
      <c r="P48" s="23" t="s">
        <v>79</v>
      </c>
      <c r="Q48" s="23" t="s">
        <v>119</v>
      </c>
      <c r="R48" s="23">
        <v>11100018</v>
      </c>
      <c r="S48" s="24">
        <v>45961</v>
      </c>
      <c r="T48" s="24">
        <v>45873</v>
      </c>
      <c r="U48" s="24">
        <v>46751</v>
      </c>
      <c r="X48" s="24">
        <v>45873</v>
      </c>
      <c r="Y48" s="23">
        <v>1111</v>
      </c>
      <c r="Z48" s="23">
        <v>11400912</v>
      </c>
      <c r="AA48" s="23">
        <v>3261</v>
      </c>
      <c r="AB48" s="24">
        <v>45873</v>
      </c>
    </row>
    <row r="49" spans="2:28" x14ac:dyDescent="0.2">
      <c r="C49" s="23">
        <v>1100102689</v>
      </c>
      <c r="E49" s="23">
        <v>1200</v>
      </c>
      <c r="F49" s="23" t="s">
        <v>1018</v>
      </c>
      <c r="G49" s="23" t="s">
        <v>1019</v>
      </c>
      <c r="H49" s="24">
        <v>46093</v>
      </c>
      <c r="I49" s="24">
        <v>46093</v>
      </c>
      <c r="J49" s="23" t="s">
        <v>249</v>
      </c>
      <c r="K49" s="23" t="s">
        <v>249</v>
      </c>
      <c r="L49" s="23">
        <v>1</v>
      </c>
      <c r="M49" s="23" t="s">
        <v>78</v>
      </c>
      <c r="N49" s="23" t="s">
        <v>78</v>
      </c>
      <c r="O49" s="23">
        <v>31844</v>
      </c>
      <c r="P49" s="23" t="s">
        <v>79</v>
      </c>
      <c r="Q49" s="23" t="s">
        <v>119</v>
      </c>
      <c r="R49" s="23">
        <v>11100018</v>
      </c>
      <c r="S49" s="24">
        <v>45961</v>
      </c>
      <c r="T49" s="24">
        <v>45873</v>
      </c>
      <c r="U49" s="24">
        <v>46751</v>
      </c>
      <c r="X49" s="24">
        <v>45873</v>
      </c>
      <c r="Y49" s="23">
        <v>1111</v>
      </c>
      <c r="Z49" s="23">
        <v>11400912</v>
      </c>
      <c r="AA49" s="23">
        <v>3261</v>
      </c>
      <c r="AB49" s="24">
        <v>45873</v>
      </c>
    </row>
    <row r="50" spans="2:28" x14ac:dyDescent="0.2">
      <c r="C50" s="23">
        <v>1100102689</v>
      </c>
      <c r="E50" s="23">
        <v>1300</v>
      </c>
      <c r="F50" s="23" t="s">
        <v>1020</v>
      </c>
      <c r="G50" s="23" t="s">
        <v>1021</v>
      </c>
      <c r="H50" s="24">
        <v>46093</v>
      </c>
      <c r="I50" s="24">
        <v>46093</v>
      </c>
      <c r="J50" s="23" t="s">
        <v>249</v>
      </c>
      <c r="K50" s="23" t="s">
        <v>249</v>
      </c>
      <c r="L50" s="23">
        <v>1</v>
      </c>
      <c r="M50" s="23" t="s">
        <v>78</v>
      </c>
      <c r="N50" s="23" t="s">
        <v>78</v>
      </c>
      <c r="O50" s="23">
        <v>31844</v>
      </c>
      <c r="P50" s="23" t="s">
        <v>79</v>
      </c>
      <c r="Q50" s="23" t="s">
        <v>119</v>
      </c>
      <c r="R50" s="23">
        <v>11100018</v>
      </c>
      <c r="S50" s="24">
        <v>45961</v>
      </c>
      <c r="T50" s="24">
        <v>45873</v>
      </c>
      <c r="U50" s="24">
        <v>46751</v>
      </c>
      <c r="X50" s="24">
        <v>45873</v>
      </c>
      <c r="Y50" s="23">
        <v>1111</v>
      </c>
      <c r="Z50" s="23">
        <v>11400912</v>
      </c>
      <c r="AA50" s="23">
        <v>3261</v>
      </c>
      <c r="AB50" s="24">
        <v>45873</v>
      </c>
    </row>
    <row r="51" spans="2:28" x14ac:dyDescent="0.2">
      <c r="C51" s="23">
        <v>1100102689</v>
      </c>
      <c r="E51" s="23">
        <v>1700</v>
      </c>
      <c r="F51" s="23" t="s">
        <v>1022</v>
      </c>
      <c r="G51" s="23" t="s">
        <v>1023</v>
      </c>
      <c r="H51" s="24">
        <v>46093</v>
      </c>
      <c r="I51" s="24">
        <v>46093</v>
      </c>
      <c r="J51" s="23" t="s">
        <v>249</v>
      </c>
      <c r="K51" s="23" t="s">
        <v>249</v>
      </c>
      <c r="L51" s="23">
        <v>1</v>
      </c>
      <c r="M51" s="23" t="s">
        <v>78</v>
      </c>
      <c r="N51" s="23" t="s">
        <v>78</v>
      </c>
      <c r="O51" s="23">
        <v>18469</v>
      </c>
      <c r="P51" s="23" t="s">
        <v>79</v>
      </c>
      <c r="Q51" s="23" t="s">
        <v>119</v>
      </c>
      <c r="R51" s="23">
        <v>11100018</v>
      </c>
      <c r="S51" s="24">
        <v>45961</v>
      </c>
      <c r="T51" s="24">
        <v>45873</v>
      </c>
      <c r="U51" s="24">
        <v>46751</v>
      </c>
      <c r="X51" s="24">
        <v>45873</v>
      </c>
      <c r="Y51" s="23">
        <v>1111</v>
      </c>
      <c r="Z51" s="23">
        <v>11400912</v>
      </c>
      <c r="AA51" s="23">
        <v>3201</v>
      </c>
      <c r="AB51" s="24">
        <v>45873</v>
      </c>
    </row>
    <row r="52" spans="2:28" x14ac:dyDescent="0.2">
      <c r="C52" s="23">
        <v>1100102689</v>
      </c>
      <c r="E52" s="23">
        <v>1800</v>
      </c>
      <c r="F52" s="23" t="s">
        <v>1024</v>
      </c>
      <c r="G52" s="23" t="s">
        <v>1025</v>
      </c>
      <c r="H52" s="24">
        <v>46093</v>
      </c>
      <c r="I52" s="24">
        <v>46093</v>
      </c>
      <c r="J52" s="23" t="s">
        <v>249</v>
      </c>
      <c r="K52" s="23" t="s">
        <v>249</v>
      </c>
      <c r="L52" s="23">
        <v>1</v>
      </c>
      <c r="M52" s="23" t="s">
        <v>78</v>
      </c>
      <c r="N52" s="23" t="s">
        <v>78</v>
      </c>
      <c r="O52" s="23">
        <v>18469</v>
      </c>
      <c r="P52" s="23" t="s">
        <v>79</v>
      </c>
      <c r="Q52" s="23" t="s">
        <v>119</v>
      </c>
      <c r="R52" s="23">
        <v>11100018</v>
      </c>
      <c r="S52" s="24">
        <v>45961</v>
      </c>
      <c r="T52" s="24">
        <v>45873</v>
      </c>
      <c r="U52" s="24">
        <v>46751</v>
      </c>
      <c r="X52" s="24">
        <v>45873</v>
      </c>
      <c r="Y52" s="23">
        <v>1111</v>
      </c>
      <c r="Z52" s="23">
        <v>11400912</v>
      </c>
      <c r="AA52" s="23">
        <v>3201</v>
      </c>
      <c r="AB52" s="24">
        <v>45873</v>
      </c>
    </row>
    <row r="53" spans="2:28" x14ac:dyDescent="0.2">
      <c r="C53" s="23">
        <v>1100102689</v>
      </c>
      <c r="E53" s="23">
        <v>1900</v>
      </c>
      <c r="F53" s="23" t="s">
        <v>1026</v>
      </c>
      <c r="G53" s="23" t="s">
        <v>1027</v>
      </c>
      <c r="H53" s="24">
        <v>46093</v>
      </c>
      <c r="I53" s="24">
        <v>46093</v>
      </c>
      <c r="J53" s="23" t="s">
        <v>249</v>
      </c>
      <c r="K53" s="23" t="s">
        <v>249</v>
      </c>
      <c r="L53" s="23">
        <v>1</v>
      </c>
      <c r="M53" s="23" t="s">
        <v>78</v>
      </c>
      <c r="N53" s="23" t="s">
        <v>78</v>
      </c>
      <c r="O53" s="23">
        <v>18469</v>
      </c>
      <c r="P53" s="23" t="s">
        <v>79</v>
      </c>
      <c r="Q53" s="23" t="s">
        <v>119</v>
      </c>
      <c r="R53" s="23">
        <v>11100018</v>
      </c>
      <c r="S53" s="24">
        <v>45961</v>
      </c>
      <c r="T53" s="24">
        <v>45873</v>
      </c>
      <c r="U53" s="24">
        <v>46751</v>
      </c>
      <c r="X53" s="24">
        <v>45873</v>
      </c>
      <c r="Y53" s="23">
        <v>1111</v>
      </c>
      <c r="Z53" s="23">
        <v>11400912</v>
      </c>
      <c r="AA53" s="23">
        <v>3201</v>
      </c>
      <c r="AB53" s="24">
        <v>45873</v>
      </c>
    </row>
    <row r="54" spans="2:28" x14ac:dyDescent="0.2">
      <c r="C54" s="23">
        <v>1100102689</v>
      </c>
      <c r="E54" s="23">
        <v>2000</v>
      </c>
      <c r="F54" s="23" t="s">
        <v>1028</v>
      </c>
      <c r="G54" s="23" t="s">
        <v>1029</v>
      </c>
      <c r="H54" s="24">
        <v>46093</v>
      </c>
      <c r="I54" s="24">
        <v>46093</v>
      </c>
      <c r="J54" s="23" t="s">
        <v>249</v>
      </c>
      <c r="K54" s="23" t="s">
        <v>249</v>
      </c>
      <c r="L54" s="23">
        <v>1</v>
      </c>
      <c r="M54" s="23" t="s">
        <v>78</v>
      </c>
      <c r="N54" s="23" t="s">
        <v>78</v>
      </c>
      <c r="O54" s="23">
        <v>4348</v>
      </c>
      <c r="P54" s="23" t="s">
        <v>79</v>
      </c>
      <c r="Q54" s="23" t="s">
        <v>119</v>
      </c>
      <c r="R54" s="23">
        <v>11100018</v>
      </c>
      <c r="S54" s="24">
        <v>45961</v>
      </c>
      <c r="T54" s="24">
        <v>45873</v>
      </c>
      <c r="U54" s="24">
        <v>46751</v>
      </c>
      <c r="X54" s="24">
        <v>45873</v>
      </c>
      <c r="Y54" s="23">
        <v>1111</v>
      </c>
      <c r="Z54" s="23">
        <v>11400912</v>
      </c>
      <c r="AA54" s="23">
        <v>3201</v>
      </c>
      <c r="AB54" s="24">
        <v>45873</v>
      </c>
    </row>
    <row r="55" spans="2:28" x14ac:dyDescent="0.2">
      <c r="C55" s="23">
        <v>1100102689</v>
      </c>
      <c r="E55" s="23">
        <v>2100</v>
      </c>
      <c r="F55" s="23" t="s">
        <v>1030</v>
      </c>
      <c r="G55" s="23" t="s">
        <v>1031</v>
      </c>
      <c r="H55" s="24">
        <v>46093</v>
      </c>
      <c r="I55" s="24">
        <v>46093</v>
      </c>
      <c r="J55" s="23" t="s">
        <v>249</v>
      </c>
      <c r="K55" s="23" t="s">
        <v>249</v>
      </c>
      <c r="L55" s="23">
        <v>1</v>
      </c>
      <c r="M55" s="23" t="s">
        <v>78</v>
      </c>
      <c r="N55" s="23" t="s">
        <v>78</v>
      </c>
      <c r="O55" s="23">
        <v>4348</v>
      </c>
      <c r="P55" s="23" t="s">
        <v>79</v>
      </c>
      <c r="Q55" s="23" t="s">
        <v>119</v>
      </c>
      <c r="R55" s="23">
        <v>11100018</v>
      </c>
      <c r="S55" s="24">
        <v>45961</v>
      </c>
      <c r="T55" s="24">
        <v>45873</v>
      </c>
      <c r="U55" s="24">
        <v>46751</v>
      </c>
      <c r="X55" s="24">
        <v>45873</v>
      </c>
      <c r="Y55" s="23">
        <v>1111</v>
      </c>
      <c r="Z55" s="23">
        <v>11400912</v>
      </c>
      <c r="AA55" s="23">
        <v>3201</v>
      </c>
      <c r="AB55" s="24">
        <v>45873</v>
      </c>
    </row>
    <row r="56" spans="2:28" x14ac:dyDescent="0.2">
      <c r="C56" s="23">
        <v>1100102689</v>
      </c>
      <c r="E56" s="23">
        <v>2200</v>
      </c>
      <c r="F56" s="23" t="s">
        <v>1032</v>
      </c>
      <c r="G56" s="23" t="s">
        <v>1033</v>
      </c>
      <c r="H56" s="24">
        <v>46093</v>
      </c>
      <c r="I56" s="24">
        <v>46093</v>
      </c>
      <c r="J56" s="23" t="s">
        <v>249</v>
      </c>
      <c r="K56" s="23" t="s">
        <v>249</v>
      </c>
      <c r="L56" s="23">
        <v>1</v>
      </c>
      <c r="M56" s="23" t="s">
        <v>78</v>
      </c>
      <c r="N56" s="23" t="s">
        <v>78</v>
      </c>
      <c r="O56" s="23">
        <v>4348</v>
      </c>
      <c r="P56" s="23" t="s">
        <v>79</v>
      </c>
      <c r="Q56" s="23" t="s">
        <v>119</v>
      </c>
      <c r="R56" s="23">
        <v>11100018</v>
      </c>
      <c r="S56" s="24">
        <v>45961</v>
      </c>
      <c r="T56" s="24">
        <v>45873</v>
      </c>
      <c r="U56" s="24">
        <v>46751</v>
      </c>
      <c r="X56" s="24">
        <v>45873</v>
      </c>
      <c r="Y56" s="23">
        <v>1111</v>
      </c>
      <c r="Z56" s="23">
        <v>11400912</v>
      </c>
      <c r="AA56" s="23">
        <v>3201</v>
      </c>
      <c r="AB56" s="24">
        <v>45873</v>
      </c>
    </row>
    <row r="57" spans="2:28" x14ac:dyDescent="0.2">
      <c r="C57" s="23">
        <v>1100102689</v>
      </c>
      <c r="E57" s="23">
        <v>2300</v>
      </c>
      <c r="F57" s="23" t="s">
        <v>1034</v>
      </c>
      <c r="G57" s="23" t="s">
        <v>1035</v>
      </c>
      <c r="H57" s="24">
        <v>46093</v>
      </c>
      <c r="I57" s="24">
        <v>46093</v>
      </c>
      <c r="J57" s="23" t="s">
        <v>249</v>
      </c>
      <c r="K57" s="23" t="s">
        <v>249</v>
      </c>
      <c r="L57" s="23">
        <v>1</v>
      </c>
      <c r="M57" s="23" t="s">
        <v>78</v>
      </c>
      <c r="N57" s="23" t="s">
        <v>78</v>
      </c>
      <c r="O57" s="23">
        <v>4348</v>
      </c>
      <c r="P57" s="23" t="s">
        <v>79</v>
      </c>
      <c r="Q57" s="23" t="s">
        <v>119</v>
      </c>
      <c r="R57" s="23">
        <v>11100018</v>
      </c>
      <c r="S57" s="24">
        <v>45961</v>
      </c>
      <c r="T57" s="24">
        <v>45873</v>
      </c>
      <c r="U57" s="24">
        <v>46751</v>
      </c>
      <c r="X57" s="24">
        <v>45873</v>
      </c>
      <c r="Y57" s="23">
        <v>1111</v>
      </c>
      <c r="Z57" s="23">
        <v>11400912</v>
      </c>
      <c r="AA57" s="23">
        <v>3201</v>
      </c>
      <c r="AB57" s="24">
        <v>45873</v>
      </c>
    </row>
    <row r="58" spans="2:28" x14ac:dyDescent="0.2">
      <c r="C58" s="23">
        <v>1100102689</v>
      </c>
      <c r="E58" s="23">
        <v>2400</v>
      </c>
      <c r="F58" s="23" t="s">
        <v>1036</v>
      </c>
      <c r="G58" s="23" t="s">
        <v>1037</v>
      </c>
      <c r="H58" s="24">
        <v>46093</v>
      </c>
      <c r="I58" s="24">
        <v>46093</v>
      </c>
      <c r="J58" s="23" t="s">
        <v>249</v>
      </c>
      <c r="K58" s="23" t="s">
        <v>249</v>
      </c>
      <c r="L58" s="23">
        <v>1</v>
      </c>
      <c r="M58" s="23" t="s">
        <v>78</v>
      </c>
      <c r="N58" s="23" t="s">
        <v>78</v>
      </c>
      <c r="O58" s="23">
        <v>4348</v>
      </c>
      <c r="P58" s="23" t="s">
        <v>79</v>
      </c>
      <c r="Q58" s="23" t="s">
        <v>119</v>
      </c>
      <c r="R58" s="23">
        <v>11100018</v>
      </c>
      <c r="S58" s="24">
        <v>45961</v>
      </c>
      <c r="T58" s="24">
        <v>45873</v>
      </c>
      <c r="U58" s="24">
        <v>46751</v>
      </c>
      <c r="X58" s="24">
        <v>45873</v>
      </c>
      <c r="Y58" s="23">
        <v>1111</v>
      </c>
      <c r="Z58" s="23">
        <v>11400912</v>
      </c>
      <c r="AA58" s="23">
        <v>3201</v>
      </c>
      <c r="AB58" s="24">
        <v>45873</v>
      </c>
    </row>
    <row r="59" spans="2:28" x14ac:dyDescent="0.2">
      <c r="C59" s="23">
        <v>1100102689</v>
      </c>
      <c r="E59" s="23">
        <v>2500</v>
      </c>
      <c r="F59" s="23" t="s">
        <v>1038</v>
      </c>
      <c r="G59" s="23" t="s">
        <v>1039</v>
      </c>
      <c r="H59" s="24">
        <v>46093</v>
      </c>
      <c r="I59" s="24">
        <v>46093</v>
      </c>
      <c r="J59" s="23" t="s">
        <v>249</v>
      </c>
      <c r="K59" s="23" t="s">
        <v>249</v>
      </c>
      <c r="L59" s="23">
        <v>1</v>
      </c>
      <c r="M59" s="23" t="s">
        <v>78</v>
      </c>
      <c r="N59" s="23" t="s">
        <v>78</v>
      </c>
      <c r="O59" s="23">
        <v>4348</v>
      </c>
      <c r="P59" s="23" t="s">
        <v>79</v>
      </c>
      <c r="Q59" s="23" t="s">
        <v>119</v>
      </c>
      <c r="R59" s="23">
        <v>11100018</v>
      </c>
      <c r="S59" s="24">
        <v>45961</v>
      </c>
      <c r="T59" s="24">
        <v>45873</v>
      </c>
      <c r="U59" s="24">
        <v>46751</v>
      </c>
      <c r="X59" s="24">
        <v>45873</v>
      </c>
      <c r="Y59" s="23">
        <v>1111</v>
      </c>
      <c r="Z59" s="23">
        <v>11400912</v>
      </c>
      <c r="AA59" s="23">
        <v>3201</v>
      </c>
      <c r="AB59" s="24">
        <v>45873</v>
      </c>
    </row>
    <row r="60" spans="2:28" x14ac:dyDescent="0.2">
      <c r="C60" s="23">
        <v>1100102689</v>
      </c>
      <c r="E60" s="23">
        <v>3300</v>
      </c>
      <c r="F60" s="23" t="s">
        <v>1040</v>
      </c>
      <c r="G60" s="23" t="s">
        <v>1041</v>
      </c>
      <c r="H60" s="24">
        <v>46093</v>
      </c>
      <c r="I60" s="24">
        <v>47118</v>
      </c>
      <c r="J60" s="23" t="s">
        <v>249</v>
      </c>
      <c r="K60" s="23" t="s">
        <v>249</v>
      </c>
      <c r="L60" s="23">
        <v>1</v>
      </c>
      <c r="M60" s="23" t="s">
        <v>78</v>
      </c>
      <c r="N60" s="23" t="s">
        <v>78</v>
      </c>
      <c r="O60" s="23">
        <v>18380</v>
      </c>
      <c r="P60" s="23" t="s">
        <v>79</v>
      </c>
      <c r="Q60" s="23" t="s">
        <v>119</v>
      </c>
      <c r="R60" s="23">
        <v>11100018</v>
      </c>
      <c r="S60" s="24" t="s">
        <v>80</v>
      </c>
      <c r="T60" s="24">
        <v>45873</v>
      </c>
      <c r="U60" s="24">
        <v>46751</v>
      </c>
      <c r="X60" s="24">
        <v>45873</v>
      </c>
      <c r="Y60" s="23">
        <v>1111</v>
      </c>
      <c r="Z60" s="23">
        <v>11400912</v>
      </c>
      <c r="AA60" s="23">
        <v>3201</v>
      </c>
      <c r="AB60" s="24">
        <v>45874</v>
      </c>
    </row>
    <row r="61" spans="2:28" x14ac:dyDescent="0.2">
      <c r="B61" s="23" t="s">
        <v>81</v>
      </c>
      <c r="C61" s="23">
        <v>1100102689</v>
      </c>
      <c r="H61" s="24">
        <v>46093</v>
      </c>
      <c r="O61" s="23">
        <v>290939</v>
      </c>
      <c r="P61" s="23" t="s">
        <v>79</v>
      </c>
    </row>
    <row r="62" spans="2:28" x14ac:dyDescent="0.2">
      <c r="C62" s="23">
        <v>1100565369</v>
      </c>
      <c r="E62" s="23">
        <v>10</v>
      </c>
      <c r="F62" s="23" t="s">
        <v>1270</v>
      </c>
      <c r="G62" s="23" t="s">
        <v>1271</v>
      </c>
      <c r="H62" s="24">
        <v>46093</v>
      </c>
      <c r="I62" s="24">
        <v>46093</v>
      </c>
      <c r="J62" s="23" t="s">
        <v>1272</v>
      </c>
      <c r="K62" s="23" t="s">
        <v>1272</v>
      </c>
      <c r="L62" s="23">
        <v>1</v>
      </c>
      <c r="M62" s="23" t="s">
        <v>78</v>
      </c>
      <c r="N62" s="23" t="s">
        <v>78</v>
      </c>
      <c r="O62" s="23">
        <v>12570</v>
      </c>
      <c r="P62" s="23" t="s">
        <v>79</v>
      </c>
      <c r="Q62" s="23" t="s">
        <v>83</v>
      </c>
      <c r="R62" s="23">
        <v>11100018</v>
      </c>
      <c r="S62" s="24" t="s">
        <v>80</v>
      </c>
      <c r="T62" s="24">
        <v>45937</v>
      </c>
      <c r="U62" s="24" t="s">
        <v>80</v>
      </c>
      <c r="X62" s="24">
        <v>45931</v>
      </c>
      <c r="Y62" s="23">
        <v>1111</v>
      </c>
      <c r="Z62" s="23">
        <v>11100303</v>
      </c>
      <c r="AA62" s="23">
        <v>331203</v>
      </c>
      <c r="AB62" s="24">
        <v>45937</v>
      </c>
    </row>
    <row r="63" spans="2:28" x14ac:dyDescent="0.2">
      <c r="C63" s="23">
        <v>1100565369</v>
      </c>
      <c r="E63" s="23">
        <v>20</v>
      </c>
      <c r="F63" s="23" t="s">
        <v>84</v>
      </c>
      <c r="G63" s="23" t="s">
        <v>123</v>
      </c>
      <c r="H63" s="24">
        <v>46093</v>
      </c>
      <c r="I63" s="24">
        <v>46093</v>
      </c>
      <c r="J63" s="23" t="s">
        <v>1272</v>
      </c>
      <c r="K63" s="23" t="s">
        <v>1272</v>
      </c>
      <c r="L63" s="23">
        <v>1</v>
      </c>
      <c r="M63" s="23" t="s">
        <v>78</v>
      </c>
      <c r="N63" s="23" t="s">
        <v>78</v>
      </c>
      <c r="O63" s="23">
        <v>0.01</v>
      </c>
      <c r="P63" s="23" t="s">
        <v>79</v>
      </c>
      <c r="Q63" s="23" t="s">
        <v>83</v>
      </c>
      <c r="R63" s="23">
        <v>11100018</v>
      </c>
      <c r="S63" s="24" t="s">
        <v>80</v>
      </c>
      <c r="T63" s="24">
        <v>45937</v>
      </c>
      <c r="U63" s="24" t="s">
        <v>80</v>
      </c>
      <c r="X63" s="24">
        <v>45931</v>
      </c>
      <c r="Y63" s="23">
        <v>1111</v>
      </c>
      <c r="Z63" s="23">
        <v>11100303</v>
      </c>
      <c r="AA63" s="23">
        <v>331203</v>
      </c>
      <c r="AB63" s="24">
        <v>45937</v>
      </c>
    </row>
    <row r="64" spans="2:28" x14ac:dyDescent="0.2">
      <c r="C64" s="23">
        <v>1100565369</v>
      </c>
      <c r="E64" s="23">
        <v>30</v>
      </c>
      <c r="F64" s="23" t="s">
        <v>82</v>
      </c>
      <c r="G64" s="23" t="s">
        <v>139</v>
      </c>
      <c r="H64" s="24">
        <v>46093</v>
      </c>
      <c r="I64" s="24">
        <v>46093</v>
      </c>
      <c r="J64" s="23" t="s">
        <v>1272</v>
      </c>
      <c r="K64" s="23" t="s">
        <v>1272</v>
      </c>
      <c r="L64" s="23">
        <v>1</v>
      </c>
      <c r="M64" s="23" t="s">
        <v>78</v>
      </c>
      <c r="N64" s="23" t="s">
        <v>78</v>
      </c>
      <c r="O64" s="23">
        <v>0.01</v>
      </c>
      <c r="P64" s="23" t="s">
        <v>79</v>
      </c>
      <c r="Q64" s="23" t="s">
        <v>83</v>
      </c>
      <c r="R64" s="23">
        <v>11100018</v>
      </c>
      <c r="S64" s="24" t="s">
        <v>80</v>
      </c>
      <c r="T64" s="24">
        <v>45937</v>
      </c>
      <c r="U64" s="24" t="s">
        <v>80</v>
      </c>
      <c r="X64" s="24">
        <v>45931</v>
      </c>
      <c r="Y64" s="23">
        <v>1111</v>
      </c>
      <c r="Z64" s="23">
        <v>11100303</v>
      </c>
      <c r="AA64" s="23">
        <v>331203</v>
      </c>
      <c r="AB64" s="24">
        <v>45937</v>
      </c>
    </row>
    <row r="65" spans="2:28" x14ac:dyDescent="0.2">
      <c r="B65" s="23" t="s">
        <v>81</v>
      </c>
      <c r="C65" s="23">
        <v>1100565369</v>
      </c>
      <c r="H65" s="24">
        <v>46093</v>
      </c>
      <c r="O65" s="23">
        <v>12570.02</v>
      </c>
      <c r="P65" s="23" t="s">
        <v>79</v>
      </c>
    </row>
    <row r="66" spans="2:28" x14ac:dyDescent="0.2">
      <c r="C66" s="23">
        <v>1100565380</v>
      </c>
      <c r="E66" s="23">
        <v>10</v>
      </c>
      <c r="F66" s="23" t="s">
        <v>1317</v>
      </c>
      <c r="G66" s="23" t="s">
        <v>486</v>
      </c>
      <c r="H66" s="24">
        <v>46093</v>
      </c>
      <c r="I66" s="24">
        <v>46093</v>
      </c>
      <c r="J66" s="23" t="s">
        <v>752</v>
      </c>
      <c r="K66" s="23" t="s">
        <v>752</v>
      </c>
      <c r="L66" s="23">
        <v>1</v>
      </c>
      <c r="M66" s="23" t="s">
        <v>78</v>
      </c>
      <c r="N66" s="23" t="s">
        <v>78</v>
      </c>
      <c r="O66" s="23">
        <v>51810</v>
      </c>
      <c r="P66" s="23" t="s">
        <v>79</v>
      </c>
      <c r="Q66" s="23" t="s">
        <v>83</v>
      </c>
      <c r="R66" s="23">
        <v>11100299</v>
      </c>
      <c r="S66" s="24">
        <v>46090</v>
      </c>
      <c r="T66" s="24">
        <v>45937</v>
      </c>
      <c r="U66" s="24">
        <v>46752</v>
      </c>
      <c r="X66" s="24">
        <v>45923</v>
      </c>
      <c r="Y66" s="23">
        <v>1111</v>
      </c>
      <c r="Z66" s="23">
        <v>11100316</v>
      </c>
      <c r="AA66" s="23">
        <v>520103</v>
      </c>
      <c r="AB66" s="24">
        <v>45937</v>
      </c>
    </row>
    <row r="67" spans="2:28" x14ac:dyDescent="0.2">
      <c r="C67" s="23">
        <v>1100565380</v>
      </c>
      <c r="E67" s="23">
        <v>20</v>
      </c>
      <c r="F67" s="23" t="s">
        <v>1317</v>
      </c>
      <c r="G67" s="23" t="s">
        <v>486</v>
      </c>
      <c r="H67" s="24">
        <v>46093</v>
      </c>
      <c r="I67" s="24">
        <v>46093</v>
      </c>
      <c r="J67" s="23" t="s">
        <v>752</v>
      </c>
      <c r="K67" s="23" t="s">
        <v>752</v>
      </c>
      <c r="L67" s="23">
        <v>1</v>
      </c>
      <c r="M67" s="23" t="s">
        <v>78</v>
      </c>
      <c r="N67" s="23" t="s">
        <v>78</v>
      </c>
      <c r="O67" s="23">
        <v>51810</v>
      </c>
      <c r="P67" s="23" t="s">
        <v>79</v>
      </c>
      <c r="Q67" s="23" t="s">
        <v>83</v>
      </c>
      <c r="R67" s="23">
        <v>11100299</v>
      </c>
      <c r="S67" s="24">
        <v>46090</v>
      </c>
      <c r="T67" s="24">
        <v>45937</v>
      </c>
      <c r="U67" s="24">
        <v>46752</v>
      </c>
      <c r="X67" s="24">
        <v>45923</v>
      </c>
      <c r="Y67" s="23">
        <v>1111</v>
      </c>
      <c r="Z67" s="23">
        <v>11100316</v>
      </c>
      <c r="AA67" s="23">
        <v>520103</v>
      </c>
      <c r="AB67" s="24">
        <v>45937</v>
      </c>
    </row>
    <row r="68" spans="2:28" x14ac:dyDescent="0.2">
      <c r="C68" s="23">
        <v>1100565380</v>
      </c>
      <c r="E68" s="23">
        <v>50</v>
      </c>
      <c r="F68" s="23" t="s">
        <v>84</v>
      </c>
      <c r="G68" s="23" t="s">
        <v>123</v>
      </c>
      <c r="H68" s="24">
        <v>46093</v>
      </c>
      <c r="I68" s="24">
        <v>46093</v>
      </c>
      <c r="J68" s="23" t="s">
        <v>752</v>
      </c>
      <c r="K68" s="23" t="s">
        <v>752</v>
      </c>
      <c r="L68" s="23">
        <v>1</v>
      </c>
      <c r="M68" s="23" t="s">
        <v>78</v>
      </c>
      <c r="N68" s="23" t="s">
        <v>78</v>
      </c>
      <c r="O68" s="23">
        <v>0.01</v>
      </c>
      <c r="P68" s="23" t="s">
        <v>79</v>
      </c>
      <c r="Q68" s="23" t="s">
        <v>83</v>
      </c>
      <c r="R68" s="23">
        <v>11100299</v>
      </c>
      <c r="S68" s="24" t="s">
        <v>80</v>
      </c>
      <c r="T68" s="24">
        <v>45937</v>
      </c>
      <c r="U68" s="24">
        <v>46752</v>
      </c>
      <c r="X68" s="24">
        <v>45923</v>
      </c>
      <c r="Y68" s="23">
        <v>1111</v>
      </c>
      <c r="Z68" s="23">
        <v>11100316</v>
      </c>
      <c r="AA68" s="23">
        <v>520103</v>
      </c>
      <c r="AB68" s="24">
        <v>45937</v>
      </c>
    </row>
    <row r="69" spans="2:28" x14ac:dyDescent="0.2">
      <c r="C69" s="23">
        <v>1100565380</v>
      </c>
      <c r="E69" s="23">
        <v>60</v>
      </c>
      <c r="F69" s="23" t="s">
        <v>82</v>
      </c>
      <c r="G69" s="23" t="s">
        <v>139</v>
      </c>
      <c r="H69" s="24">
        <v>46093</v>
      </c>
      <c r="I69" s="24">
        <v>46093</v>
      </c>
      <c r="J69" s="23" t="s">
        <v>752</v>
      </c>
      <c r="K69" s="23" t="s">
        <v>752</v>
      </c>
      <c r="L69" s="23">
        <v>1</v>
      </c>
      <c r="M69" s="23" t="s">
        <v>78</v>
      </c>
      <c r="N69" s="23" t="s">
        <v>78</v>
      </c>
      <c r="O69" s="23">
        <v>0.01</v>
      </c>
      <c r="P69" s="23" t="s">
        <v>79</v>
      </c>
      <c r="Q69" s="23" t="s">
        <v>83</v>
      </c>
      <c r="R69" s="23">
        <v>11100299</v>
      </c>
      <c r="S69" s="24" t="s">
        <v>80</v>
      </c>
      <c r="T69" s="24">
        <v>45937</v>
      </c>
      <c r="U69" s="24">
        <v>46752</v>
      </c>
      <c r="X69" s="24">
        <v>45923</v>
      </c>
      <c r="Y69" s="23">
        <v>1111</v>
      </c>
      <c r="Z69" s="23">
        <v>11100316</v>
      </c>
      <c r="AA69" s="23">
        <v>520103</v>
      </c>
      <c r="AB69" s="24">
        <v>45937</v>
      </c>
    </row>
    <row r="70" spans="2:28" x14ac:dyDescent="0.2">
      <c r="B70" s="23" t="s">
        <v>81</v>
      </c>
      <c r="C70" s="23">
        <v>1100565380</v>
      </c>
      <c r="H70" s="24">
        <v>46093</v>
      </c>
      <c r="O70" s="23">
        <v>103620.02</v>
      </c>
      <c r="P70" s="23" t="s">
        <v>79</v>
      </c>
    </row>
    <row r="71" spans="2:28" x14ac:dyDescent="0.2">
      <c r="C71" s="23">
        <v>1100570945</v>
      </c>
      <c r="E71" s="23">
        <v>10</v>
      </c>
      <c r="F71" s="23" t="s">
        <v>1278</v>
      </c>
      <c r="G71" s="23" t="s">
        <v>1279</v>
      </c>
      <c r="H71" s="24">
        <v>46093</v>
      </c>
      <c r="I71" s="24">
        <v>46093</v>
      </c>
      <c r="J71" s="23" t="s">
        <v>1280</v>
      </c>
      <c r="K71" s="23" t="s">
        <v>1280</v>
      </c>
      <c r="L71" s="23">
        <v>1</v>
      </c>
      <c r="M71" s="23" t="s">
        <v>78</v>
      </c>
      <c r="N71" s="23" t="s">
        <v>78</v>
      </c>
      <c r="O71" s="23">
        <v>11513</v>
      </c>
      <c r="P71" s="23" t="s">
        <v>79</v>
      </c>
      <c r="Q71" s="23" t="s">
        <v>83</v>
      </c>
      <c r="R71" s="23">
        <v>11100018</v>
      </c>
      <c r="S71" s="24">
        <v>46016</v>
      </c>
      <c r="T71" s="24">
        <v>46000</v>
      </c>
      <c r="U71" s="24">
        <v>46076</v>
      </c>
      <c r="X71" s="24">
        <v>45992</v>
      </c>
      <c r="Y71" s="23">
        <v>1111</v>
      </c>
      <c r="Z71" s="23">
        <v>11100002</v>
      </c>
      <c r="AA71" s="23">
        <v>3930</v>
      </c>
      <c r="AB71" s="24">
        <v>46000</v>
      </c>
    </row>
    <row r="72" spans="2:28" x14ac:dyDescent="0.2">
      <c r="C72" s="23">
        <v>1100570945</v>
      </c>
      <c r="E72" s="23">
        <v>20</v>
      </c>
      <c r="F72" s="23" t="s">
        <v>84</v>
      </c>
      <c r="G72" s="23" t="s">
        <v>123</v>
      </c>
      <c r="H72" s="24">
        <v>46093</v>
      </c>
      <c r="I72" s="24">
        <v>46093</v>
      </c>
      <c r="J72" s="23" t="s">
        <v>1280</v>
      </c>
      <c r="K72" s="23" t="s">
        <v>1280</v>
      </c>
      <c r="L72" s="23">
        <v>1</v>
      </c>
      <c r="M72" s="23" t="s">
        <v>78</v>
      </c>
      <c r="N72" s="23" t="s">
        <v>78</v>
      </c>
      <c r="O72" s="23">
        <v>0.01</v>
      </c>
      <c r="P72" s="23" t="s">
        <v>79</v>
      </c>
      <c r="Q72" s="23" t="s">
        <v>83</v>
      </c>
      <c r="R72" s="23">
        <v>11100018</v>
      </c>
      <c r="S72" s="24" t="s">
        <v>80</v>
      </c>
      <c r="T72" s="24">
        <v>46000</v>
      </c>
      <c r="U72" s="24">
        <v>46076</v>
      </c>
      <c r="X72" s="24">
        <v>45992</v>
      </c>
      <c r="Y72" s="23">
        <v>1111</v>
      </c>
      <c r="Z72" s="23">
        <v>11100002</v>
      </c>
      <c r="AA72" s="23">
        <v>3930</v>
      </c>
      <c r="AB72" s="24">
        <v>46000</v>
      </c>
    </row>
    <row r="73" spans="2:28" x14ac:dyDescent="0.2">
      <c r="C73" s="23">
        <v>1100570945</v>
      </c>
      <c r="E73" s="23">
        <v>30</v>
      </c>
      <c r="F73" s="23" t="s">
        <v>82</v>
      </c>
      <c r="G73" s="23" t="s">
        <v>139</v>
      </c>
      <c r="H73" s="24">
        <v>46093</v>
      </c>
      <c r="I73" s="24">
        <v>46093</v>
      </c>
      <c r="J73" s="23" t="s">
        <v>1280</v>
      </c>
      <c r="K73" s="23" t="s">
        <v>1280</v>
      </c>
      <c r="L73" s="23">
        <v>1</v>
      </c>
      <c r="M73" s="23" t="s">
        <v>78</v>
      </c>
      <c r="N73" s="23" t="s">
        <v>78</v>
      </c>
      <c r="O73" s="23">
        <v>0.01</v>
      </c>
      <c r="P73" s="23" t="s">
        <v>79</v>
      </c>
      <c r="Q73" s="23" t="s">
        <v>83</v>
      </c>
      <c r="R73" s="23">
        <v>11100018</v>
      </c>
      <c r="S73" s="24" t="s">
        <v>80</v>
      </c>
      <c r="T73" s="24">
        <v>46000</v>
      </c>
      <c r="U73" s="24">
        <v>46076</v>
      </c>
      <c r="X73" s="24">
        <v>45992</v>
      </c>
      <c r="Y73" s="23">
        <v>1111</v>
      </c>
      <c r="Z73" s="23">
        <v>11100002</v>
      </c>
      <c r="AA73" s="23">
        <v>3930</v>
      </c>
      <c r="AB73" s="24">
        <v>46000</v>
      </c>
    </row>
    <row r="74" spans="2:28" x14ac:dyDescent="0.2">
      <c r="C74" s="23">
        <v>1100570945</v>
      </c>
      <c r="E74" s="23">
        <v>40</v>
      </c>
      <c r="F74" s="23" t="s">
        <v>88</v>
      </c>
      <c r="G74" s="23" t="s">
        <v>158</v>
      </c>
      <c r="H74" s="24">
        <v>46093</v>
      </c>
      <c r="I74" s="24">
        <v>46093</v>
      </c>
      <c r="J74" s="23" t="s">
        <v>1280</v>
      </c>
      <c r="K74" s="23" t="s">
        <v>1280</v>
      </c>
      <c r="L74" s="23">
        <v>1</v>
      </c>
      <c r="M74" s="23" t="s">
        <v>78</v>
      </c>
      <c r="N74" s="23" t="s">
        <v>78</v>
      </c>
      <c r="O74" s="23">
        <v>0.01</v>
      </c>
      <c r="P74" s="23" t="s">
        <v>79</v>
      </c>
      <c r="Q74" s="23" t="s">
        <v>83</v>
      </c>
      <c r="R74" s="23">
        <v>11100018</v>
      </c>
      <c r="S74" s="24" t="s">
        <v>80</v>
      </c>
      <c r="T74" s="24">
        <v>46000</v>
      </c>
      <c r="U74" s="24">
        <v>46076</v>
      </c>
      <c r="X74" s="24">
        <v>45992</v>
      </c>
      <c r="Y74" s="23">
        <v>1111</v>
      </c>
      <c r="Z74" s="23">
        <v>11100002</v>
      </c>
      <c r="AA74" s="23">
        <v>3930</v>
      </c>
      <c r="AB74" s="24">
        <v>46000</v>
      </c>
    </row>
    <row r="75" spans="2:28" x14ac:dyDescent="0.2">
      <c r="B75" s="23" t="s">
        <v>81</v>
      </c>
      <c r="C75" s="23">
        <v>1100570945</v>
      </c>
      <c r="H75" s="24">
        <v>46093</v>
      </c>
      <c r="O75" s="23">
        <v>11513.03</v>
      </c>
      <c r="P75" s="23" t="s">
        <v>79</v>
      </c>
    </row>
    <row r="76" spans="2:28" x14ac:dyDescent="0.2">
      <c r="C76" s="23">
        <v>1100102681</v>
      </c>
      <c r="E76" s="23">
        <v>800</v>
      </c>
      <c r="F76" s="23" t="s">
        <v>1008</v>
      </c>
      <c r="G76" s="23" t="s">
        <v>1009</v>
      </c>
      <c r="H76" s="24">
        <v>46094</v>
      </c>
      <c r="I76" s="24">
        <v>46094</v>
      </c>
      <c r="J76" s="23" t="s">
        <v>542</v>
      </c>
      <c r="K76" s="23" t="s">
        <v>542</v>
      </c>
      <c r="L76" s="23">
        <v>1</v>
      </c>
      <c r="M76" s="23" t="s">
        <v>78</v>
      </c>
      <c r="N76" s="23" t="s">
        <v>78</v>
      </c>
      <c r="O76" s="23">
        <v>61207</v>
      </c>
      <c r="P76" s="23" t="s">
        <v>79</v>
      </c>
      <c r="Q76" s="23" t="s">
        <v>119</v>
      </c>
      <c r="R76" s="23">
        <v>11100189</v>
      </c>
      <c r="S76" s="24">
        <v>46010</v>
      </c>
      <c r="T76" s="24">
        <v>45859</v>
      </c>
      <c r="U76" s="24">
        <v>46751</v>
      </c>
      <c r="X76" s="24">
        <v>45859</v>
      </c>
      <c r="Y76" s="23">
        <v>1111</v>
      </c>
      <c r="Z76" s="23">
        <v>11400912</v>
      </c>
      <c r="AA76" s="23">
        <v>516103</v>
      </c>
      <c r="AB76" s="24">
        <v>45859</v>
      </c>
    </row>
    <row r="77" spans="2:28" x14ac:dyDescent="0.2">
      <c r="C77" s="23">
        <v>1100102681</v>
      </c>
      <c r="E77" s="23">
        <v>900</v>
      </c>
      <c r="F77" s="23" t="s">
        <v>1010</v>
      </c>
      <c r="G77" s="23" t="s">
        <v>1011</v>
      </c>
      <c r="H77" s="24">
        <v>46094</v>
      </c>
      <c r="I77" s="24">
        <v>46094</v>
      </c>
      <c r="J77" s="23" t="s">
        <v>542</v>
      </c>
      <c r="K77" s="23" t="s">
        <v>542</v>
      </c>
      <c r="L77" s="23">
        <v>1</v>
      </c>
      <c r="M77" s="23" t="s">
        <v>78</v>
      </c>
      <c r="N77" s="23" t="s">
        <v>78</v>
      </c>
      <c r="O77" s="23">
        <v>120331</v>
      </c>
      <c r="P77" s="23" t="s">
        <v>79</v>
      </c>
      <c r="Q77" s="23" t="s">
        <v>119</v>
      </c>
      <c r="R77" s="23">
        <v>11100189</v>
      </c>
      <c r="S77" s="24" t="s">
        <v>80</v>
      </c>
      <c r="T77" s="24">
        <v>45859</v>
      </c>
      <c r="U77" s="24">
        <v>46751</v>
      </c>
      <c r="X77" s="24">
        <v>45859</v>
      </c>
      <c r="Y77" s="23">
        <v>1111</v>
      </c>
      <c r="Z77" s="23">
        <v>11400912</v>
      </c>
      <c r="AA77" s="23">
        <v>516103</v>
      </c>
      <c r="AB77" s="24">
        <v>45859</v>
      </c>
    </row>
    <row r="78" spans="2:28" x14ac:dyDescent="0.2">
      <c r="B78" s="23" t="s">
        <v>81</v>
      </c>
      <c r="C78" s="23">
        <v>1100102681</v>
      </c>
      <c r="H78" s="24">
        <v>46094</v>
      </c>
      <c r="O78" s="23">
        <v>181538</v>
      </c>
      <c r="P78" s="23" t="s">
        <v>79</v>
      </c>
    </row>
    <row r="79" spans="2:28" x14ac:dyDescent="0.2">
      <c r="C79" s="23">
        <v>1100558589</v>
      </c>
      <c r="E79" s="23">
        <v>10</v>
      </c>
      <c r="F79" s="23" t="s">
        <v>1213</v>
      </c>
      <c r="G79" s="23" t="s">
        <v>1214</v>
      </c>
      <c r="H79" s="24">
        <v>46094</v>
      </c>
      <c r="I79" s="24">
        <v>46094</v>
      </c>
      <c r="J79" s="23" t="s">
        <v>991</v>
      </c>
      <c r="K79" s="23" t="s">
        <v>991</v>
      </c>
      <c r="L79" s="23">
        <v>2</v>
      </c>
      <c r="M79" s="23" t="s">
        <v>78</v>
      </c>
      <c r="N79" s="23" t="s">
        <v>78</v>
      </c>
      <c r="O79" s="23">
        <v>87372</v>
      </c>
      <c r="P79" s="23" t="s">
        <v>79</v>
      </c>
      <c r="Q79" s="23" t="s">
        <v>83</v>
      </c>
      <c r="R79" s="23">
        <v>11100299</v>
      </c>
      <c r="S79" s="24">
        <v>45961</v>
      </c>
      <c r="T79" s="24">
        <v>45873</v>
      </c>
      <c r="U79" s="24">
        <v>46038</v>
      </c>
      <c r="X79" s="24">
        <v>45799</v>
      </c>
      <c r="Y79" s="23">
        <v>1111</v>
      </c>
      <c r="Z79" s="23">
        <v>11100305</v>
      </c>
      <c r="AA79" s="23">
        <v>500103</v>
      </c>
      <c r="AB79" s="24">
        <v>45873</v>
      </c>
    </row>
    <row r="80" spans="2:28" x14ac:dyDescent="0.2">
      <c r="C80" s="23">
        <v>1100558589</v>
      </c>
      <c r="E80" s="23">
        <v>20</v>
      </c>
      <c r="F80" s="23" t="s">
        <v>84</v>
      </c>
      <c r="G80" s="23" t="s">
        <v>123</v>
      </c>
      <c r="H80" s="24">
        <v>46094</v>
      </c>
      <c r="I80" s="24">
        <v>46094</v>
      </c>
      <c r="J80" s="23" t="s">
        <v>991</v>
      </c>
      <c r="K80" s="23" t="s">
        <v>991</v>
      </c>
      <c r="L80" s="23">
        <v>1</v>
      </c>
      <c r="M80" s="23" t="s">
        <v>78</v>
      </c>
      <c r="N80" s="23" t="s">
        <v>78</v>
      </c>
      <c r="O80" s="23">
        <v>0.01</v>
      </c>
      <c r="P80" s="23" t="s">
        <v>79</v>
      </c>
      <c r="Q80" s="23" t="s">
        <v>83</v>
      </c>
      <c r="R80" s="23">
        <v>11100299</v>
      </c>
      <c r="S80" s="24">
        <v>45961</v>
      </c>
      <c r="T80" s="24">
        <v>45873</v>
      </c>
      <c r="U80" s="24">
        <v>46038</v>
      </c>
      <c r="X80" s="24">
        <v>45799</v>
      </c>
      <c r="Y80" s="23">
        <v>1111</v>
      </c>
      <c r="Z80" s="23">
        <v>11100305</v>
      </c>
      <c r="AA80" s="23">
        <v>500103</v>
      </c>
      <c r="AB80" s="24">
        <v>45873</v>
      </c>
    </row>
    <row r="81" spans="2:28" x14ac:dyDescent="0.2">
      <c r="B81" s="23" t="s">
        <v>81</v>
      </c>
      <c r="C81" s="23">
        <v>1100558589</v>
      </c>
      <c r="H81" s="24">
        <v>46094</v>
      </c>
      <c r="O81" s="23">
        <v>87372.01</v>
      </c>
      <c r="P81" s="23" t="s">
        <v>79</v>
      </c>
    </row>
    <row r="82" spans="2:28" x14ac:dyDescent="0.2">
      <c r="C82" s="23">
        <v>1100561695</v>
      </c>
      <c r="E82" s="23">
        <v>10</v>
      </c>
      <c r="F82" s="23" t="s">
        <v>1315</v>
      </c>
      <c r="G82" s="23" t="s">
        <v>547</v>
      </c>
      <c r="H82" s="24">
        <v>46094</v>
      </c>
      <c r="I82" s="24">
        <v>46094</v>
      </c>
      <c r="J82" s="23" t="s">
        <v>555</v>
      </c>
      <c r="K82" s="23" t="s">
        <v>555</v>
      </c>
      <c r="L82" s="23">
        <v>1</v>
      </c>
      <c r="M82" s="23" t="s">
        <v>78</v>
      </c>
      <c r="N82" s="23" t="s">
        <v>78</v>
      </c>
      <c r="O82" s="23">
        <v>36200</v>
      </c>
      <c r="P82" s="23" t="s">
        <v>79</v>
      </c>
      <c r="Q82" s="23" t="s">
        <v>83</v>
      </c>
      <c r="R82" s="23">
        <v>11100299</v>
      </c>
      <c r="S82" s="24">
        <v>46014</v>
      </c>
      <c r="T82" s="24">
        <v>45904</v>
      </c>
      <c r="U82" s="24">
        <v>46087</v>
      </c>
      <c r="X82" s="24">
        <v>45896</v>
      </c>
      <c r="Y82" s="23">
        <v>1111</v>
      </c>
      <c r="Z82" s="23">
        <v>11100305</v>
      </c>
      <c r="AA82" s="23">
        <v>330103</v>
      </c>
      <c r="AB82" s="24">
        <v>45904</v>
      </c>
    </row>
    <row r="83" spans="2:28" x14ac:dyDescent="0.2">
      <c r="C83" s="23">
        <v>1100561695</v>
      </c>
      <c r="E83" s="23">
        <v>20</v>
      </c>
      <c r="F83" s="23" t="s">
        <v>1316</v>
      </c>
      <c r="G83" s="23" t="s">
        <v>547</v>
      </c>
      <c r="H83" s="24">
        <v>46094</v>
      </c>
      <c r="I83" s="24">
        <v>46094</v>
      </c>
      <c r="J83" s="23" t="s">
        <v>555</v>
      </c>
      <c r="K83" s="23" t="s">
        <v>555</v>
      </c>
      <c r="L83" s="23">
        <v>1</v>
      </c>
      <c r="M83" s="23" t="s">
        <v>78</v>
      </c>
      <c r="N83" s="23" t="s">
        <v>78</v>
      </c>
      <c r="O83" s="23">
        <v>34500</v>
      </c>
      <c r="P83" s="23" t="s">
        <v>79</v>
      </c>
      <c r="Q83" s="23" t="s">
        <v>83</v>
      </c>
      <c r="R83" s="23">
        <v>11100299</v>
      </c>
      <c r="S83" s="24">
        <v>46014</v>
      </c>
      <c r="T83" s="24">
        <v>45904</v>
      </c>
      <c r="U83" s="24">
        <v>46087</v>
      </c>
      <c r="X83" s="24">
        <v>45896</v>
      </c>
      <c r="Y83" s="23">
        <v>1111</v>
      </c>
      <c r="Z83" s="23">
        <v>11100305</v>
      </c>
      <c r="AA83" s="23">
        <v>330103</v>
      </c>
      <c r="AB83" s="24">
        <v>45904</v>
      </c>
    </row>
    <row r="84" spans="2:28" x14ac:dyDescent="0.2">
      <c r="C84" s="23">
        <v>1100561695</v>
      </c>
      <c r="E84" s="23">
        <v>30</v>
      </c>
      <c r="F84" s="23" t="s">
        <v>84</v>
      </c>
      <c r="G84" s="23" t="s">
        <v>123</v>
      </c>
      <c r="H84" s="24">
        <v>46094</v>
      </c>
      <c r="I84" s="24">
        <v>46094</v>
      </c>
      <c r="J84" s="23" t="s">
        <v>555</v>
      </c>
      <c r="K84" s="23" t="s">
        <v>555</v>
      </c>
      <c r="L84" s="23">
        <v>1</v>
      </c>
      <c r="M84" s="23" t="s">
        <v>78</v>
      </c>
      <c r="N84" s="23" t="s">
        <v>78</v>
      </c>
      <c r="O84" s="23">
        <v>0.01</v>
      </c>
      <c r="P84" s="23" t="s">
        <v>79</v>
      </c>
      <c r="Q84" s="23" t="s">
        <v>83</v>
      </c>
      <c r="R84" s="23">
        <v>11100299</v>
      </c>
      <c r="S84" s="24">
        <v>46014</v>
      </c>
      <c r="T84" s="24">
        <v>45904</v>
      </c>
      <c r="U84" s="24">
        <v>46087</v>
      </c>
      <c r="X84" s="24">
        <v>45896</v>
      </c>
      <c r="Y84" s="23">
        <v>1111</v>
      </c>
      <c r="Z84" s="23">
        <v>11100305</v>
      </c>
      <c r="AA84" s="23">
        <v>330103</v>
      </c>
      <c r="AB84" s="24">
        <v>45904</v>
      </c>
    </row>
    <row r="85" spans="2:28" x14ac:dyDescent="0.2">
      <c r="C85" s="23">
        <v>1100561695</v>
      </c>
      <c r="E85" s="23">
        <v>40</v>
      </c>
      <c r="F85" s="23" t="s">
        <v>82</v>
      </c>
      <c r="G85" s="23" t="s">
        <v>139</v>
      </c>
      <c r="H85" s="24">
        <v>46094</v>
      </c>
      <c r="I85" s="24">
        <v>46094</v>
      </c>
      <c r="J85" s="23" t="s">
        <v>555</v>
      </c>
      <c r="K85" s="23" t="s">
        <v>555</v>
      </c>
      <c r="L85" s="23">
        <v>1</v>
      </c>
      <c r="M85" s="23" t="s">
        <v>78</v>
      </c>
      <c r="N85" s="23" t="s">
        <v>78</v>
      </c>
      <c r="O85" s="23">
        <v>0.01</v>
      </c>
      <c r="P85" s="23" t="s">
        <v>79</v>
      </c>
      <c r="Q85" s="23" t="s">
        <v>83</v>
      </c>
      <c r="R85" s="23">
        <v>11100299</v>
      </c>
      <c r="S85" s="24">
        <v>46014</v>
      </c>
      <c r="T85" s="24">
        <v>45904</v>
      </c>
      <c r="U85" s="24">
        <v>46087</v>
      </c>
      <c r="X85" s="24">
        <v>45896</v>
      </c>
      <c r="Y85" s="23">
        <v>1111</v>
      </c>
      <c r="Z85" s="23">
        <v>11100305</v>
      </c>
      <c r="AA85" s="23">
        <v>330103</v>
      </c>
      <c r="AB85" s="24">
        <v>45904</v>
      </c>
    </row>
    <row r="86" spans="2:28" x14ac:dyDescent="0.2">
      <c r="B86" s="23" t="s">
        <v>81</v>
      </c>
      <c r="C86" s="23">
        <v>1100561695</v>
      </c>
      <c r="H86" s="24">
        <v>46094</v>
      </c>
      <c r="O86" s="23">
        <v>70700.02</v>
      </c>
      <c r="P86" s="23" t="s">
        <v>79</v>
      </c>
    </row>
    <row r="87" spans="2:28" x14ac:dyDescent="0.2">
      <c r="C87" s="23">
        <v>1100565839</v>
      </c>
      <c r="E87" s="23">
        <v>20</v>
      </c>
      <c r="F87" s="23" t="s">
        <v>1236</v>
      </c>
      <c r="G87" s="23" t="s">
        <v>1237</v>
      </c>
      <c r="H87" s="24">
        <v>46094</v>
      </c>
      <c r="I87" s="24">
        <v>46094</v>
      </c>
      <c r="J87" s="23" t="s">
        <v>1238</v>
      </c>
      <c r="K87" s="23" t="s">
        <v>1238</v>
      </c>
      <c r="L87" s="23">
        <v>10</v>
      </c>
      <c r="M87" s="23" t="s">
        <v>78</v>
      </c>
      <c r="N87" s="23" t="s">
        <v>78</v>
      </c>
      <c r="O87" s="23">
        <v>42570</v>
      </c>
      <c r="P87" s="23" t="s">
        <v>79</v>
      </c>
      <c r="Q87" s="23" t="s">
        <v>119</v>
      </c>
      <c r="R87" s="23">
        <v>11100299</v>
      </c>
      <c r="S87" s="24">
        <v>45989</v>
      </c>
      <c r="T87" s="24">
        <v>45943</v>
      </c>
      <c r="U87" s="24">
        <v>46752</v>
      </c>
      <c r="X87" s="24">
        <v>45939</v>
      </c>
      <c r="Y87" s="23">
        <v>1111</v>
      </c>
      <c r="Z87" s="23">
        <v>11100002</v>
      </c>
      <c r="AA87" s="23">
        <v>3312</v>
      </c>
      <c r="AB87" s="24">
        <v>45943</v>
      </c>
    </row>
    <row r="88" spans="2:28" x14ac:dyDescent="0.2">
      <c r="B88" s="23" t="s">
        <v>81</v>
      </c>
      <c r="C88" s="23">
        <v>1100565839</v>
      </c>
      <c r="H88" s="24">
        <v>46094</v>
      </c>
      <c r="O88" s="23">
        <v>42570</v>
      </c>
      <c r="P88" s="23" t="s">
        <v>79</v>
      </c>
    </row>
    <row r="89" spans="2:28" x14ac:dyDescent="0.2">
      <c r="C89" s="23">
        <v>1100567020</v>
      </c>
      <c r="E89" s="23">
        <v>10</v>
      </c>
      <c r="F89" s="23" t="s">
        <v>1333</v>
      </c>
      <c r="G89" s="23" t="s">
        <v>1334</v>
      </c>
      <c r="H89" s="24">
        <v>46094</v>
      </c>
      <c r="I89" s="24">
        <v>46094</v>
      </c>
      <c r="J89" s="23" t="s">
        <v>1335</v>
      </c>
      <c r="K89" s="23" t="s">
        <v>1335</v>
      </c>
      <c r="L89" s="23">
        <v>2</v>
      </c>
      <c r="M89" s="23" t="s">
        <v>78</v>
      </c>
      <c r="N89" s="23" t="s">
        <v>78</v>
      </c>
      <c r="O89" s="23">
        <v>10430</v>
      </c>
      <c r="P89" s="23" t="s">
        <v>79</v>
      </c>
      <c r="Q89" s="23" t="s">
        <v>83</v>
      </c>
      <c r="R89" s="23">
        <v>11100299</v>
      </c>
      <c r="S89" s="24">
        <v>45982</v>
      </c>
      <c r="T89" s="24">
        <v>45954</v>
      </c>
      <c r="U89" s="24">
        <v>46752</v>
      </c>
      <c r="X89" s="24">
        <v>45953</v>
      </c>
      <c r="Y89" s="23">
        <v>1111</v>
      </c>
      <c r="Z89" s="23">
        <v>11100002</v>
      </c>
      <c r="AA89" s="23">
        <v>3312</v>
      </c>
      <c r="AB89" s="24">
        <v>45954</v>
      </c>
    </row>
    <row r="90" spans="2:28" x14ac:dyDescent="0.2">
      <c r="B90" s="23" t="s">
        <v>81</v>
      </c>
      <c r="C90" s="23">
        <v>1100567020</v>
      </c>
      <c r="H90" s="24">
        <v>46094</v>
      </c>
      <c r="O90" s="23">
        <v>10430</v>
      </c>
      <c r="P90" s="23" t="s">
        <v>79</v>
      </c>
    </row>
    <row r="91" spans="2:28" x14ac:dyDescent="0.2">
      <c r="C91" s="23">
        <v>1100567802</v>
      </c>
      <c r="E91" s="23">
        <v>10</v>
      </c>
      <c r="F91" s="23" t="s">
        <v>1239</v>
      </c>
      <c r="G91" s="23" t="s">
        <v>560</v>
      </c>
      <c r="H91" s="24">
        <v>46094</v>
      </c>
      <c r="I91" s="24">
        <v>46094</v>
      </c>
      <c r="J91" s="23" t="s">
        <v>252</v>
      </c>
      <c r="K91" s="23" t="s">
        <v>252</v>
      </c>
      <c r="L91" s="23">
        <v>2</v>
      </c>
      <c r="M91" s="23" t="s">
        <v>78</v>
      </c>
      <c r="N91" s="23" t="s">
        <v>78</v>
      </c>
      <c r="O91" s="23">
        <v>51992</v>
      </c>
      <c r="P91" s="23" t="s">
        <v>79</v>
      </c>
      <c r="Q91" s="23" t="s">
        <v>83</v>
      </c>
      <c r="R91" s="23">
        <v>11100018</v>
      </c>
      <c r="S91" s="24">
        <v>46054</v>
      </c>
      <c r="T91" s="24">
        <v>45961</v>
      </c>
      <c r="U91" s="24">
        <v>46752</v>
      </c>
      <c r="X91" s="24">
        <v>45957</v>
      </c>
      <c r="Y91" s="23">
        <v>1111</v>
      </c>
      <c r="Z91" s="23">
        <v>11100002</v>
      </c>
      <c r="AA91" s="23">
        <v>3902</v>
      </c>
      <c r="AB91" s="24">
        <v>45961</v>
      </c>
    </row>
    <row r="92" spans="2:28" x14ac:dyDescent="0.2">
      <c r="C92" s="23">
        <v>1100567802</v>
      </c>
      <c r="E92" s="23">
        <v>25</v>
      </c>
      <c r="F92" s="23" t="s">
        <v>84</v>
      </c>
      <c r="G92" s="23" t="s">
        <v>123</v>
      </c>
      <c r="H92" s="24">
        <v>46094</v>
      </c>
      <c r="I92" s="24">
        <v>46094</v>
      </c>
      <c r="J92" s="23" t="s">
        <v>252</v>
      </c>
      <c r="K92" s="23" t="s">
        <v>252</v>
      </c>
      <c r="L92" s="23">
        <v>1</v>
      </c>
      <c r="M92" s="23" t="s">
        <v>78</v>
      </c>
      <c r="N92" s="23" t="s">
        <v>78</v>
      </c>
      <c r="O92" s="23">
        <v>0.01</v>
      </c>
      <c r="P92" s="23" t="s">
        <v>79</v>
      </c>
      <c r="Q92" s="23" t="s">
        <v>83</v>
      </c>
      <c r="R92" s="23">
        <v>11100018</v>
      </c>
      <c r="S92" s="24" t="s">
        <v>80</v>
      </c>
      <c r="T92" s="24">
        <v>45961</v>
      </c>
      <c r="U92" s="24">
        <v>46055</v>
      </c>
      <c r="X92" s="24">
        <v>45957</v>
      </c>
      <c r="Y92" s="23">
        <v>1111</v>
      </c>
      <c r="Z92" s="23">
        <v>11100002</v>
      </c>
      <c r="AA92" s="23">
        <v>3902</v>
      </c>
      <c r="AB92" s="24">
        <v>45961</v>
      </c>
    </row>
    <row r="93" spans="2:28" x14ac:dyDescent="0.2">
      <c r="C93" s="23">
        <v>1100567802</v>
      </c>
      <c r="E93" s="23">
        <v>30</v>
      </c>
      <c r="F93" s="23" t="s">
        <v>82</v>
      </c>
      <c r="G93" s="23" t="s">
        <v>548</v>
      </c>
      <c r="H93" s="24">
        <v>46094</v>
      </c>
      <c r="I93" s="24">
        <v>46094</v>
      </c>
      <c r="J93" s="23" t="s">
        <v>252</v>
      </c>
      <c r="K93" s="23" t="s">
        <v>252</v>
      </c>
      <c r="L93" s="23">
        <v>1</v>
      </c>
      <c r="M93" s="23" t="s">
        <v>78</v>
      </c>
      <c r="N93" s="23" t="s">
        <v>78</v>
      </c>
      <c r="O93" s="23">
        <v>0</v>
      </c>
      <c r="P93" s="23" t="s">
        <v>79</v>
      </c>
      <c r="Q93" s="23" t="s">
        <v>83</v>
      </c>
      <c r="R93" s="23">
        <v>11100018</v>
      </c>
      <c r="S93" s="24" t="s">
        <v>80</v>
      </c>
      <c r="T93" s="24">
        <v>45961</v>
      </c>
      <c r="U93" s="24">
        <v>45965</v>
      </c>
      <c r="X93" s="24">
        <v>45957</v>
      </c>
      <c r="Y93" s="23">
        <v>1111</v>
      </c>
      <c r="Z93" s="23">
        <v>11100002</v>
      </c>
      <c r="AA93" s="23">
        <v>3902</v>
      </c>
      <c r="AB93" s="24">
        <v>45961</v>
      </c>
    </row>
    <row r="94" spans="2:28" x14ac:dyDescent="0.2">
      <c r="B94" s="23" t="s">
        <v>81</v>
      </c>
      <c r="C94" s="23">
        <v>1100567802</v>
      </c>
      <c r="H94" s="24">
        <v>46094</v>
      </c>
      <c r="O94" s="23">
        <v>51992.01</v>
      </c>
      <c r="P94" s="23" t="s">
        <v>79</v>
      </c>
    </row>
    <row r="95" spans="2:28" x14ac:dyDescent="0.2">
      <c r="C95" s="23">
        <v>1100568293</v>
      </c>
      <c r="E95" s="23">
        <v>10</v>
      </c>
      <c r="F95" s="23" t="s">
        <v>1299</v>
      </c>
      <c r="G95" s="23" t="s">
        <v>291</v>
      </c>
      <c r="H95" s="24">
        <v>46094</v>
      </c>
      <c r="I95" s="24">
        <v>46094</v>
      </c>
      <c r="J95" s="23" t="s">
        <v>1300</v>
      </c>
      <c r="K95" s="23" t="s">
        <v>1300</v>
      </c>
      <c r="L95" s="23">
        <v>1</v>
      </c>
      <c r="M95" s="23" t="s">
        <v>78</v>
      </c>
      <c r="N95" s="23" t="s">
        <v>78</v>
      </c>
      <c r="O95" s="23">
        <v>26333</v>
      </c>
      <c r="P95" s="23" t="s">
        <v>79</v>
      </c>
      <c r="Q95" s="23" t="s">
        <v>83</v>
      </c>
      <c r="R95" s="23">
        <v>11100299</v>
      </c>
      <c r="S95" s="24">
        <v>46017</v>
      </c>
      <c r="T95" s="24">
        <v>45967</v>
      </c>
      <c r="U95" s="24">
        <v>46084</v>
      </c>
      <c r="X95" s="24">
        <v>45910</v>
      </c>
      <c r="Y95" s="23">
        <v>1111</v>
      </c>
      <c r="Z95" s="23">
        <v>11100002</v>
      </c>
      <c r="AA95" s="23">
        <v>3312</v>
      </c>
      <c r="AB95" s="24">
        <v>45967</v>
      </c>
    </row>
    <row r="96" spans="2:28" x14ac:dyDescent="0.2">
      <c r="C96" s="23">
        <v>1100568293</v>
      </c>
      <c r="E96" s="23">
        <v>20</v>
      </c>
      <c r="F96" s="23" t="s">
        <v>82</v>
      </c>
      <c r="G96" s="23" t="s">
        <v>139</v>
      </c>
      <c r="H96" s="24">
        <v>46094</v>
      </c>
      <c r="I96" s="24">
        <v>46094</v>
      </c>
      <c r="J96" s="23" t="s">
        <v>1300</v>
      </c>
      <c r="K96" s="23" t="s">
        <v>1300</v>
      </c>
      <c r="L96" s="23">
        <v>1</v>
      </c>
      <c r="M96" s="23" t="s">
        <v>78</v>
      </c>
      <c r="N96" s="23" t="s">
        <v>78</v>
      </c>
      <c r="O96" s="23">
        <v>0.01</v>
      </c>
      <c r="P96" s="23" t="s">
        <v>79</v>
      </c>
      <c r="Q96" s="23" t="s">
        <v>83</v>
      </c>
      <c r="R96" s="23">
        <v>11100299</v>
      </c>
      <c r="S96" s="24" t="s">
        <v>80</v>
      </c>
      <c r="T96" s="24">
        <v>45967</v>
      </c>
      <c r="U96" s="24">
        <v>46084</v>
      </c>
      <c r="X96" s="24">
        <v>45910</v>
      </c>
      <c r="Y96" s="23">
        <v>1111</v>
      </c>
      <c r="Z96" s="23">
        <v>11100002</v>
      </c>
      <c r="AA96" s="23">
        <v>3312</v>
      </c>
      <c r="AB96" s="24">
        <v>45967</v>
      </c>
    </row>
    <row r="97" spans="2:28" x14ac:dyDescent="0.2">
      <c r="C97" s="23">
        <v>1100568293</v>
      </c>
      <c r="E97" s="23">
        <v>30</v>
      </c>
      <c r="F97" s="23" t="s">
        <v>84</v>
      </c>
      <c r="G97" s="23" t="s">
        <v>123</v>
      </c>
      <c r="H97" s="24">
        <v>46094</v>
      </c>
      <c r="I97" s="24">
        <v>46094</v>
      </c>
      <c r="J97" s="23" t="s">
        <v>1300</v>
      </c>
      <c r="K97" s="23" t="s">
        <v>1300</v>
      </c>
      <c r="L97" s="23">
        <v>1</v>
      </c>
      <c r="M97" s="23" t="s">
        <v>78</v>
      </c>
      <c r="N97" s="23" t="s">
        <v>78</v>
      </c>
      <c r="O97" s="23">
        <v>0.01</v>
      </c>
      <c r="P97" s="23" t="s">
        <v>79</v>
      </c>
      <c r="Q97" s="23" t="s">
        <v>83</v>
      </c>
      <c r="R97" s="23">
        <v>11100299</v>
      </c>
      <c r="S97" s="24" t="s">
        <v>80</v>
      </c>
      <c r="T97" s="24">
        <v>45967</v>
      </c>
      <c r="U97" s="24">
        <v>46084</v>
      </c>
      <c r="X97" s="24">
        <v>45910</v>
      </c>
      <c r="Y97" s="23">
        <v>1111</v>
      </c>
      <c r="Z97" s="23">
        <v>11100002</v>
      </c>
      <c r="AA97" s="23">
        <v>3312</v>
      </c>
      <c r="AB97" s="24">
        <v>45967</v>
      </c>
    </row>
    <row r="98" spans="2:28" x14ac:dyDescent="0.2">
      <c r="C98" s="23">
        <v>1100568293</v>
      </c>
      <c r="E98" s="23">
        <v>40</v>
      </c>
      <c r="F98" s="23" t="s">
        <v>1242</v>
      </c>
      <c r="G98" s="23" t="s">
        <v>1243</v>
      </c>
      <c r="H98" s="24">
        <v>46094</v>
      </c>
      <c r="I98" s="24">
        <v>46094</v>
      </c>
      <c r="J98" s="23" t="s">
        <v>1300</v>
      </c>
      <c r="K98" s="23" t="s">
        <v>1300</v>
      </c>
      <c r="L98" s="23">
        <v>1</v>
      </c>
      <c r="M98" s="23" t="s">
        <v>78</v>
      </c>
      <c r="N98" s="23" t="s">
        <v>78</v>
      </c>
      <c r="O98" s="23">
        <v>0.01</v>
      </c>
      <c r="P98" s="23" t="s">
        <v>79</v>
      </c>
      <c r="Q98" s="23" t="s">
        <v>83</v>
      </c>
      <c r="R98" s="23">
        <v>11100299</v>
      </c>
      <c r="S98" s="24" t="s">
        <v>80</v>
      </c>
      <c r="T98" s="24">
        <v>45967</v>
      </c>
      <c r="U98" s="24">
        <v>46084</v>
      </c>
      <c r="X98" s="24">
        <v>45910</v>
      </c>
      <c r="Y98" s="23">
        <v>1111</v>
      </c>
      <c r="Z98" s="23">
        <v>11100002</v>
      </c>
      <c r="AA98" s="23">
        <v>3312</v>
      </c>
      <c r="AB98" s="24">
        <v>45967</v>
      </c>
    </row>
    <row r="99" spans="2:28" x14ac:dyDescent="0.2">
      <c r="B99" s="23" t="s">
        <v>81</v>
      </c>
      <c r="C99" s="23">
        <v>1100568293</v>
      </c>
      <c r="H99" s="24">
        <v>46094</v>
      </c>
      <c r="O99" s="23">
        <v>26333.03</v>
      </c>
      <c r="P99" s="23" t="s">
        <v>79</v>
      </c>
    </row>
    <row r="100" spans="2:28" x14ac:dyDescent="0.2">
      <c r="C100" s="23">
        <v>1100568923</v>
      </c>
      <c r="E100" s="23">
        <v>10</v>
      </c>
      <c r="F100" s="23" t="s">
        <v>1336</v>
      </c>
      <c r="G100" s="23" t="s">
        <v>1337</v>
      </c>
      <c r="H100" s="24">
        <v>46094</v>
      </c>
      <c r="I100" s="24">
        <v>46094</v>
      </c>
      <c r="J100" s="23" t="s">
        <v>1338</v>
      </c>
      <c r="K100" s="23" t="s">
        <v>1338</v>
      </c>
      <c r="L100" s="23">
        <v>1</v>
      </c>
      <c r="M100" s="23" t="s">
        <v>78</v>
      </c>
      <c r="N100" s="23" t="s">
        <v>78</v>
      </c>
      <c r="O100" s="23">
        <v>16446</v>
      </c>
      <c r="P100" s="23" t="s">
        <v>79</v>
      </c>
      <c r="Q100" s="23" t="s">
        <v>83</v>
      </c>
      <c r="R100" s="23">
        <v>11100299</v>
      </c>
      <c r="S100" s="24">
        <v>46010</v>
      </c>
      <c r="T100" s="24">
        <v>45975</v>
      </c>
      <c r="U100" s="24">
        <v>46752</v>
      </c>
      <c r="X100" s="24">
        <v>45968</v>
      </c>
      <c r="Y100" s="23">
        <v>1111</v>
      </c>
      <c r="Z100" s="23">
        <v>11100002</v>
      </c>
      <c r="AA100" s="23">
        <v>3901</v>
      </c>
      <c r="AB100" s="24">
        <v>45975</v>
      </c>
    </row>
    <row r="101" spans="2:28" x14ac:dyDescent="0.2">
      <c r="C101" s="23">
        <v>1100568923</v>
      </c>
      <c r="E101" s="23">
        <v>20</v>
      </c>
      <c r="F101" s="23" t="s">
        <v>84</v>
      </c>
      <c r="G101" s="23" t="s">
        <v>123</v>
      </c>
      <c r="H101" s="24">
        <v>46094</v>
      </c>
      <c r="I101" s="24">
        <v>46094</v>
      </c>
      <c r="J101" s="23" t="s">
        <v>1338</v>
      </c>
      <c r="K101" s="23" t="s">
        <v>1338</v>
      </c>
      <c r="L101" s="23">
        <v>1</v>
      </c>
      <c r="M101" s="23" t="s">
        <v>78</v>
      </c>
      <c r="N101" s="23" t="s">
        <v>78</v>
      </c>
      <c r="O101" s="23">
        <v>0.01</v>
      </c>
      <c r="P101" s="23" t="s">
        <v>79</v>
      </c>
      <c r="Q101" s="23" t="s">
        <v>83</v>
      </c>
      <c r="R101" s="23">
        <v>11100299</v>
      </c>
      <c r="S101" s="24" t="s">
        <v>80</v>
      </c>
      <c r="T101" s="24">
        <v>45975</v>
      </c>
      <c r="U101" s="24">
        <v>46752</v>
      </c>
      <c r="X101" s="24">
        <v>45968</v>
      </c>
      <c r="Y101" s="23">
        <v>1111</v>
      </c>
      <c r="Z101" s="23">
        <v>11100002</v>
      </c>
      <c r="AA101" s="23">
        <v>3901</v>
      </c>
      <c r="AB101" s="24">
        <v>45975</v>
      </c>
    </row>
    <row r="102" spans="2:28" x14ac:dyDescent="0.2">
      <c r="B102" s="23" t="s">
        <v>81</v>
      </c>
      <c r="C102" s="23">
        <v>1100568923</v>
      </c>
      <c r="H102" s="24">
        <v>46094</v>
      </c>
      <c r="O102" s="23">
        <v>16446.009999999998</v>
      </c>
      <c r="P102" s="23" t="s">
        <v>79</v>
      </c>
    </row>
    <row r="103" spans="2:28" x14ac:dyDescent="0.2">
      <c r="C103" s="23">
        <v>1100102696</v>
      </c>
      <c r="E103" s="23">
        <v>750</v>
      </c>
      <c r="F103" s="23" t="s">
        <v>1244</v>
      </c>
      <c r="G103" s="23" t="s">
        <v>305</v>
      </c>
      <c r="H103" s="24">
        <v>46099</v>
      </c>
      <c r="I103" s="24">
        <v>46077</v>
      </c>
      <c r="J103" s="23" t="s">
        <v>506</v>
      </c>
      <c r="K103" s="23" t="s">
        <v>506</v>
      </c>
      <c r="L103" s="23">
        <v>1</v>
      </c>
      <c r="M103" s="23" t="s">
        <v>78</v>
      </c>
      <c r="N103" s="23" t="s">
        <v>78</v>
      </c>
      <c r="O103" s="23">
        <v>0</v>
      </c>
      <c r="P103" s="23" t="s">
        <v>79</v>
      </c>
      <c r="Q103" s="23" t="s">
        <v>83</v>
      </c>
      <c r="R103" s="23">
        <v>11100008</v>
      </c>
      <c r="S103" s="24" t="s">
        <v>80</v>
      </c>
      <c r="T103" s="24">
        <v>45881</v>
      </c>
      <c r="U103" s="24">
        <v>46751</v>
      </c>
      <c r="X103" s="24">
        <v>45881</v>
      </c>
      <c r="Y103" s="23">
        <v>1111</v>
      </c>
      <c r="Z103" s="23">
        <v>11400912</v>
      </c>
      <c r="AA103" s="23">
        <v>5001</v>
      </c>
      <c r="AB103" s="24">
        <v>45881</v>
      </c>
    </row>
    <row r="104" spans="2:28" x14ac:dyDescent="0.2">
      <c r="C104" s="23">
        <v>1100102696</v>
      </c>
      <c r="E104" s="23">
        <v>1600</v>
      </c>
      <c r="F104" s="23" t="s">
        <v>1245</v>
      </c>
      <c r="G104" s="23" t="s">
        <v>1246</v>
      </c>
      <c r="H104" s="24">
        <v>46099</v>
      </c>
      <c r="I104" s="24">
        <v>46099</v>
      </c>
      <c r="J104" s="23" t="s">
        <v>506</v>
      </c>
      <c r="K104" s="23" t="s">
        <v>506</v>
      </c>
      <c r="L104" s="23">
        <v>1</v>
      </c>
      <c r="M104" s="23" t="s">
        <v>78</v>
      </c>
      <c r="N104" s="23" t="s">
        <v>78</v>
      </c>
      <c r="O104" s="23">
        <v>18710</v>
      </c>
      <c r="P104" s="23" t="s">
        <v>79</v>
      </c>
      <c r="Q104" s="23" t="s">
        <v>119</v>
      </c>
      <c r="R104" s="23">
        <v>11100008</v>
      </c>
      <c r="S104" s="24" t="s">
        <v>80</v>
      </c>
      <c r="T104" s="24">
        <v>45881</v>
      </c>
      <c r="U104" s="24">
        <v>46751</v>
      </c>
      <c r="X104" s="24">
        <v>45881</v>
      </c>
      <c r="Y104" s="23">
        <v>1111</v>
      </c>
      <c r="Z104" s="23">
        <v>11400912</v>
      </c>
      <c r="AA104" s="23">
        <v>500103</v>
      </c>
      <c r="AB104" s="24">
        <v>45881</v>
      </c>
    </row>
    <row r="105" spans="2:28" x14ac:dyDescent="0.2">
      <c r="C105" s="23">
        <v>1100102696</v>
      </c>
      <c r="E105" s="23">
        <v>2100</v>
      </c>
      <c r="F105" s="23" t="s">
        <v>1247</v>
      </c>
      <c r="G105" s="23" t="s">
        <v>1248</v>
      </c>
      <c r="H105" s="24">
        <v>46099</v>
      </c>
      <c r="I105" s="24">
        <v>47118</v>
      </c>
      <c r="J105" s="23" t="s">
        <v>506</v>
      </c>
      <c r="K105" s="23" t="s">
        <v>506</v>
      </c>
      <c r="L105" s="23">
        <v>1</v>
      </c>
      <c r="M105" s="23" t="s">
        <v>78</v>
      </c>
      <c r="N105" s="23" t="s">
        <v>78</v>
      </c>
      <c r="O105" s="23">
        <v>0</v>
      </c>
      <c r="P105" s="23" t="s">
        <v>79</v>
      </c>
      <c r="Q105" s="23" t="s">
        <v>119</v>
      </c>
      <c r="R105" s="23">
        <v>11100008</v>
      </c>
      <c r="S105" s="24">
        <v>46062</v>
      </c>
      <c r="T105" s="24">
        <v>45881</v>
      </c>
      <c r="U105" s="24">
        <v>46751</v>
      </c>
      <c r="X105" s="24">
        <v>45881</v>
      </c>
      <c r="Y105" s="23">
        <v>1111</v>
      </c>
      <c r="Z105" s="23">
        <v>11400912</v>
      </c>
      <c r="AA105" s="23">
        <v>5001</v>
      </c>
      <c r="AB105" s="24">
        <v>45881</v>
      </c>
    </row>
    <row r="106" spans="2:28" x14ac:dyDescent="0.2">
      <c r="C106" s="23">
        <v>1100102696</v>
      </c>
      <c r="E106" s="23">
        <v>2500</v>
      </c>
      <c r="F106" s="23" t="s">
        <v>1249</v>
      </c>
      <c r="G106" s="23" t="s">
        <v>1250</v>
      </c>
      <c r="H106" s="24">
        <v>46099</v>
      </c>
      <c r="I106" s="24">
        <v>46059</v>
      </c>
      <c r="J106" s="23" t="s">
        <v>506</v>
      </c>
      <c r="K106" s="23" t="s">
        <v>506</v>
      </c>
      <c r="L106" s="23">
        <v>1</v>
      </c>
      <c r="M106" s="23" t="s">
        <v>78</v>
      </c>
      <c r="N106" s="23" t="s">
        <v>78</v>
      </c>
      <c r="O106" s="23">
        <v>0</v>
      </c>
      <c r="P106" s="23" t="s">
        <v>79</v>
      </c>
      <c r="Q106" s="23" t="s">
        <v>119</v>
      </c>
      <c r="R106" s="23">
        <v>11100008</v>
      </c>
      <c r="S106" s="24">
        <v>46062</v>
      </c>
      <c r="T106" s="24">
        <v>45881</v>
      </c>
      <c r="U106" s="24">
        <v>46751</v>
      </c>
      <c r="X106" s="24">
        <v>45881</v>
      </c>
      <c r="Y106" s="23">
        <v>1111</v>
      </c>
      <c r="Z106" s="23">
        <v>11400912</v>
      </c>
      <c r="AA106" s="23">
        <v>5001</v>
      </c>
      <c r="AB106" s="24">
        <v>45881</v>
      </c>
    </row>
    <row r="107" spans="2:28" x14ac:dyDescent="0.2">
      <c r="B107" s="23" t="s">
        <v>81</v>
      </c>
      <c r="C107" s="23">
        <v>1100102696</v>
      </c>
      <c r="H107" s="24">
        <v>46099</v>
      </c>
      <c r="O107" s="23">
        <v>18710</v>
      </c>
      <c r="P107" s="23" t="s">
        <v>79</v>
      </c>
    </row>
    <row r="108" spans="2:28" x14ac:dyDescent="0.2">
      <c r="C108" s="23">
        <v>1100532392</v>
      </c>
      <c r="E108" s="23">
        <v>90</v>
      </c>
      <c r="F108" s="23" t="s">
        <v>302</v>
      </c>
      <c r="G108" s="23" t="s">
        <v>299</v>
      </c>
      <c r="H108" s="24">
        <v>46099</v>
      </c>
      <c r="I108" s="24">
        <v>46099</v>
      </c>
      <c r="J108" s="23" t="s">
        <v>303</v>
      </c>
      <c r="K108" s="23" t="s">
        <v>303</v>
      </c>
      <c r="L108" s="23">
        <v>1</v>
      </c>
      <c r="M108" s="23" t="s">
        <v>78</v>
      </c>
      <c r="N108" s="23" t="s">
        <v>78</v>
      </c>
      <c r="O108" s="23">
        <v>0</v>
      </c>
      <c r="P108" s="23" t="s">
        <v>79</v>
      </c>
      <c r="Q108" s="23" t="s">
        <v>83</v>
      </c>
      <c r="R108" s="23">
        <v>11100008</v>
      </c>
      <c r="S108" s="24">
        <v>45748</v>
      </c>
      <c r="T108" s="24">
        <v>45519</v>
      </c>
      <c r="U108" s="24">
        <v>46387</v>
      </c>
      <c r="X108" s="24">
        <v>45505</v>
      </c>
      <c r="Y108" s="23">
        <v>1111</v>
      </c>
      <c r="Z108" s="23">
        <v>11400124</v>
      </c>
      <c r="AA108" s="23">
        <v>3301</v>
      </c>
      <c r="AB108" s="24">
        <v>46387</v>
      </c>
    </row>
    <row r="109" spans="2:28" x14ac:dyDescent="0.2">
      <c r="B109" s="23" t="s">
        <v>81</v>
      </c>
      <c r="C109" s="23">
        <v>1100532392</v>
      </c>
      <c r="H109" s="24">
        <v>46099</v>
      </c>
      <c r="O109" s="23">
        <v>0</v>
      </c>
      <c r="P109" s="23" t="s">
        <v>79</v>
      </c>
    </row>
    <row r="110" spans="2:28" x14ac:dyDescent="0.2">
      <c r="C110" s="23">
        <v>1100559519</v>
      </c>
      <c r="E110" s="23">
        <v>11</v>
      </c>
      <c r="F110" s="23" t="s">
        <v>1387</v>
      </c>
      <c r="G110" s="23" t="s">
        <v>1388</v>
      </c>
      <c r="H110" s="24">
        <v>46099</v>
      </c>
      <c r="I110" s="24">
        <v>46099</v>
      </c>
      <c r="J110" s="23" t="s">
        <v>1389</v>
      </c>
      <c r="K110" s="23" t="s">
        <v>1389</v>
      </c>
      <c r="L110" s="23">
        <v>1</v>
      </c>
      <c r="M110" s="23" t="s">
        <v>78</v>
      </c>
      <c r="N110" s="23" t="s">
        <v>78</v>
      </c>
      <c r="O110" s="23">
        <v>45290</v>
      </c>
      <c r="P110" s="23" t="s">
        <v>79</v>
      </c>
      <c r="Q110" s="23" t="s">
        <v>83</v>
      </c>
      <c r="R110" s="23">
        <v>11100189</v>
      </c>
      <c r="S110" s="24" t="s">
        <v>80</v>
      </c>
      <c r="T110" s="24">
        <v>45882</v>
      </c>
      <c r="U110" s="24" t="s">
        <v>80</v>
      </c>
      <c r="X110" s="24">
        <v>45868</v>
      </c>
      <c r="Y110" s="23">
        <v>1111</v>
      </c>
      <c r="Z110" s="23">
        <v>11100305</v>
      </c>
      <c r="AA110" s="23">
        <v>330103</v>
      </c>
      <c r="AB110" s="24">
        <v>45882</v>
      </c>
    </row>
    <row r="111" spans="2:28" x14ac:dyDescent="0.2">
      <c r="C111" s="23">
        <v>1100559519</v>
      </c>
      <c r="E111" s="23">
        <v>20</v>
      </c>
      <c r="F111" s="23" t="s">
        <v>84</v>
      </c>
      <c r="G111" s="23" t="s">
        <v>123</v>
      </c>
      <c r="H111" s="24">
        <v>46099</v>
      </c>
      <c r="I111" s="24">
        <v>46099</v>
      </c>
      <c r="J111" s="23" t="s">
        <v>1389</v>
      </c>
      <c r="K111" s="23" t="s">
        <v>1389</v>
      </c>
      <c r="L111" s="23">
        <v>1</v>
      </c>
      <c r="M111" s="23" t="s">
        <v>78</v>
      </c>
      <c r="N111" s="23" t="s">
        <v>78</v>
      </c>
      <c r="O111" s="23">
        <v>0.01</v>
      </c>
      <c r="P111" s="23" t="s">
        <v>79</v>
      </c>
      <c r="Q111" s="23" t="s">
        <v>83</v>
      </c>
      <c r="R111" s="23">
        <v>11100189</v>
      </c>
      <c r="S111" s="24">
        <v>45994</v>
      </c>
      <c r="T111" s="24">
        <v>45882</v>
      </c>
      <c r="U111" s="24" t="s">
        <v>80</v>
      </c>
      <c r="X111" s="24">
        <v>45868</v>
      </c>
      <c r="Y111" s="23">
        <v>1111</v>
      </c>
      <c r="Z111" s="23">
        <v>11100305</v>
      </c>
      <c r="AA111" s="23">
        <v>330103</v>
      </c>
      <c r="AB111" s="24">
        <v>45882</v>
      </c>
    </row>
    <row r="112" spans="2:28" x14ac:dyDescent="0.2">
      <c r="C112" s="23">
        <v>1100559519</v>
      </c>
      <c r="E112" s="23">
        <v>30</v>
      </c>
      <c r="F112" s="23" t="s">
        <v>82</v>
      </c>
      <c r="G112" s="23" t="s">
        <v>139</v>
      </c>
      <c r="H112" s="24">
        <v>46099</v>
      </c>
      <c r="I112" s="24">
        <v>46099</v>
      </c>
      <c r="J112" s="23" t="s">
        <v>1389</v>
      </c>
      <c r="K112" s="23" t="s">
        <v>1389</v>
      </c>
      <c r="L112" s="23">
        <v>1</v>
      </c>
      <c r="M112" s="23" t="s">
        <v>78</v>
      </c>
      <c r="N112" s="23" t="s">
        <v>78</v>
      </c>
      <c r="O112" s="23">
        <v>0.01</v>
      </c>
      <c r="P112" s="23" t="s">
        <v>79</v>
      </c>
      <c r="Q112" s="23" t="s">
        <v>83</v>
      </c>
      <c r="R112" s="23">
        <v>11100189</v>
      </c>
      <c r="S112" s="24">
        <v>45994</v>
      </c>
      <c r="T112" s="24">
        <v>45882</v>
      </c>
      <c r="U112" s="24" t="s">
        <v>80</v>
      </c>
      <c r="X112" s="24">
        <v>45868</v>
      </c>
      <c r="Y112" s="23">
        <v>1111</v>
      </c>
      <c r="Z112" s="23">
        <v>11100305</v>
      </c>
      <c r="AA112" s="23">
        <v>330103</v>
      </c>
      <c r="AB112" s="24">
        <v>45882</v>
      </c>
    </row>
    <row r="113" spans="2:28" x14ac:dyDescent="0.2">
      <c r="B113" s="23" t="s">
        <v>81</v>
      </c>
      <c r="C113" s="23">
        <v>1100559519</v>
      </c>
      <c r="H113" s="24">
        <v>46099</v>
      </c>
      <c r="O113" s="23">
        <v>45290.02</v>
      </c>
      <c r="P113" s="23" t="s">
        <v>79</v>
      </c>
    </row>
    <row r="114" spans="2:28" x14ac:dyDescent="0.2">
      <c r="C114" s="23">
        <v>1100562344</v>
      </c>
      <c r="E114" s="23">
        <v>10</v>
      </c>
      <c r="F114" s="23" t="s">
        <v>1390</v>
      </c>
      <c r="G114" s="23" t="s">
        <v>1391</v>
      </c>
      <c r="H114" s="24">
        <v>46099</v>
      </c>
      <c r="I114" s="24">
        <v>46099</v>
      </c>
      <c r="J114" s="23" t="s">
        <v>1392</v>
      </c>
      <c r="K114" s="23" t="s">
        <v>1392</v>
      </c>
      <c r="L114" s="23">
        <v>1</v>
      </c>
      <c r="M114" s="23" t="s">
        <v>78</v>
      </c>
      <c r="N114" s="23" t="s">
        <v>78</v>
      </c>
      <c r="O114" s="23">
        <v>34333</v>
      </c>
      <c r="P114" s="23" t="s">
        <v>79</v>
      </c>
      <c r="Q114" s="23" t="s">
        <v>83</v>
      </c>
      <c r="R114" s="23">
        <v>11100008</v>
      </c>
      <c r="S114" s="24" t="s">
        <v>80</v>
      </c>
      <c r="T114" s="24">
        <v>45910</v>
      </c>
      <c r="U114" s="24">
        <v>46038</v>
      </c>
      <c r="X114" s="24">
        <v>45902</v>
      </c>
      <c r="Y114" s="23">
        <v>1111</v>
      </c>
      <c r="Z114" s="23">
        <v>11100303</v>
      </c>
      <c r="AA114" s="23">
        <v>330103</v>
      </c>
      <c r="AB114" s="24">
        <v>45910</v>
      </c>
    </row>
    <row r="115" spans="2:28" x14ac:dyDescent="0.2">
      <c r="C115" s="23">
        <v>1100562344</v>
      </c>
      <c r="E115" s="23">
        <v>20</v>
      </c>
      <c r="F115" s="23" t="s">
        <v>1393</v>
      </c>
      <c r="G115" s="23" t="s">
        <v>1391</v>
      </c>
      <c r="H115" s="24">
        <v>46099</v>
      </c>
      <c r="I115" s="24">
        <v>46099</v>
      </c>
      <c r="J115" s="23" t="s">
        <v>1392</v>
      </c>
      <c r="K115" s="23" t="s">
        <v>1392</v>
      </c>
      <c r="L115" s="23">
        <v>1</v>
      </c>
      <c r="M115" s="23" t="s">
        <v>78</v>
      </c>
      <c r="N115" s="23" t="s">
        <v>78</v>
      </c>
      <c r="O115" s="23">
        <v>34333</v>
      </c>
      <c r="P115" s="23" t="s">
        <v>79</v>
      </c>
      <c r="Q115" s="23" t="s">
        <v>83</v>
      </c>
      <c r="R115" s="23">
        <v>11100008</v>
      </c>
      <c r="S115" s="24" t="s">
        <v>80</v>
      </c>
      <c r="T115" s="24">
        <v>45910</v>
      </c>
      <c r="U115" s="24">
        <v>46038</v>
      </c>
      <c r="X115" s="24">
        <v>45902</v>
      </c>
      <c r="Y115" s="23">
        <v>1111</v>
      </c>
      <c r="Z115" s="23">
        <v>11100303</v>
      </c>
      <c r="AA115" s="23">
        <v>330103</v>
      </c>
      <c r="AB115" s="24">
        <v>45910</v>
      </c>
    </row>
    <row r="116" spans="2:28" x14ac:dyDescent="0.2">
      <c r="C116" s="23">
        <v>1100562344</v>
      </c>
      <c r="E116" s="23">
        <v>30</v>
      </c>
      <c r="F116" s="23" t="s">
        <v>1394</v>
      </c>
      <c r="G116" s="23" t="s">
        <v>1395</v>
      </c>
      <c r="H116" s="24">
        <v>46099</v>
      </c>
      <c r="I116" s="24">
        <v>46112</v>
      </c>
      <c r="J116" s="23" t="s">
        <v>1392</v>
      </c>
      <c r="K116" s="23" t="s">
        <v>1392</v>
      </c>
      <c r="L116" s="23">
        <v>1</v>
      </c>
      <c r="M116" s="23" t="s">
        <v>78</v>
      </c>
      <c r="N116" s="23" t="s">
        <v>78</v>
      </c>
      <c r="O116" s="23">
        <v>43753</v>
      </c>
      <c r="P116" s="23" t="s">
        <v>79</v>
      </c>
      <c r="Q116" s="23" t="s">
        <v>83</v>
      </c>
      <c r="R116" s="23">
        <v>11100008</v>
      </c>
      <c r="S116" s="24" t="s">
        <v>80</v>
      </c>
      <c r="T116" s="24">
        <v>45910</v>
      </c>
      <c r="U116" s="24">
        <v>46038</v>
      </c>
      <c r="X116" s="24">
        <v>45902</v>
      </c>
      <c r="Y116" s="23">
        <v>1111</v>
      </c>
      <c r="Z116" s="23">
        <v>11100303</v>
      </c>
      <c r="AA116" s="23">
        <v>330103</v>
      </c>
      <c r="AB116" s="24">
        <v>45910</v>
      </c>
    </row>
    <row r="117" spans="2:28" x14ac:dyDescent="0.2">
      <c r="C117" s="23">
        <v>1100562344</v>
      </c>
      <c r="E117" s="23">
        <v>50</v>
      </c>
      <c r="F117" s="23" t="s">
        <v>84</v>
      </c>
      <c r="G117" s="23" t="s">
        <v>123</v>
      </c>
      <c r="H117" s="24">
        <v>46099</v>
      </c>
      <c r="I117" s="24">
        <v>46112</v>
      </c>
      <c r="J117" s="23" t="s">
        <v>1392</v>
      </c>
      <c r="K117" s="23" t="s">
        <v>1392</v>
      </c>
      <c r="L117" s="23">
        <v>1</v>
      </c>
      <c r="M117" s="23" t="s">
        <v>78</v>
      </c>
      <c r="N117" s="23" t="s">
        <v>78</v>
      </c>
      <c r="O117" s="23">
        <v>0.01</v>
      </c>
      <c r="P117" s="23" t="s">
        <v>79</v>
      </c>
      <c r="Q117" s="23" t="s">
        <v>83</v>
      </c>
      <c r="R117" s="23">
        <v>11100008</v>
      </c>
      <c r="S117" s="24" t="s">
        <v>80</v>
      </c>
      <c r="T117" s="24">
        <v>45910</v>
      </c>
      <c r="U117" s="24">
        <v>46038</v>
      </c>
      <c r="X117" s="24">
        <v>45902</v>
      </c>
      <c r="Y117" s="23">
        <v>1111</v>
      </c>
      <c r="Z117" s="23">
        <v>11100303</v>
      </c>
      <c r="AA117" s="23">
        <v>330103</v>
      </c>
      <c r="AB117" s="24">
        <v>45910</v>
      </c>
    </row>
    <row r="118" spans="2:28" x14ac:dyDescent="0.2">
      <c r="C118" s="23">
        <v>1100562344</v>
      </c>
      <c r="E118" s="23">
        <v>60</v>
      </c>
      <c r="F118" s="23" t="s">
        <v>209</v>
      </c>
      <c r="G118" s="23" t="s">
        <v>210</v>
      </c>
      <c r="H118" s="24">
        <v>46099</v>
      </c>
      <c r="I118" s="24">
        <v>46112</v>
      </c>
      <c r="J118" s="23" t="s">
        <v>1392</v>
      </c>
      <c r="K118" s="23" t="s">
        <v>1392</v>
      </c>
      <c r="L118" s="23">
        <v>1</v>
      </c>
      <c r="M118" s="23" t="s">
        <v>78</v>
      </c>
      <c r="N118" s="23" t="s">
        <v>78</v>
      </c>
      <c r="O118" s="23">
        <v>0.01</v>
      </c>
      <c r="P118" s="23" t="s">
        <v>79</v>
      </c>
      <c r="Q118" s="23" t="s">
        <v>83</v>
      </c>
      <c r="R118" s="23">
        <v>11100008</v>
      </c>
      <c r="S118" s="24" t="s">
        <v>80</v>
      </c>
      <c r="T118" s="24">
        <v>45910</v>
      </c>
      <c r="U118" s="24">
        <v>46038</v>
      </c>
      <c r="X118" s="24">
        <v>45902</v>
      </c>
      <c r="Y118" s="23">
        <v>1111</v>
      </c>
      <c r="Z118" s="23">
        <v>11100303</v>
      </c>
      <c r="AA118" s="23">
        <v>330103</v>
      </c>
      <c r="AB118" s="24">
        <v>45910</v>
      </c>
    </row>
    <row r="119" spans="2:28" x14ac:dyDescent="0.2">
      <c r="B119" s="23" t="s">
        <v>81</v>
      </c>
      <c r="C119" s="23">
        <v>1100562344</v>
      </c>
      <c r="H119" s="24">
        <v>46099</v>
      </c>
      <c r="O119" s="23">
        <v>112419.02</v>
      </c>
      <c r="P119" s="23" t="s">
        <v>79</v>
      </c>
    </row>
    <row r="120" spans="2:28" x14ac:dyDescent="0.2">
      <c r="C120" s="23">
        <v>1100568396</v>
      </c>
      <c r="E120" s="23">
        <v>10</v>
      </c>
      <c r="F120" s="23" t="s">
        <v>1396</v>
      </c>
      <c r="G120" s="23" t="s">
        <v>546</v>
      </c>
      <c r="H120" s="24">
        <v>46100</v>
      </c>
      <c r="I120" s="24">
        <v>46100</v>
      </c>
      <c r="J120" s="23" t="s">
        <v>568</v>
      </c>
      <c r="K120" s="23" t="s">
        <v>568</v>
      </c>
      <c r="L120" s="23">
        <v>1</v>
      </c>
      <c r="M120" s="23" t="s">
        <v>78</v>
      </c>
      <c r="N120" s="23" t="s">
        <v>78</v>
      </c>
      <c r="O120" s="23">
        <v>16118</v>
      </c>
      <c r="P120" s="23" t="s">
        <v>79</v>
      </c>
      <c r="Q120" s="23" t="s">
        <v>83</v>
      </c>
      <c r="R120" s="23">
        <v>11100018</v>
      </c>
      <c r="S120" s="24" t="s">
        <v>80</v>
      </c>
      <c r="T120" s="24">
        <v>45968</v>
      </c>
      <c r="U120" s="24" t="s">
        <v>80</v>
      </c>
      <c r="X120" s="24">
        <v>45961</v>
      </c>
      <c r="Y120" s="23">
        <v>1111</v>
      </c>
      <c r="Z120" s="23">
        <v>11100303</v>
      </c>
      <c r="AA120" s="23">
        <v>391203</v>
      </c>
      <c r="AB120" s="24">
        <v>45968</v>
      </c>
    </row>
    <row r="121" spans="2:28" x14ac:dyDescent="0.2">
      <c r="C121" s="23">
        <v>1100568396</v>
      </c>
      <c r="E121" s="23">
        <v>20</v>
      </c>
      <c r="F121" s="23" t="s">
        <v>84</v>
      </c>
      <c r="G121" s="23" t="s">
        <v>123</v>
      </c>
      <c r="H121" s="24">
        <v>46100</v>
      </c>
      <c r="I121" s="24">
        <v>46100</v>
      </c>
      <c r="J121" s="23" t="s">
        <v>568</v>
      </c>
      <c r="K121" s="23" t="s">
        <v>568</v>
      </c>
      <c r="L121" s="23">
        <v>1</v>
      </c>
      <c r="M121" s="23" t="s">
        <v>78</v>
      </c>
      <c r="N121" s="23" t="s">
        <v>78</v>
      </c>
      <c r="O121" s="23">
        <v>0.01</v>
      </c>
      <c r="P121" s="23" t="s">
        <v>79</v>
      </c>
      <c r="Q121" s="23" t="s">
        <v>83</v>
      </c>
      <c r="R121" s="23">
        <v>11100018</v>
      </c>
      <c r="S121" s="24" t="s">
        <v>80</v>
      </c>
      <c r="T121" s="24">
        <v>45968</v>
      </c>
      <c r="U121" s="24" t="s">
        <v>80</v>
      </c>
      <c r="X121" s="24">
        <v>45961</v>
      </c>
      <c r="Y121" s="23">
        <v>1111</v>
      </c>
      <c r="Z121" s="23">
        <v>11100303</v>
      </c>
      <c r="AA121" s="23">
        <v>391203</v>
      </c>
      <c r="AB121" s="24">
        <v>45968</v>
      </c>
    </row>
    <row r="122" spans="2:28" x14ac:dyDescent="0.2">
      <c r="C122" s="23">
        <v>1100568396</v>
      </c>
      <c r="E122" s="23">
        <v>30</v>
      </c>
      <c r="F122" s="23" t="s">
        <v>209</v>
      </c>
      <c r="G122" s="23" t="s">
        <v>210</v>
      </c>
      <c r="H122" s="24">
        <v>46100</v>
      </c>
      <c r="I122" s="24">
        <v>46100</v>
      </c>
      <c r="J122" s="23" t="s">
        <v>568</v>
      </c>
      <c r="K122" s="23" t="s">
        <v>568</v>
      </c>
      <c r="L122" s="23">
        <v>1</v>
      </c>
      <c r="M122" s="23" t="s">
        <v>78</v>
      </c>
      <c r="N122" s="23" t="s">
        <v>78</v>
      </c>
      <c r="O122" s="23">
        <v>0.01</v>
      </c>
      <c r="P122" s="23" t="s">
        <v>79</v>
      </c>
      <c r="Q122" s="23" t="s">
        <v>83</v>
      </c>
      <c r="R122" s="23">
        <v>11100018</v>
      </c>
      <c r="S122" s="24" t="s">
        <v>80</v>
      </c>
      <c r="T122" s="24">
        <v>45968</v>
      </c>
      <c r="U122" s="24" t="s">
        <v>80</v>
      </c>
      <c r="X122" s="24">
        <v>45961</v>
      </c>
      <c r="Y122" s="23">
        <v>1111</v>
      </c>
      <c r="Z122" s="23">
        <v>11100303</v>
      </c>
      <c r="AA122" s="23">
        <v>391203</v>
      </c>
      <c r="AB122" s="24">
        <v>45968</v>
      </c>
    </row>
    <row r="123" spans="2:28" x14ac:dyDescent="0.2">
      <c r="B123" s="23" t="s">
        <v>81</v>
      </c>
      <c r="C123" s="23">
        <v>1100568396</v>
      </c>
      <c r="H123" s="24">
        <v>46100</v>
      </c>
      <c r="O123" s="23">
        <v>16118.02</v>
      </c>
      <c r="P123" s="23" t="s">
        <v>79</v>
      </c>
    </row>
    <row r="124" spans="2:28" x14ac:dyDescent="0.2">
      <c r="C124" s="23">
        <v>1100570902</v>
      </c>
      <c r="E124" s="23">
        <v>10</v>
      </c>
      <c r="F124" s="23" t="s">
        <v>2326</v>
      </c>
      <c r="G124" s="23" t="s">
        <v>2327</v>
      </c>
      <c r="H124" s="24">
        <v>46100</v>
      </c>
      <c r="I124" s="24">
        <v>46100</v>
      </c>
      <c r="J124" s="23" t="s">
        <v>671</v>
      </c>
      <c r="K124" s="23" t="s">
        <v>671</v>
      </c>
      <c r="L124" s="23">
        <v>1</v>
      </c>
      <c r="M124" s="23" t="s">
        <v>78</v>
      </c>
      <c r="N124" s="23" t="s">
        <v>78</v>
      </c>
      <c r="O124" s="23">
        <v>7330</v>
      </c>
      <c r="P124" s="23" t="s">
        <v>79</v>
      </c>
      <c r="Q124" s="23" t="s">
        <v>83</v>
      </c>
      <c r="R124" s="23">
        <v>11100018</v>
      </c>
      <c r="S124" s="24" t="s">
        <v>80</v>
      </c>
      <c r="T124" s="24">
        <v>46000</v>
      </c>
      <c r="U124" s="24" t="s">
        <v>80</v>
      </c>
      <c r="X124" s="24">
        <v>45987</v>
      </c>
      <c r="Y124" s="23">
        <v>1111</v>
      </c>
      <c r="Z124" s="23">
        <v>11100303</v>
      </c>
      <c r="AA124" s="23">
        <v>331203</v>
      </c>
      <c r="AB124" s="24">
        <v>46000</v>
      </c>
    </row>
    <row r="125" spans="2:28" x14ac:dyDescent="0.2">
      <c r="C125" s="23">
        <v>1100570902</v>
      </c>
      <c r="E125" s="23">
        <v>20</v>
      </c>
      <c r="F125" s="23" t="s">
        <v>84</v>
      </c>
      <c r="G125" s="23" t="s">
        <v>123</v>
      </c>
      <c r="H125" s="24">
        <v>46100</v>
      </c>
      <c r="I125" s="24">
        <v>46100</v>
      </c>
      <c r="J125" s="23" t="s">
        <v>671</v>
      </c>
      <c r="K125" s="23" t="s">
        <v>671</v>
      </c>
      <c r="L125" s="23">
        <v>1</v>
      </c>
      <c r="M125" s="23" t="s">
        <v>78</v>
      </c>
      <c r="N125" s="23" t="s">
        <v>78</v>
      </c>
      <c r="O125" s="23">
        <v>0.01</v>
      </c>
      <c r="P125" s="23" t="s">
        <v>79</v>
      </c>
      <c r="Q125" s="23" t="s">
        <v>83</v>
      </c>
      <c r="R125" s="23">
        <v>11100018</v>
      </c>
      <c r="S125" s="24" t="s">
        <v>80</v>
      </c>
      <c r="T125" s="24">
        <v>46000</v>
      </c>
      <c r="U125" s="24" t="s">
        <v>80</v>
      </c>
      <c r="X125" s="24">
        <v>45987</v>
      </c>
      <c r="Y125" s="23">
        <v>1111</v>
      </c>
      <c r="Z125" s="23">
        <v>11100303</v>
      </c>
      <c r="AA125" s="23">
        <v>331203</v>
      </c>
      <c r="AB125" s="24">
        <v>46000</v>
      </c>
    </row>
    <row r="126" spans="2:28" x14ac:dyDescent="0.2">
      <c r="C126" s="23">
        <v>1100570902</v>
      </c>
      <c r="E126" s="23">
        <v>30</v>
      </c>
      <c r="F126" s="23" t="s">
        <v>82</v>
      </c>
      <c r="G126" s="23" t="s">
        <v>139</v>
      </c>
      <c r="H126" s="24">
        <v>46100</v>
      </c>
      <c r="I126" s="24">
        <v>46100</v>
      </c>
      <c r="J126" s="23" t="s">
        <v>671</v>
      </c>
      <c r="K126" s="23" t="s">
        <v>671</v>
      </c>
      <c r="L126" s="23">
        <v>1</v>
      </c>
      <c r="M126" s="23" t="s">
        <v>78</v>
      </c>
      <c r="N126" s="23" t="s">
        <v>78</v>
      </c>
      <c r="O126" s="23">
        <v>0.01</v>
      </c>
      <c r="P126" s="23" t="s">
        <v>79</v>
      </c>
      <c r="Q126" s="23" t="s">
        <v>83</v>
      </c>
      <c r="R126" s="23">
        <v>11100018</v>
      </c>
      <c r="S126" s="24" t="s">
        <v>80</v>
      </c>
      <c r="T126" s="24">
        <v>46000</v>
      </c>
      <c r="U126" s="24" t="s">
        <v>80</v>
      </c>
      <c r="X126" s="24">
        <v>45987</v>
      </c>
      <c r="Y126" s="23">
        <v>1111</v>
      </c>
      <c r="Z126" s="23">
        <v>11100303</v>
      </c>
      <c r="AA126" s="23">
        <v>331203</v>
      </c>
      <c r="AB126" s="24">
        <v>46000</v>
      </c>
    </row>
    <row r="127" spans="2:28" x14ac:dyDescent="0.2">
      <c r="B127" s="23" t="s">
        <v>81</v>
      </c>
      <c r="C127" s="23">
        <v>1100570902</v>
      </c>
      <c r="H127" s="24">
        <v>46100</v>
      </c>
      <c r="O127" s="23">
        <v>7330.02</v>
      </c>
      <c r="P127" s="23" t="s">
        <v>79</v>
      </c>
    </row>
    <row r="128" spans="2:28" x14ac:dyDescent="0.2">
      <c r="C128" s="23">
        <v>1100571926</v>
      </c>
      <c r="E128" s="23">
        <v>10</v>
      </c>
      <c r="F128" s="23" t="s">
        <v>1397</v>
      </c>
      <c r="G128" s="23" t="s">
        <v>291</v>
      </c>
      <c r="H128" s="24">
        <v>46100</v>
      </c>
      <c r="I128" s="24">
        <v>46100</v>
      </c>
      <c r="J128" s="23" t="s">
        <v>1216</v>
      </c>
      <c r="K128" s="23" t="s">
        <v>1216</v>
      </c>
      <c r="L128" s="23">
        <v>1</v>
      </c>
      <c r="M128" s="23" t="s">
        <v>78</v>
      </c>
      <c r="N128" s="23" t="s">
        <v>78</v>
      </c>
      <c r="O128" s="23">
        <v>7134</v>
      </c>
      <c r="P128" s="23" t="s">
        <v>79</v>
      </c>
      <c r="Q128" s="23" t="s">
        <v>83</v>
      </c>
      <c r="R128" s="23">
        <v>11100299</v>
      </c>
      <c r="S128" s="24">
        <v>46093</v>
      </c>
      <c r="T128" s="24">
        <v>46009</v>
      </c>
      <c r="U128" s="24">
        <v>46100</v>
      </c>
      <c r="X128" s="24">
        <v>46003</v>
      </c>
      <c r="Y128" s="23">
        <v>1111</v>
      </c>
      <c r="Z128" s="23">
        <v>11100002</v>
      </c>
      <c r="AA128" s="23">
        <v>3901</v>
      </c>
      <c r="AB128" s="24">
        <v>46009</v>
      </c>
    </row>
    <row r="129" spans="2:28" x14ac:dyDescent="0.2">
      <c r="C129" s="23">
        <v>1100571926</v>
      </c>
      <c r="E129" s="23">
        <v>20</v>
      </c>
      <c r="F129" s="23" t="s">
        <v>82</v>
      </c>
      <c r="G129" s="23" t="s">
        <v>139</v>
      </c>
      <c r="H129" s="24">
        <v>46100</v>
      </c>
      <c r="I129" s="24">
        <v>46100</v>
      </c>
      <c r="J129" s="23" t="s">
        <v>1216</v>
      </c>
      <c r="K129" s="23" t="s">
        <v>1216</v>
      </c>
      <c r="L129" s="23">
        <v>1</v>
      </c>
      <c r="M129" s="23" t="s">
        <v>78</v>
      </c>
      <c r="N129" s="23" t="s">
        <v>78</v>
      </c>
      <c r="O129" s="23">
        <v>0.01</v>
      </c>
      <c r="P129" s="23" t="s">
        <v>79</v>
      </c>
      <c r="Q129" s="23" t="s">
        <v>83</v>
      </c>
      <c r="R129" s="23">
        <v>11100299</v>
      </c>
      <c r="S129" s="24" t="s">
        <v>80</v>
      </c>
      <c r="T129" s="24">
        <v>46009</v>
      </c>
      <c r="U129" s="24">
        <v>46100</v>
      </c>
      <c r="X129" s="24">
        <v>46003</v>
      </c>
      <c r="Y129" s="23">
        <v>1111</v>
      </c>
      <c r="Z129" s="23">
        <v>11100002</v>
      </c>
      <c r="AA129" s="23">
        <v>3901</v>
      </c>
      <c r="AB129" s="24">
        <v>46009</v>
      </c>
    </row>
    <row r="130" spans="2:28" x14ac:dyDescent="0.2">
      <c r="B130" s="23" t="s">
        <v>81</v>
      </c>
      <c r="C130" s="23">
        <v>1100571926</v>
      </c>
      <c r="H130" s="24">
        <v>46100</v>
      </c>
      <c r="O130" s="23">
        <v>7134.01</v>
      </c>
      <c r="P130" s="23" t="s">
        <v>79</v>
      </c>
    </row>
    <row r="131" spans="2:28" x14ac:dyDescent="0.2">
      <c r="C131" s="23">
        <v>1100575526</v>
      </c>
      <c r="E131" s="23">
        <v>20</v>
      </c>
      <c r="F131" s="23" t="s">
        <v>2324</v>
      </c>
      <c r="G131" s="23" t="s">
        <v>2325</v>
      </c>
      <c r="H131" s="24">
        <v>46100</v>
      </c>
      <c r="I131" s="24">
        <v>46100</v>
      </c>
      <c r="J131" s="23" t="s">
        <v>1724</v>
      </c>
      <c r="K131" s="23" t="s">
        <v>1724</v>
      </c>
      <c r="L131" s="23">
        <v>1</v>
      </c>
      <c r="M131" s="23" t="s">
        <v>566</v>
      </c>
      <c r="N131" s="23" t="s">
        <v>566</v>
      </c>
      <c r="O131" s="23">
        <v>0</v>
      </c>
      <c r="P131" s="23" t="s">
        <v>79</v>
      </c>
      <c r="Q131" s="23" t="s">
        <v>83</v>
      </c>
      <c r="R131" s="23">
        <v>11100018</v>
      </c>
      <c r="S131" s="24" t="s">
        <v>80</v>
      </c>
      <c r="T131" s="24">
        <v>46052</v>
      </c>
      <c r="U131" s="24">
        <v>47116</v>
      </c>
      <c r="X131" s="24">
        <v>46052</v>
      </c>
      <c r="Y131" s="23">
        <v>1111</v>
      </c>
      <c r="Z131" s="23">
        <v>11100303</v>
      </c>
      <c r="AA131" s="23">
        <v>334903</v>
      </c>
      <c r="AB131" s="24">
        <v>46052</v>
      </c>
    </row>
    <row r="132" spans="2:28" x14ac:dyDescent="0.2">
      <c r="B132" s="23" t="s">
        <v>81</v>
      </c>
      <c r="C132" s="23">
        <v>1100575526</v>
      </c>
      <c r="H132" s="24">
        <v>46100</v>
      </c>
      <c r="O132" s="23">
        <v>0</v>
      </c>
      <c r="P132" s="23" t="s">
        <v>79</v>
      </c>
    </row>
    <row r="133" spans="2:28" x14ac:dyDescent="0.2">
      <c r="C133" s="23">
        <v>1100565745</v>
      </c>
      <c r="E133" s="23">
        <v>10</v>
      </c>
      <c r="F133" s="23" t="s">
        <v>1289</v>
      </c>
      <c r="G133" s="23" t="s">
        <v>1290</v>
      </c>
      <c r="H133" s="24">
        <v>46101</v>
      </c>
      <c r="I133" s="24">
        <v>46101</v>
      </c>
      <c r="J133" s="23" t="s">
        <v>1291</v>
      </c>
      <c r="K133" s="23" t="s">
        <v>1291</v>
      </c>
      <c r="L133" s="23">
        <v>1</v>
      </c>
      <c r="M133" s="23" t="s">
        <v>78</v>
      </c>
      <c r="N133" s="23" t="s">
        <v>78</v>
      </c>
      <c r="O133" s="23">
        <v>28757</v>
      </c>
      <c r="P133" s="23" t="s">
        <v>79</v>
      </c>
      <c r="Q133" s="23" t="s">
        <v>83</v>
      </c>
      <c r="R133" s="23">
        <v>11100018</v>
      </c>
      <c r="S133" s="24">
        <v>46021</v>
      </c>
      <c r="T133" s="24">
        <v>45940</v>
      </c>
      <c r="U133" s="24">
        <v>46086</v>
      </c>
      <c r="X133" s="24">
        <v>45931</v>
      </c>
      <c r="Y133" s="23">
        <v>1111</v>
      </c>
      <c r="Z133" s="23">
        <v>11100002</v>
      </c>
      <c r="AA133" s="23">
        <v>3930</v>
      </c>
      <c r="AB133" s="24">
        <v>45940</v>
      </c>
    </row>
    <row r="134" spans="2:28" x14ac:dyDescent="0.2">
      <c r="C134" s="23">
        <v>1100565745</v>
      </c>
      <c r="E134" s="23">
        <v>11</v>
      </c>
      <c r="F134" s="23" t="s">
        <v>1292</v>
      </c>
      <c r="G134" s="23" t="s">
        <v>979</v>
      </c>
      <c r="H134" s="24">
        <v>46101</v>
      </c>
      <c r="I134" s="24">
        <v>46101</v>
      </c>
      <c r="J134" s="23" t="s">
        <v>1291</v>
      </c>
      <c r="K134" s="23" t="s">
        <v>1291</v>
      </c>
      <c r="L134" s="23">
        <v>1</v>
      </c>
      <c r="M134" s="23" t="s">
        <v>78</v>
      </c>
      <c r="N134" s="23" t="s">
        <v>78</v>
      </c>
      <c r="O134" s="23">
        <v>0.01</v>
      </c>
      <c r="P134" s="23" t="s">
        <v>79</v>
      </c>
      <c r="Q134" s="23" t="s">
        <v>83</v>
      </c>
      <c r="R134" s="23">
        <v>11100018</v>
      </c>
      <c r="S134" s="24">
        <v>46021</v>
      </c>
      <c r="T134" s="24">
        <v>45940</v>
      </c>
      <c r="U134" s="24">
        <v>46086</v>
      </c>
      <c r="X134" s="24">
        <v>45931</v>
      </c>
      <c r="Y134" s="23">
        <v>1111</v>
      </c>
      <c r="Z134" s="23">
        <v>11100002</v>
      </c>
      <c r="AA134" s="23">
        <v>3930</v>
      </c>
      <c r="AB134" s="24">
        <v>45940</v>
      </c>
    </row>
    <row r="135" spans="2:28" x14ac:dyDescent="0.2">
      <c r="C135" s="23">
        <v>1100565745</v>
      </c>
      <c r="E135" s="23">
        <v>20</v>
      </c>
      <c r="F135" s="23" t="s">
        <v>1293</v>
      </c>
      <c r="G135" s="23" t="s">
        <v>1294</v>
      </c>
      <c r="H135" s="24">
        <v>46101</v>
      </c>
      <c r="I135" s="24">
        <v>46101</v>
      </c>
      <c r="J135" s="23" t="s">
        <v>1291</v>
      </c>
      <c r="K135" s="23" t="s">
        <v>1291</v>
      </c>
      <c r="L135" s="23">
        <v>1</v>
      </c>
      <c r="M135" s="23" t="s">
        <v>78</v>
      </c>
      <c r="N135" s="23" t="s">
        <v>78</v>
      </c>
      <c r="O135" s="23">
        <v>24758</v>
      </c>
      <c r="P135" s="23" t="s">
        <v>79</v>
      </c>
      <c r="Q135" s="23" t="s">
        <v>83</v>
      </c>
      <c r="R135" s="23">
        <v>11100018</v>
      </c>
      <c r="S135" s="24">
        <v>46021</v>
      </c>
      <c r="T135" s="24">
        <v>45940</v>
      </c>
      <c r="U135" s="24">
        <v>46086</v>
      </c>
      <c r="X135" s="24">
        <v>45931</v>
      </c>
      <c r="Y135" s="23">
        <v>1111</v>
      </c>
      <c r="Z135" s="23">
        <v>11100002</v>
      </c>
      <c r="AA135" s="23">
        <v>3930</v>
      </c>
      <c r="AB135" s="24">
        <v>45940</v>
      </c>
    </row>
    <row r="136" spans="2:28" x14ac:dyDescent="0.2">
      <c r="C136" s="23">
        <v>1100565745</v>
      </c>
      <c r="E136" s="23">
        <v>21</v>
      </c>
      <c r="F136" s="23" t="s">
        <v>1295</v>
      </c>
      <c r="G136" s="23" t="s">
        <v>979</v>
      </c>
      <c r="H136" s="24">
        <v>46101</v>
      </c>
      <c r="I136" s="24">
        <v>46101</v>
      </c>
      <c r="J136" s="23" t="s">
        <v>1291</v>
      </c>
      <c r="K136" s="23" t="s">
        <v>1291</v>
      </c>
      <c r="L136" s="23">
        <v>1</v>
      </c>
      <c r="M136" s="23" t="s">
        <v>78</v>
      </c>
      <c r="N136" s="23" t="s">
        <v>78</v>
      </c>
      <c r="O136" s="23">
        <v>0.01</v>
      </c>
      <c r="P136" s="23" t="s">
        <v>79</v>
      </c>
      <c r="Q136" s="23" t="s">
        <v>83</v>
      </c>
      <c r="R136" s="23">
        <v>11100018</v>
      </c>
      <c r="S136" s="24">
        <v>46021</v>
      </c>
      <c r="T136" s="24">
        <v>45940</v>
      </c>
      <c r="U136" s="24">
        <v>46086</v>
      </c>
      <c r="X136" s="24">
        <v>45931</v>
      </c>
      <c r="Y136" s="23">
        <v>1111</v>
      </c>
      <c r="Z136" s="23">
        <v>11100002</v>
      </c>
      <c r="AA136" s="23">
        <v>3930</v>
      </c>
      <c r="AB136" s="24">
        <v>45940</v>
      </c>
    </row>
    <row r="137" spans="2:28" x14ac:dyDescent="0.2">
      <c r="C137" s="23">
        <v>1100565745</v>
      </c>
      <c r="E137" s="23">
        <v>30</v>
      </c>
      <c r="F137" s="23" t="s">
        <v>293</v>
      </c>
      <c r="G137" s="23" t="s">
        <v>294</v>
      </c>
      <c r="H137" s="24">
        <v>46101</v>
      </c>
      <c r="I137" s="24">
        <v>46752</v>
      </c>
      <c r="J137" s="23" t="s">
        <v>1291</v>
      </c>
      <c r="K137" s="23" t="s">
        <v>1291</v>
      </c>
      <c r="L137" s="23">
        <v>1</v>
      </c>
      <c r="M137" s="23" t="s">
        <v>78</v>
      </c>
      <c r="N137" s="23" t="s">
        <v>78</v>
      </c>
      <c r="O137" s="23">
        <v>26969</v>
      </c>
      <c r="P137" s="23" t="s">
        <v>79</v>
      </c>
      <c r="Q137" s="23" t="s">
        <v>83</v>
      </c>
      <c r="R137" s="23">
        <v>11100018</v>
      </c>
      <c r="S137" s="24" t="s">
        <v>80</v>
      </c>
      <c r="T137" s="24">
        <v>45940</v>
      </c>
      <c r="U137" s="24">
        <v>46752</v>
      </c>
      <c r="X137" s="24">
        <v>45931</v>
      </c>
      <c r="Y137" s="23">
        <v>1111</v>
      </c>
      <c r="Z137" s="23">
        <v>11100002</v>
      </c>
      <c r="AA137" s="23">
        <v>3930</v>
      </c>
      <c r="AB137" s="24">
        <v>45940</v>
      </c>
    </row>
    <row r="138" spans="2:28" x14ac:dyDescent="0.2">
      <c r="C138" s="23">
        <v>1100565745</v>
      </c>
      <c r="E138" s="23">
        <v>40</v>
      </c>
      <c r="F138" s="23" t="s">
        <v>84</v>
      </c>
      <c r="G138" s="23" t="s">
        <v>123</v>
      </c>
      <c r="H138" s="24">
        <v>46101</v>
      </c>
      <c r="I138" s="24">
        <v>46101</v>
      </c>
      <c r="J138" s="23" t="s">
        <v>1291</v>
      </c>
      <c r="K138" s="23" t="s">
        <v>1291</v>
      </c>
      <c r="L138" s="23">
        <v>1</v>
      </c>
      <c r="M138" s="23" t="s">
        <v>78</v>
      </c>
      <c r="N138" s="23" t="s">
        <v>78</v>
      </c>
      <c r="O138" s="23">
        <v>0.01</v>
      </c>
      <c r="P138" s="23" t="s">
        <v>79</v>
      </c>
      <c r="Q138" s="23" t="s">
        <v>83</v>
      </c>
      <c r="R138" s="23">
        <v>11100018</v>
      </c>
      <c r="S138" s="24">
        <v>46021</v>
      </c>
      <c r="T138" s="24">
        <v>45940</v>
      </c>
      <c r="U138" s="24">
        <v>46086</v>
      </c>
      <c r="X138" s="24">
        <v>45931</v>
      </c>
      <c r="Y138" s="23">
        <v>1111</v>
      </c>
      <c r="Z138" s="23">
        <v>11100002</v>
      </c>
      <c r="AA138" s="23">
        <v>3930</v>
      </c>
      <c r="AB138" s="24">
        <v>45940</v>
      </c>
    </row>
    <row r="139" spans="2:28" x14ac:dyDescent="0.2">
      <c r="B139" s="23" t="s">
        <v>81</v>
      </c>
      <c r="C139" s="23">
        <v>1100565745</v>
      </c>
      <c r="H139" s="24">
        <v>46101</v>
      </c>
      <c r="O139" s="23">
        <v>80484.03</v>
      </c>
      <c r="P139" s="23" t="s">
        <v>79</v>
      </c>
    </row>
    <row r="140" spans="2:28" x14ac:dyDescent="0.2">
      <c r="C140" s="23">
        <v>1100567421</v>
      </c>
      <c r="E140" s="23">
        <v>10</v>
      </c>
      <c r="F140" s="23" t="s">
        <v>1296</v>
      </c>
      <c r="G140" s="23" t="s">
        <v>1297</v>
      </c>
      <c r="H140" s="24">
        <v>46101</v>
      </c>
      <c r="I140" s="24">
        <v>46101</v>
      </c>
      <c r="J140" s="23" t="s">
        <v>645</v>
      </c>
      <c r="K140" s="23" t="s">
        <v>645</v>
      </c>
      <c r="L140" s="23">
        <v>1</v>
      </c>
      <c r="M140" s="23" t="s">
        <v>78</v>
      </c>
      <c r="N140" s="23" t="s">
        <v>78</v>
      </c>
      <c r="O140" s="23">
        <v>26188</v>
      </c>
      <c r="P140" s="23" t="s">
        <v>79</v>
      </c>
      <c r="Q140" s="23" t="s">
        <v>83</v>
      </c>
      <c r="R140" s="23">
        <v>11100008</v>
      </c>
      <c r="S140" s="24" t="s">
        <v>80</v>
      </c>
      <c r="T140" s="24">
        <v>45959</v>
      </c>
      <c r="U140" s="24">
        <v>46101</v>
      </c>
      <c r="X140" s="24">
        <v>45940</v>
      </c>
      <c r="Y140" s="23">
        <v>1111</v>
      </c>
      <c r="Z140" s="23">
        <v>11100303</v>
      </c>
      <c r="AA140" s="23">
        <v>330103</v>
      </c>
      <c r="AB140" s="24">
        <v>45959</v>
      </c>
    </row>
    <row r="141" spans="2:28" x14ac:dyDescent="0.2">
      <c r="C141" s="23">
        <v>1100567421</v>
      </c>
      <c r="E141" s="23">
        <v>20</v>
      </c>
      <c r="F141" s="23" t="s">
        <v>1296</v>
      </c>
      <c r="G141" s="23" t="s">
        <v>1297</v>
      </c>
      <c r="H141" s="24">
        <v>46101</v>
      </c>
      <c r="I141" s="24">
        <v>46101</v>
      </c>
      <c r="J141" s="23" t="s">
        <v>645</v>
      </c>
      <c r="K141" s="23" t="s">
        <v>645</v>
      </c>
      <c r="L141" s="23">
        <v>1</v>
      </c>
      <c r="M141" s="23" t="s">
        <v>78</v>
      </c>
      <c r="N141" s="23" t="s">
        <v>78</v>
      </c>
      <c r="O141" s="23">
        <v>35390</v>
      </c>
      <c r="P141" s="23" t="s">
        <v>79</v>
      </c>
      <c r="Q141" s="23" t="s">
        <v>83</v>
      </c>
      <c r="R141" s="23">
        <v>11100008</v>
      </c>
      <c r="S141" s="24" t="s">
        <v>80</v>
      </c>
      <c r="T141" s="24">
        <v>45959</v>
      </c>
      <c r="U141" s="24">
        <v>46101</v>
      </c>
      <c r="X141" s="24">
        <v>45940</v>
      </c>
      <c r="Y141" s="23">
        <v>1111</v>
      </c>
      <c r="Z141" s="23">
        <v>11100303</v>
      </c>
      <c r="AA141" s="23">
        <v>330103</v>
      </c>
      <c r="AB141" s="24">
        <v>45959</v>
      </c>
    </row>
    <row r="142" spans="2:28" x14ac:dyDescent="0.2">
      <c r="C142" s="23">
        <v>1100567421</v>
      </c>
      <c r="E142" s="23">
        <v>30</v>
      </c>
      <c r="F142" s="23" t="s">
        <v>84</v>
      </c>
      <c r="G142" s="23" t="s">
        <v>123</v>
      </c>
      <c r="H142" s="24">
        <v>46101</v>
      </c>
      <c r="I142" s="24">
        <v>46101</v>
      </c>
      <c r="J142" s="23" t="s">
        <v>645</v>
      </c>
      <c r="K142" s="23" t="s">
        <v>645</v>
      </c>
      <c r="L142" s="23">
        <v>1</v>
      </c>
      <c r="M142" s="23" t="s">
        <v>78</v>
      </c>
      <c r="N142" s="23" t="s">
        <v>78</v>
      </c>
      <c r="O142" s="23">
        <v>0.01</v>
      </c>
      <c r="P142" s="23" t="s">
        <v>79</v>
      </c>
      <c r="Q142" s="23" t="s">
        <v>83</v>
      </c>
      <c r="R142" s="23">
        <v>11100008</v>
      </c>
      <c r="S142" s="24" t="s">
        <v>80</v>
      </c>
      <c r="T142" s="24">
        <v>45959</v>
      </c>
      <c r="U142" s="24">
        <v>46101</v>
      </c>
      <c r="X142" s="24">
        <v>45940</v>
      </c>
      <c r="Y142" s="23">
        <v>1111</v>
      </c>
      <c r="Z142" s="23">
        <v>11100303</v>
      </c>
      <c r="AA142" s="23">
        <v>330103</v>
      </c>
      <c r="AB142" s="24">
        <v>45959</v>
      </c>
    </row>
    <row r="143" spans="2:28" x14ac:dyDescent="0.2">
      <c r="B143" s="23" t="s">
        <v>81</v>
      </c>
      <c r="C143" s="23">
        <v>1100567421</v>
      </c>
      <c r="H143" s="24">
        <v>46101</v>
      </c>
      <c r="O143" s="23">
        <v>61578.01</v>
      </c>
      <c r="P143" s="23" t="s">
        <v>79</v>
      </c>
    </row>
    <row r="144" spans="2:28" x14ac:dyDescent="0.2">
      <c r="C144" s="23">
        <v>1100571193</v>
      </c>
      <c r="E144" s="23">
        <v>10</v>
      </c>
      <c r="F144" s="23" t="s">
        <v>1223</v>
      </c>
      <c r="G144" s="23" t="s">
        <v>291</v>
      </c>
      <c r="H144" s="24">
        <v>46101</v>
      </c>
      <c r="I144" s="24">
        <v>46101</v>
      </c>
      <c r="J144" s="23" t="s">
        <v>637</v>
      </c>
      <c r="K144" s="23" t="s">
        <v>637</v>
      </c>
      <c r="L144" s="23">
        <v>4</v>
      </c>
      <c r="M144" s="23" t="s">
        <v>78</v>
      </c>
      <c r="N144" s="23" t="s">
        <v>78</v>
      </c>
      <c r="O144" s="23">
        <v>22144</v>
      </c>
      <c r="P144" s="23" t="s">
        <v>79</v>
      </c>
      <c r="Q144" s="23" t="s">
        <v>83</v>
      </c>
      <c r="R144" s="23">
        <v>11100299</v>
      </c>
      <c r="S144" s="24">
        <v>45694</v>
      </c>
      <c r="T144" s="24">
        <v>46002</v>
      </c>
      <c r="U144" s="24">
        <v>46101</v>
      </c>
      <c r="X144" s="24">
        <v>45995</v>
      </c>
      <c r="Y144" s="23">
        <v>1111</v>
      </c>
      <c r="Z144" s="23">
        <v>11100002</v>
      </c>
      <c r="AA144" s="23">
        <v>3312</v>
      </c>
      <c r="AB144" s="24">
        <v>46002</v>
      </c>
    </row>
    <row r="145" spans="2:28" x14ac:dyDescent="0.2">
      <c r="C145" s="23">
        <v>1100571193</v>
      </c>
      <c r="E145" s="23">
        <v>20</v>
      </c>
      <c r="F145" s="23" t="s">
        <v>82</v>
      </c>
      <c r="G145" s="23" t="s">
        <v>139</v>
      </c>
      <c r="H145" s="24">
        <v>46101</v>
      </c>
      <c r="I145" s="24">
        <v>46101</v>
      </c>
      <c r="J145" s="23" t="s">
        <v>637</v>
      </c>
      <c r="K145" s="23" t="s">
        <v>637</v>
      </c>
      <c r="L145" s="23">
        <v>1</v>
      </c>
      <c r="M145" s="23" t="s">
        <v>78</v>
      </c>
      <c r="N145" s="23" t="s">
        <v>78</v>
      </c>
      <c r="O145" s="23">
        <v>0.01</v>
      </c>
      <c r="P145" s="23" t="s">
        <v>79</v>
      </c>
      <c r="Q145" s="23" t="s">
        <v>83</v>
      </c>
      <c r="R145" s="23">
        <v>11100299</v>
      </c>
      <c r="S145" s="24" t="s">
        <v>80</v>
      </c>
      <c r="T145" s="24">
        <v>46002</v>
      </c>
      <c r="U145" s="24">
        <v>46101</v>
      </c>
      <c r="X145" s="24">
        <v>45995</v>
      </c>
      <c r="Y145" s="23">
        <v>1111</v>
      </c>
      <c r="Z145" s="23">
        <v>11100002</v>
      </c>
      <c r="AA145" s="23">
        <v>3312</v>
      </c>
      <c r="AB145" s="24">
        <v>46002</v>
      </c>
    </row>
    <row r="146" spans="2:28" x14ac:dyDescent="0.2">
      <c r="B146" s="23" t="s">
        <v>81</v>
      </c>
      <c r="C146" s="23">
        <v>1100571193</v>
      </c>
      <c r="H146" s="24">
        <v>46101</v>
      </c>
      <c r="O146" s="23">
        <v>22144.01</v>
      </c>
      <c r="P146" s="23" t="s">
        <v>79</v>
      </c>
    </row>
    <row r="147" spans="2:28" x14ac:dyDescent="0.2">
      <c r="C147" s="23">
        <v>1100570403</v>
      </c>
      <c r="E147" s="23">
        <v>10</v>
      </c>
      <c r="F147" s="23" t="s">
        <v>87</v>
      </c>
      <c r="G147" s="23" t="s">
        <v>1402</v>
      </c>
      <c r="H147" s="24">
        <v>46104</v>
      </c>
      <c r="I147" s="24">
        <v>46104</v>
      </c>
      <c r="J147" s="23" t="s">
        <v>670</v>
      </c>
      <c r="K147" s="23" t="s">
        <v>670</v>
      </c>
      <c r="L147" s="23">
        <v>3</v>
      </c>
      <c r="M147" s="23" t="s">
        <v>78</v>
      </c>
      <c r="N147" s="23" t="s">
        <v>78</v>
      </c>
      <c r="O147" s="23">
        <v>87300</v>
      </c>
      <c r="P147" s="23" t="s">
        <v>79</v>
      </c>
      <c r="Q147" s="23" t="s">
        <v>83</v>
      </c>
      <c r="R147" s="23">
        <v>11100018</v>
      </c>
      <c r="S147" s="24" t="s">
        <v>80</v>
      </c>
      <c r="T147" s="24">
        <v>45994</v>
      </c>
      <c r="U147" s="24">
        <v>46104</v>
      </c>
      <c r="X147" s="24" t="s">
        <v>80</v>
      </c>
      <c r="Y147" s="23">
        <v>1111</v>
      </c>
      <c r="Z147" s="23">
        <v>11100303</v>
      </c>
      <c r="AA147" s="23">
        <v>330103</v>
      </c>
      <c r="AB147" s="24" t="s">
        <v>80</v>
      </c>
    </row>
    <row r="148" spans="2:28" x14ac:dyDescent="0.2">
      <c r="C148" s="23">
        <v>1100570403</v>
      </c>
      <c r="E148" s="23">
        <v>20</v>
      </c>
      <c r="F148" s="23" t="s">
        <v>87</v>
      </c>
      <c r="G148" s="23" t="s">
        <v>1403</v>
      </c>
      <c r="H148" s="24">
        <v>46104</v>
      </c>
      <c r="I148" s="24">
        <v>46104</v>
      </c>
      <c r="J148" s="23" t="s">
        <v>670</v>
      </c>
      <c r="K148" s="23" t="s">
        <v>670</v>
      </c>
      <c r="L148" s="23">
        <v>5</v>
      </c>
      <c r="M148" s="23" t="s">
        <v>78</v>
      </c>
      <c r="N148" s="23" t="s">
        <v>78</v>
      </c>
      <c r="O148" s="23">
        <v>172200</v>
      </c>
      <c r="P148" s="23" t="s">
        <v>79</v>
      </c>
      <c r="Q148" s="23" t="s">
        <v>83</v>
      </c>
      <c r="R148" s="23">
        <v>11100018</v>
      </c>
      <c r="S148" s="24" t="s">
        <v>80</v>
      </c>
      <c r="T148" s="24">
        <v>45994</v>
      </c>
      <c r="U148" s="24">
        <v>46104</v>
      </c>
      <c r="X148" s="24" t="s">
        <v>80</v>
      </c>
      <c r="Y148" s="23">
        <v>1111</v>
      </c>
      <c r="Z148" s="23">
        <v>11100303</v>
      </c>
      <c r="AA148" s="23">
        <v>330103</v>
      </c>
      <c r="AB148" s="24" t="s">
        <v>80</v>
      </c>
    </row>
    <row r="149" spans="2:28" x14ac:dyDescent="0.2">
      <c r="C149" s="23">
        <v>1100570403</v>
      </c>
      <c r="E149" s="23">
        <v>40</v>
      </c>
      <c r="F149" s="23" t="s">
        <v>87</v>
      </c>
      <c r="G149" s="23" t="s">
        <v>1404</v>
      </c>
      <c r="H149" s="24">
        <v>46104</v>
      </c>
      <c r="I149" s="24">
        <v>46104</v>
      </c>
      <c r="J149" s="23" t="s">
        <v>670</v>
      </c>
      <c r="K149" s="23" t="s">
        <v>670</v>
      </c>
      <c r="L149" s="23">
        <v>1</v>
      </c>
      <c r="M149" s="23" t="s">
        <v>78</v>
      </c>
      <c r="N149" s="23" t="s">
        <v>78</v>
      </c>
      <c r="O149" s="23">
        <v>48880</v>
      </c>
      <c r="P149" s="23" t="s">
        <v>79</v>
      </c>
      <c r="Q149" s="23" t="s">
        <v>83</v>
      </c>
      <c r="R149" s="23">
        <v>11100018</v>
      </c>
      <c r="S149" s="24" t="s">
        <v>80</v>
      </c>
      <c r="T149" s="24">
        <v>45994</v>
      </c>
      <c r="U149" s="24">
        <v>46104</v>
      </c>
      <c r="X149" s="24" t="s">
        <v>80</v>
      </c>
      <c r="Y149" s="23">
        <v>1111</v>
      </c>
      <c r="Z149" s="23">
        <v>11100303</v>
      </c>
      <c r="AA149" s="23">
        <v>330103</v>
      </c>
      <c r="AB149" s="24" t="s">
        <v>80</v>
      </c>
    </row>
    <row r="150" spans="2:28" x14ac:dyDescent="0.2">
      <c r="C150" s="23">
        <v>1100570403</v>
      </c>
      <c r="E150" s="23">
        <v>70</v>
      </c>
      <c r="F150" s="23" t="s">
        <v>84</v>
      </c>
      <c r="G150" s="23" t="s">
        <v>123</v>
      </c>
      <c r="H150" s="24">
        <v>46104</v>
      </c>
      <c r="I150" s="24">
        <v>46104</v>
      </c>
      <c r="J150" s="23" t="s">
        <v>670</v>
      </c>
      <c r="K150" s="23" t="s">
        <v>670</v>
      </c>
      <c r="L150" s="23">
        <v>1</v>
      </c>
      <c r="M150" s="23" t="s">
        <v>78</v>
      </c>
      <c r="N150" s="23" t="s">
        <v>78</v>
      </c>
      <c r="O150" s="23">
        <v>0.01</v>
      </c>
      <c r="P150" s="23" t="s">
        <v>79</v>
      </c>
      <c r="Q150" s="23" t="s">
        <v>83</v>
      </c>
      <c r="R150" s="23">
        <v>11100018</v>
      </c>
      <c r="S150" s="24" t="s">
        <v>80</v>
      </c>
      <c r="T150" s="24">
        <v>45994</v>
      </c>
      <c r="U150" s="24">
        <v>46104</v>
      </c>
      <c r="X150" s="24">
        <v>45979</v>
      </c>
      <c r="Y150" s="23">
        <v>1111</v>
      </c>
      <c r="Z150" s="23">
        <v>11100303</v>
      </c>
      <c r="AA150" s="23">
        <v>330103</v>
      </c>
      <c r="AB150" s="24">
        <v>45994</v>
      </c>
    </row>
    <row r="151" spans="2:28" x14ac:dyDescent="0.2">
      <c r="C151" s="23">
        <v>1100570403</v>
      </c>
      <c r="E151" s="23">
        <v>90</v>
      </c>
      <c r="F151" s="23" t="s">
        <v>82</v>
      </c>
      <c r="G151" s="23" t="s">
        <v>139</v>
      </c>
      <c r="H151" s="24">
        <v>46104</v>
      </c>
      <c r="I151" s="24">
        <v>46104</v>
      </c>
      <c r="J151" s="23" t="s">
        <v>670</v>
      </c>
      <c r="K151" s="23" t="s">
        <v>670</v>
      </c>
      <c r="L151" s="23">
        <v>1</v>
      </c>
      <c r="M151" s="23" t="s">
        <v>78</v>
      </c>
      <c r="N151" s="23" t="s">
        <v>78</v>
      </c>
      <c r="O151" s="23">
        <v>0.01</v>
      </c>
      <c r="P151" s="23" t="s">
        <v>79</v>
      </c>
      <c r="Q151" s="23" t="s">
        <v>83</v>
      </c>
      <c r="R151" s="23">
        <v>11100018</v>
      </c>
      <c r="S151" s="24" t="s">
        <v>80</v>
      </c>
      <c r="T151" s="24">
        <v>45994</v>
      </c>
      <c r="U151" s="24">
        <v>46104</v>
      </c>
      <c r="X151" s="24">
        <v>45979</v>
      </c>
      <c r="Y151" s="23">
        <v>1111</v>
      </c>
      <c r="Z151" s="23">
        <v>11100303</v>
      </c>
      <c r="AA151" s="23">
        <v>330103</v>
      </c>
      <c r="AB151" s="24">
        <v>45994</v>
      </c>
    </row>
    <row r="152" spans="2:28" x14ac:dyDescent="0.2">
      <c r="C152" s="23">
        <v>1100570403</v>
      </c>
      <c r="E152" s="23">
        <v>110</v>
      </c>
      <c r="F152" s="23" t="s">
        <v>87</v>
      </c>
      <c r="G152" s="23" t="s">
        <v>1405</v>
      </c>
      <c r="H152" s="24">
        <v>46104</v>
      </c>
      <c r="I152" s="24">
        <v>46104</v>
      </c>
      <c r="J152" s="23" t="s">
        <v>670</v>
      </c>
      <c r="K152" s="23" t="s">
        <v>670</v>
      </c>
      <c r="L152" s="23">
        <v>1</v>
      </c>
      <c r="M152" s="23" t="s">
        <v>78</v>
      </c>
      <c r="N152" s="23" t="s">
        <v>78</v>
      </c>
      <c r="O152" s="23">
        <v>5390</v>
      </c>
      <c r="P152" s="23" t="s">
        <v>79</v>
      </c>
      <c r="Q152" s="23" t="s">
        <v>83</v>
      </c>
      <c r="R152" s="23">
        <v>11100018</v>
      </c>
      <c r="S152" s="24" t="s">
        <v>80</v>
      </c>
      <c r="T152" s="24">
        <v>45994</v>
      </c>
      <c r="U152" s="24">
        <v>46104</v>
      </c>
      <c r="X152" s="24" t="s">
        <v>80</v>
      </c>
      <c r="Y152" s="23">
        <v>1111</v>
      </c>
      <c r="Z152" s="23">
        <v>11100303</v>
      </c>
      <c r="AA152" s="23">
        <v>330103</v>
      </c>
      <c r="AB152" s="24" t="s">
        <v>80</v>
      </c>
    </row>
    <row r="153" spans="2:28" x14ac:dyDescent="0.2">
      <c r="B153" s="23" t="s">
        <v>81</v>
      </c>
      <c r="C153" s="23">
        <v>1100570403</v>
      </c>
      <c r="H153" s="24">
        <v>46104</v>
      </c>
      <c r="O153" s="23">
        <v>313770.02</v>
      </c>
      <c r="P153" s="23" t="s">
        <v>79</v>
      </c>
    </row>
    <row r="154" spans="2:28" x14ac:dyDescent="0.2">
      <c r="C154" s="23">
        <v>1100563262</v>
      </c>
      <c r="E154" s="23">
        <v>10</v>
      </c>
      <c r="F154" s="23" t="s">
        <v>1383</v>
      </c>
      <c r="G154" s="23" t="s">
        <v>1384</v>
      </c>
      <c r="H154" s="24">
        <v>46105</v>
      </c>
      <c r="I154" s="24">
        <v>46105</v>
      </c>
      <c r="J154" s="23" t="s">
        <v>311</v>
      </c>
      <c r="K154" s="23" t="s">
        <v>311</v>
      </c>
      <c r="L154" s="23">
        <v>1</v>
      </c>
      <c r="M154" s="23" t="s">
        <v>78</v>
      </c>
      <c r="N154" s="23" t="s">
        <v>78</v>
      </c>
      <c r="O154" s="23">
        <v>75928</v>
      </c>
      <c r="P154" s="23" t="s">
        <v>79</v>
      </c>
      <c r="Q154" s="23" t="s">
        <v>83</v>
      </c>
      <c r="R154" s="23">
        <v>11100008</v>
      </c>
      <c r="S154" s="24">
        <v>46097</v>
      </c>
      <c r="T154" s="24">
        <v>45917</v>
      </c>
      <c r="U154" s="24">
        <v>46752</v>
      </c>
      <c r="X154" s="24">
        <v>45912</v>
      </c>
      <c r="Y154" s="23">
        <v>1111</v>
      </c>
      <c r="Z154" s="23">
        <v>11100002</v>
      </c>
      <c r="AA154" s="23">
        <v>3902</v>
      </c>
      <c r="AB154" s="24">
        <v>45917</v>
      </c>
    </row>
    <row r="155" spans="2:28" x14ac:dyDescent="0.2">
      <c r="C155" s="23">
        <v>1100563262</v>
      </c>
      <c r="E155" s="23">
        <v>20</v>
      </c>
      <c r="F155" s="23" t="s">
        <v>2328</v>
      </c>
      <c r="G155" s="23" t="s">
        <v>936</v>
      </c>
      <c r="H155" s="24">
        <v>46105</v>
      </c>
      <c r="I155" s="24">
        <v>46105</v>
      </c>
      <c r="J155" s="23" t="s">
        <v>311</v>
      </c>
      <c r="K155" s="23" t="s">
        <v>311</v>
      </c>
      <c r="L155" s="23">
        <v>1</v>
      </c>
      <c r="M155" s="23" t="s">
        <v>78</v>
      </c>
      <c r="N155" s="23" t="s">
        <v>78</v>
      </c>
      <c r="O155" s="23">
        <v>0.01</v>
      </c>
      <c r="P155" s="23" t="s">
        <v>79</v>
      </c>
      <c r="Q155" s="23" t="s">
        <v>83</v>
      </c>
      <c r="R155" s="23">
        <v>11100008</v>
      </c>
      <c r="S155" s="24" t="s">
        <v>80</v>
      </c>
      <c r="T155" s="24">
        <v>45917</v>
      </c>
      <c r="U155" s="24">
        <v>46752</v>
      </c>
      <c r="X155" s="24">
        <v>45912</v>
      </c>
      <c r="Y155" s="23">
        <v>1111</v>
      </c>
      <c r="Z155" s="23">
        <v>11100002</v>
      </c>
      <c r="AA155" s="23">
        <v>3902</v>
      </c>
      <c r="AB155" s="24">
        <v>45917</v>
      </c>
    </row>
    <row r="156" spans="2:28" x14ac:dyDescent="0.2">
      <c r="C156" s="23">
        <v>1100563262</v>
      </c>
      <c r="E156" s="23">
        <v>30</v>
      </c>
      <c r="F156" s="23" t="s">
        <v>88</v>
      </c>
      <c r="G156" s="23" t="s">
        <v>158</v>
      </c>
      <c r="H156" s="24">
        <v>46105</v>
      </c>
      <c r="I156" s="24">
        <v>46105</v>
      </c>
      <c r="J156" s="23" t="s">
        <v>311</v>
      </c>
      <c r="K156" s="23" t="s">
        <v>311</v>
      </c>
      <c r="L156" s="23">
        <v>1</v>
      </c>
      <c r="M156" s="23" t="s">
        <v>78</v>
      </c>
      <c r="N156" s="23" t="s">
        <v>78</v>
      </c>
      <c r="O156" s="23">
        <v>0.01</v>
      </c>
      <c r="P156" s="23" t="s">
        <v>79</v>
      </c>
      <c r="Q156" s="23" t="s">
        <v>83</v>
      </c>
      <c r="R156" s="23">
        <v>11100008</v>
      </c>
      <c r="S156" s="24" t="s">
        <v>80</v>
      </c>
      <c r="T156" s="24">
        <v>45917</v>
      </c>
      <c r="U156" s="24">
        <v>46752</v>
      </c>
      <c r="X156" s="24">
        <v>45912</v>
      </c>
      <c r="Y156" s="23">
        <v>1111</v>
      </c>
      <c r="Z156" s="23">
        <v>11100002</v>
      </c>
      <c r="AA156" s="23">
        <v>3902</v>
      </c>
      <c r="AB156" s="24">
        <v>45917</v>
      </c>
    </row>
    <row r="157" spans="2:28" x14ac:dyDescent="0.2">
      <c r="C157" s="23">
        <v>1100563262</v>
      </c>
      <c r="E157" s="23">
        <v>40</v>
      </c>
      <c r="F157" s="23" t="s">
        <v>84</v>
      </c>
      <c r="G157" s="23" t="s">
        <v>123</v>
      </c>
      <c r="H157" s="24">
        <v>46105</v>
      </c>
      <c r="I157" s="24">
        <v>46105</v>
      </c>
      <c r="J157" s="23" t="s">
        <v>311</v>
      </c>
      <c r="K157" s="23" t="s">
        <v>311</v>
      </c>
      <c r="L157" s="23">
        <v>1</v>
      </c>
      <c r="M157" s="23" t="s">
        <v>78</v>
      </c>
      <c r="N157" s="23" t="s">
        <v>78</v>
      </c>
      <c r="O157" s="23">
        <v>0.01</v>
      </c>
      <c r="P157" s="23" t="s">
        <v>79</v>
      </c>
      <c r="Q157" s="23" t="s">
        <v>83</v>
      </c>
      <c r="R157" s="23">
        <v>11100008</v>
      </c>
      <c r="S157" s="24" t="s">
        <v>80</v>
      </c>
      <c r="T157" s="24">
        <v>45917</v>
      </c>
      <c r="U157" s="24">
        <v>46752</v>
      </c>
      <c r="X157" s="24">
        <v>45912</v>
      </c>
      <c r="Y157" s="23">
        <v>1111</v>
      </c>
      <c r="Z157" s="23">
        <v>11100002</v>
      </c>
      <c r="AA157" s="23">
        <v>3902</v>
      </c>
      <c r="AB157" s="24">
        <v>45917</v>
      </c>
    </row>
    <row r="158" spans="2:28" x14ac:dyDescent="0.2">
      <c r="B158" s="23" t="s">
        <v>81</v>
      </c>
      <c r="C158" s="23">
        <v>1100563262</v>
      </c>
      <c r="H158" s="24">
        <v>46105</v>
      </c>
      <c r="O158" s="23">
        <v>75928.03</v>
      </c>
      <c r="P158" s="23" t="s">
        <v>79</v>
      </c>
    </row>
    <row r="159" spans="2:28" x14ac:dyDescent="0.2">
      <c r="C159" s="23">
        <v>1100551979</v>
      </c>
      <c r="E159" s="23">
        <v>10</v>
      </c>
      <c r="F159" s="23" t="s">
        <v>1385</v>
      </c>
      <c r="G159" s="23" t="s">
        <v>1386</v>
      </c>
      <c r="H159" s="24">
        <v>46106</v>
      </c>
      <c r="I159" s="24">
        <v>46106</v>
      </c>
      <c r="J159" s="23" t="s">
        <v>1254</v>
      </c>
      <c r="K159" s="23" t="s">
        <v>1254</v>
      </c>
      <c r="L159" s="23">
        <v>1</v>
      </c>
      <c r="M159" s="23" t="s">
        <v>78</v>
      </c>
      <c r="N159" s="23" t="s">
        <v>78</v>
      </c>
      <c r="O159" s="23">
        <v>67485</v>
      </c>
      <c r="P159" s="23" t="s">
        <v>79</v>
      </c>
      <c r="Q159" s="23" t="s">
        <v>83</v>
      </c>
      <c r="R159" s="23">
        <v>11100189</v>
      </c>
      <c r="S159" s="24">
        <v>45894</v>
      </c>
      <c r="T159" s="24">
        <v>45804</v>
      </c>
      <c r="U159" s="24">
        <v>46106</v>
      </c>
      <c r="X159" s="24">
        <v>45800</v>
      </c>
      <c r="Y159" s="23">
        <v>1111</v>
      </c>
      <c r="Z159" s="23">
        <v>11100306</v>
      </c>
      <c r="AA159" s="23">
        <v>331203</v>
      </c>
      <c r="AB159" s="24">
        <v>45804</v>
      </c>
    </row>
    <row r="160" spans="2:28" x14ac:dyDescent="0.2">
      <c r="C160" s="23">
        <v>1100551979</v>
      </c>
      <c r="E160" s="23">
        <v>20</v>
      </c>
      <c r="F160" s="23" t="s">
        <v>84</v>
      </c>
      <c r="G160" s="23" t="s">
        <v>123</v>
      </c>
      <c r="H160" s="24">
        <v>46106</v>
      </c>
      <c r="I160" s="24">
        <v>46106</v>
      </c>
      <c r="J160" s="23" t="s">
        <v>1254</v>
      </c>
      <c r="K160" s="23" t="s">
        <v>1254</v>
      </c>
      <c r="L160" s="23">
        <v>1</v>
      </c>
      <c r="M160" s="23" t="s">
        <v>78</v>
      </c>
      <c r="N160" s="23" t="s">
        <v>78</v>
      </c>
      <c r="O160" s="23">
        <v>0.01</v>
      </c>
      <c r="P160" s="23" t="s">
        <v>79</v>
      </c>
      <c r="Q160" s="23" t="s">
        <v>83</v>
      </c>
      <c r="R160" s="23">
        <v>11100189</v>
      </c>
      <c r="S160" s="24">
        <v>45894</v>
      </c>
      <c r="T160" s="24">
        <v>45804</v>
      </c>
      <c r="U160" s="24">
        <v>46106</v>
      </c>
      <c r="X160" s="24">
        <v>45800</v>
      </c>
      <c r="Y160" s="23">
        <v>1111</v>
      </c>
      <c r="Z160" s="23">
        <v>11100306</v>
      </c>
      <c r="AA160" s="23">
        <v>331203</v>
      </c>
      <c r="AB160" s="24">
        <v>45804</v>
      </c>
    </row>
    <row r="161" spans="2:28" x14ac:dyDescent="0.2">
      <c r="C161" s="23">
        <v>1100551979</v>
      </c>
      <c r="E161" s="23">
        <v>30</v>
      </c>
      <c r="F161" s="23" t="s">
        <v>82</v>
      </c>
      <c r="G161" s="23" t="s">
        <v>139</v>
      </c>
      <c r="H161" s="24">
        <v>46106</v>
      </c>
      <c r="I161" s="24">
        <v>46106</v>
      </c>
      <c r="J161" s="23" t="s">
        <v>1254</v>
      </c>
      <c r="K161" s="23" t="s">
        <v>1254</v>
      </c>
      <c r="L161" s="23">
        <v>1</v>
      </c>
      <c r="M161" s="23" t="s">
        <v>78</v>
      </c>
      <c r="N161" s="23" t="s">
        <v>78</v>
      </c>
      <c r="O161" s="23">
        <v>0.01</v>
      </c>
      <c r="P161" s="23" t="s">
        <v>79</v>
      </c>
      <c r="Q161" s="23" t="s">
        <v>83</v>
      </c>
      <c r="R161" s="23">
        <v>11100189</v>
      </c>
      <c r="S161" s="24">
        <v>45894</v>
      </c>
      <c r="T161" s="24">
        <v>45804</v>
      </c>
      <c r="U161" s="24">
        <v>46106</v>
      </c>
      <c r="X161" s="24">
        <v>45800</v>
      </c>
      <c r="Y161" s="23">
        <v>1111</v>
      </c>
      <c r="Z161" s="23">
        <v>11100306</v>
      </c>
      <c r="AA161" s="23">
        <v>331203</v>
      </c>
      <c r="AB161" s="24">
        <v>45804</v>
      </c>
    </row>
    <row r="162" spans="2:28" x14ac:dyDescent="0.2">
      <c r="B162" s="23" t="s">
        <v>81</v>
      </c>
      <c r="C162" s="23">
        <v>1100551979</v>
      </c>
      <c r="H162" s="24">
        <v>46106</v>
      </c>
      <c r="O162" s="23">
        <v>67485.02</v>
      </c>
      <c r="P162" s="23" t="s">
        <v>79</v>
      </c>
    </row>
    <row r="163" spans="2:28" x14ac:dyDescent="0.2">
      <c r="C163" s="23">
        <v>1100569526</v>
      </c>
      <c r="E163" s="23">
        <v>10</v>
      </c>
      <c r="F163" s="23" t="s">
        <v>1409</v>
      </c>
      <c r="G163" s="23" t="s">
        <v>972</v>
      </c>
      <c r="H163" s="24">
        <v>46106</v>
      </c>
      <c r="I163" s="24">
        <v>46106</v>
      </c>
      <c r="J163" s="23" t="s">
        <v>1410</v>
      </c>
      <c r="K163" s="23" t="s">
        <v>1410</v>
      </c>
      <c r="L163" s="23">
        <v>3</v>
      </c>
      <c r="M163" s="23" t="s">
        <v>78</v>
      </c>
      <c r="N163" s="23" t="s">
        <v>78</v>
      </c>
      <c r="O163" s="23">
        <v>36163.65</v>
      </c>
      <c r="P163" s="23" t="s">
        <v>79</v>
      </c>
      <c r="Q163" s="23" t="s">
        <v>83</v>
      </c>
      <c r="R163" s="23">
        <v>11100299</v>
      </c>
      <c r="S163" s="24">
        <v>46106</v>
      </c>
      <c r="T163" s="24">
        <v>45981</v>
      </c>
      <c r="U163" s="24">
        <v>46106</v>
      </c>
      <c r="X163" s="24">
        <v>45978</v>
      </c>
      <c r="Y163" s="23">
        <v>1111</v>
      </c>
      <c r="Z163" s="23">
        <v>11100002</v>
      </c>
      <c r="AA163" s="23">
        <v>5112</v>
      </c>
      <c r="AB163" s="24">
        <v>45981</v>
      </c>
    </row>
    <row r="164" spans="2:28" x14ac:dyDescent="0.2">
      <c r="C164" s="23">
        <v>1100569526</v>
      </c>
      <c r="E164" s="23">
        <v>20</v>
      </c>
      <c r="F164" s="23" t="s">
        <v>84</v>
      </c>
      <c r="G164" s="23" t="s">
        <v>123</v>
      </c>
      <c r="H164" s="24">
        <v>46106</v>
      </c>
      <c r="I164" s="24">
        <v>46106</v>
      </c>
      <c r="J164" s="23" t="s">
        <v>1410</v>
      </c>
      <c r="K164" s="23" t="s">
        <v>1410</v>
      </c>
      <c r="L164" s="23">
        <v>1</v>
      </c>
      <c r="M164" s="23" t="s">
        <v>78</v>
      </c>
      <c r="N164" s="23" t="s">
        <v>78</v>
      </c>
      <c r="O164" s="23">
        <v>0.01</v>
      </c>
      <c r="P164" s="23" t="s">
        <v>79</v>
      </c>
      <c r="Q164" s="23" t="s">
        <v>83</v>
      </c>
      <c r="R164" s="23">
        <v>11100299</v>
      </c>
      <c r="S164" s="24" t="s">
        <v>80</v>
      </c>
      <c r="T164" s="24">
        <v>45981</v>
      </c>
      <c r="U164" s="24">
        <v>46106</v>
      </c>
      <c r="X164" s="24">
        <v>45978</v>
      </c>
      <c r="Y164" s="23">
        <v>1111</v>
      </c>
      <c r="Z164" s="23">
        <v>11100002</v>
      </c>
      <c r="AA164" s="23">
        <v>5112</v>
      </c>
      <c r="AB164" s="24">
        <v>45981</v>
      </c>
    </row>
    <row r="165" spans="2:28" x14ac:dyDescent="0.2">
      <c r="C165" s="23">
        <v>1100569526</v>
      </c>
      <c r="E165" s="23">
        <v>30</v>
      </c>
      <c r="F165" s="23" t="s">
        <v>82</v>
      </c>
      <c r="G165" s="23" t="s">
        <v>139</v>
      </c>
      <c r="H165" s="24">
        <v>46106</v>
      </c>
      <c r="I165" s="24">
        <v>46106</v>
      </c>
      <c r="J165" s="23" t="s">
        <v>1410</v>
      </c>
      <c r="K165" s="23" t="s">
        <v>1410</v>
      </c>
      <c r="L165" s="23">
        <v>1</v>
      </c>
      <c r="M165" s="23" t="s">
        <v>78</v>
      </c>
      <c r="N165" s="23" t="s">
        <v>78</v>
      </c>
      <c r="O165" s="23">
        <v>0.01</v>
      </c>
      <c r="P165" s="23" t="s">
        <v>79</v>
      </c>
      <c r="Q165" s="23" t="s">
        <v>83</v>
      </c>
      <c r="R165" s="23">
        <v>11100299</v>
      </c>
      <c r="S165" s="24" t="s">
        <v>80</v>
      </c>
      <c r="T165" s="24">
        <v>45981</v>
      </c>
      <c r="U165" s="24">
        <v>46106</v>
      </c>
      <c r="X165" s="24">
        <v>45978</v>
      </c>
      <c r="Y165" s="23">
        <v>1111</v>
      </c>
      <c r="Z165" s="23">
        <v>11100002</v>
      </c>
      <c r="AA165" s="23">
        <v>5112</v>
      </c>
      <c r="AB165" s="24">
        <v>45981</v>
      </c>
    </row>
    <row r="166" spans="2:28" x14ac:dyDescent="0.2">
      <c r="B166" s="23" t="s">
        <v>81</v>
      </c>
      <c r="C166" s="23">
        <v>1100569526</v>
      </c>
      <c r="H166" s="24">
        <v>46106</v>
      </c>
      <c r="O166" s="23">
        <v>36163.67</v>
      </c>
      <c r="P166" s="23" t="s">
        <v>79</v>
      </c>
    </row>
    <row r="167" spans="2:28" x14ac:dyDescent="0.2">
      <c r="C167" s="23">
        <v>1100549804</v>
      </c>
      <c r="E167" s="23">
        <v>10</v>
      </c>
      <c r="F167" s="23" t="s">
        <v>567</v>
      </c>
      <c r="G167" s="23" t="s">
        <v>364</v>
      </c>
      <c r="H167" s="24">
        <v>46108</v>
      </c>
      <c r="I167" s="24">
        <v>46108</v>
      </c>
      <c r="J167" s="23" t="s">
        <v>968</v>
      </c>
      <c r="K167" s="23" t="s">
        <v>968</v>
      </c>
      <c r="L167" s="23">
        <v>1</v>
      </c>
      <c r="M167" s="23" t="s">
        <v>78</v>
      </c>
      <c r="N167" s="23" t="s">
        <v>78</v>
      </c>
      <c r="O167" s="23">
        <v>54435</v>
      </c>
      <c r="P167" s="23" t="s">
        <v>79</v>
      </c>
      <c r="Q167" s="23" t="s">
        <v>83</v>
      </c>
      <c r="R167" s="23">
        <v>11100008</v>
      </c>
      <c r="S167" s="24">
        <v>45915</v>
      </c>
      <c r="T167" s="24">
        <v>45778</v>
      </c>
      <c r="U167" s="24" t="s">
        <v>80</v>
      </c>
      <c r="X167" s="24">
        <v>45775</v>
      </c>
      <c r="Y167" s="23">
        <v>1111</v>
      </c>
      <c r="Z167" s="23">
        <v>11100002</v>
      </c>
      <c r="AA167" s="23">
        <v>3301</v>
      </c>
      <c r="AB167" s="24">
        <v>45778</v>
      </c>
    </row>
    <row r="168" spans="2:28" x14ac:dyDescent="0.2">
      <c r="C168" s="23">
        <v>1100549804</v>
      </c>
      <c r="E168" s="23">
        <v>21</v>
      </c>
      <c r="F168" s="23" t="s">
        <v>989</v>
      </c>
      <c r="G168" s="23" t="s">
        <v>990</v>
      </c>
      <c r="H168" s="24">
        <v>46108</v>
      </c>
      <c r="I168" s="24">
        <v>46108</v>
      </c>
      <c r="J168" s="23" t="s">
        <v>968</v>
      </c>
      <c r="K168" s="23" t="s">
        <v>968</v>
      </c>
      <c r="L168" s="23">
        <v>1</v>
      </c>
      <c r="M168" s="23" t="s">
        <v>78</v>
      </c>
      <c r="N168" s="23" t="s">
        <v>78</v>
      </c>
      <c r="O168" s="23">
        <v>65515</v>
      </c>
      <c r="P168" s="23" t="s">
        <v>79</v>
      </c>
      <c r="Q168" s="23" t="s">
        <v>83</v>
      </c>
      <c r="R168" s="23">
        <v>11100008</v>
      </c>
      <c r="S168" s="24">
        <v>45915</v>
      </c>
      <c r="T168" s="24">
        <v>45778</v>
      </c>
      <c r="U168" s="24" t="s">
        <v>80</v>
      </c>
      <c r="X168" s="24">
        <v>45775</v>
      </c>
      <c r="Y168" s="23">
        <v>1111</v>
      </c>
      <c r="Z168" s="23">
        <v>11100002</v>
      </c>
      <c r="AA168" s="23">
        <v>3301</v>
      </c>
      <c r="AB168" s="24">
        <v>45778</v>
      </c>
    </row>
    <row r="169" spans="2:28" x14ac:dyDescent="0.2">
      <c r="C169" s="23">
        <v>1100549804</v>
      </c>
      <c r="E169" s="23">
        <v>22</v>
      </c>
      <c r="F169" s="23" t="s">
        <v>1298</v>
      </c>
      <c r="G169" s="23" t="s">
        <v>990</v>
      </c>
      <c r="H169" s="24">
        <v>46108</v>
      </c>
      <c r="I169" s="24">
        <v>46108</v>
      </c>
      <c r="J169" s="23" t="s">
        <v>968</v>
      </c>
      <c r="K169" s="23" t="s">
        <v>968</v>
      </c>
      <c r="L169" s="23">
        <v>1</v>
      </c>
      <c r="M169" s="23" t="s">
        <v>78</v>
      </c>
      <c r="N169" s="23" t="s">
        <v>78</v>
      </c>
      <c r="O169" s="23">
        <v>65515</v>
      </c>
      <c r="P169" s="23" t="s">
        <v>79</v>
      </c>
      <c r="Q169" s="23" t="s">
        <v>83</v>
      </c>
      <c r="R169" s="23">
        <v>11100008</v>
      </c>
      <c r="S169" s="24">
        <v>45915</v>
      </c>
      <c r="T169" s="24">
        <v>45778</v>
      </c>
      <c r="U169" s="24" t="s">
        <v>80</v>
      </c>
      <c r="X169" s="24">
        <v>45775</v>
      </c>
      <c r="Y169" s="23">
        <v>1111</v>
      </c>
      <c r="Z169" s="23">
        <v>11100002</v>
      </c>
      <c r="AA169" s="23">
        <v>3301</v>
      </c>
      <c r="AB169" s="24">
        <v>45778</v>
      </c>
    </row>
    <row r="170" spans="2:28" x14ac:dyDescent="0.2">
      <c r="C170" s="23">
        <v>1100549804</v>
      </c>
      <c r="E170" s="23">
        <v>30</v>
      </c>
      <c r="F170" s="23" t="s">
        <v>84</v>
      </c>
      <c r="G170" s="23" t="s">
        <v>123</v>
      </c>
      <c r="H170" s="24">
        <v>46108</v>
      </c>
      <c r="I170" s="24">
        <v>46108</v>
      </c>
      <c r="J170" s="23" t="s">
        <v>968</v>
      </c>
      <c r="K170" s="23" t="s">
        <v>968</v>
      </c>
      <c r="L170" s="23">
        <v>1</v>
      </c>
      <c r="M170" s="23" t="s">
        <v>78</v>
      </c>
      <c r="N170" s="23" t="s">
        <v>78</v>
      </c>
      <c r="O170" s="23">
        <v>0.01</v>
      </c>
      <c r="P170" s="23" t="s">
        <v>79</v>
      </c>
      <c r="Q170" s="23" t="s">
        <v>83</v>
      </c>
      <c r="R170" s="23">
        <v>11100008</v>
      </c>
      <c r="S170" s="24" t="s">
        <v>80</v>
      </c>
      <c r="T170" s="24">
        <v>45778</v>
      </c>
      <c r="U170" s="24" t="s">
        <v>80</v>
      </c>
      <c r="X170" s="24">
        <v>45775</v>
      </c>
      <c r="Y170" s="23">
        <v>1111</v>
      </c>
      <c r="Z170" s="23">
        <v>11100002</v>
      </c>
      <c r="AA170" s="23">
        <v>3301</v>
      </c>
      <c r="AB170" s="24">
        <v>45778</v>
      </c>
    </row>
    <row r="171" spans="2:28" x14ac:dyDescent="0.2">
      <c r="C171" s="23">
        <v>1100549804</v>
      </c>
      <c r="E171" s="23">
        <v>40</v>
      </c>
      <c r="F171" s="23" t="s">
        <v>365</v>
      </c>
      <c r="G171" s="23" t="s">
        <v>366</v>
      </c>
      <c r="H171" s="24">
        <v>46108</v>
      </c>
      <c r="I171" s="24">
        <v>46108</v>
      </c>
      <c r="J171" s="23" t="s">
        <v>968</v>
      </c>
      <c r="K171" s="23" t="s">
        <v>968</v>
      </c>
      <c r="L171" s="23">
        <v>1</v>
      </c>
      <c r="M171" s="23" t="s">
        <v>78</v>
      </c>
      <c r="N171" s="23" t="s">
        <v>78</v>
      </c>
      <c r="O171" s="23">
        <v>0.01</v>
      </c>
      <c r="P171" s="23" t="s">
        <v>79</v>
      </c>
      <c r="Q171" s="23" t="s">
        <v>83</v>
      </c>
      <c r="R171" s="23">
        <v>11100008</v>
      </c>
      <c r="S171" s="24" t="s">
        <v>80</v>
      </c>
      <c r="T171" s="24">
        <v>45778</v>
      </c>
      <c r="U171" s="24" t="s">
        <v>80</v>
      </c>
      <c r="X171" s="24">
        <v>45775</v>
      </c>
      <c r="Y171" s="23">
        <v>1111</v>
      </c>
      <c r="Z171" s="23">
        <v>11100002</v>
      </c>
      <c r="AA171" s="23">
        <v>3301</v>
      </c>
      <c r="AB171" s="24">
        <v>45778</v>
      </c>
    </row>
    <row r="172" spans="2:28" x14ac:dyDescent="0.2">
      <c r="C172" s="23">
        <v>1100549804</v>
      </c>
      <c r="E172" s="23">
        <v>50</v>
      </c>
      <c r="F172" s="23" t="s">
        <v>88</v>
      </c>
      <c r="G172" s="23" t="s">
        <v>158</v>
      </c>
      <c r="H172" s="24">
        <v>46108</v>
      </c>
      <c r="I172" s="24">
        <v>46108</v>
      </c>
      <c r="J172" s="23" t="s">
        <v>968</v>
      </c>
      <c r="K172" s="23" t="s">
        <v>968</v>
      </c>
      <c r="L172" s="23">
        <v>1</v>
      </c>
      <c r="M172" s="23" t="s">
        <v>78</v>
      </c>
      <c r="N172" s="23" t="s">
        <v>78</v>
      </c>
      <c r="O172" s="23">
        <v>0.01</v>
      </c>
      <c r="P172" s="23" t="s">
        <v>79</v>
      </c>
      <c r="Q172" s="23" t="s">
        <v>83</v>
      </c>
      <c r="R172" s="23">
        <v>11100008</v>
      </c>
      <c r="S172" s="24" t="s">
        <v>80</v>
      </c>
      <c r="T172" s="24">
        <v>45778</v>
      </c>
      <c r="U172" s="24" t="s">
        <v>80</v>
      </c>
      <c r="X172" s="24">
        <v>45775</v>
      </c>
      <c r="Y172" s="23">
        <v>1111</v>
      </c>
      <c r="Z172" s="23">
        <v>11100002</v>
      </c>
      <c r="AA172" s="23">
        <v>3301</v>
      </c>
      <c r="AB172" s="24">
        <v>45778</v>
      </c>
    </row>
    <row r="173" spans="2:28" x14ac:dyDescent="0.2">
      <c r="C173" s="23">
        <v>1100549804</v>
      </c>
      <c r="E173" s="23">
        <v>60</v>
      </c>
      <c r="F173" s="23" t="s">
        <v>306</v>
      </c>
      <c r="G173" s="23" t="s">
        <v>422</v>
      </c>
      <c r="H173" s="24">
        <v>46108</v>
      </c>
      <c r="I173" s="24">
        <v>46108</v>
      </c>
      <c r="J173" s="23" t="s">
        <v>968</v>
      </c>
      <c r="K173" s="23" t="s">
        <v>968</v>
      </c>
      <c r="L173" s="23">
        <v>1</v>
      </c>
      <c r="M173" s="23" t="s">
        <v>78</v>
      </c>
      <c r="N173" s="23" t="s">
        <v>78</v>
      </c>
      <c r="O173" s="23">
        <v>0.01</v>
      </c>
      <c r="P173" s="23" t="s">
        <v>79</v>
      </c>
      <c r="Q173" s="23" t="s">
        <v>83</v>
      </c>
      <c r="R173" s="23">
        <v>11100008</v>
      </c>
      <c r="S173" s="24" t="s">
        <v>80</v>
      </c>
      <c r="T173" s="24">
        <v>45778</v>
      </c>
      <c r="U173" s="24" t="s">
        <v>80</v>
      </c>
      <c r="X173" s="24">
        <v>45775</v>
      </c>
      <c r="Y173" s="23">
        <v>1111</v>
      </c>
      <c r="Z173" s="23">
        <v>11100002</v>
      </c>
      <c r="AA173" s="23">
        <v>3301</v>
      </c>
      <c r="AB173" s="24">
        <v>45778</v>
      </c>
    </row>
    <row r="174" spans="2:28" x14ac:dyDescent="0.2">
      <c r="B174" s="23" t="s">
        <v>81</v>
      </c>
      <c r="C174" s="23">
        <v>1100549804</v>
      </c>
      <c r="H174" s="24">
        <v>46108</v>
      </c>
      <c r="O174" s="23">
        <v>185465.04</v>
      </c>
      <c r="P174" s="23" t="s">
        <v>79</v>
      </c>
    </row>
    <row r="175" spans="2:28" x14ac:dyDescent="0.2">
      <c r="C175" s="23">
        <v>1100556467</v>
      </c>
      <c r="E175" s="23">
        <v>50</v>
      </c>
      <c r="F175" s="23" t="s">
        <v>84</v>
      </c>
      <c r="G175" s="23" t="s">
        <v>123</v>
      </c>
      <c r="H175" s="24">
        <v>46108</v>
      </c>
      <c r="I175" s="24">
        <v>46108</v>
      </c>
      <c r="J175" s="23" t="s">
        <v>983</v>
      </c>
      <c r="K175" s="23" t="s">
        <v>983</v>
      </c>
      <c r="L175" s="23">
        <v>1</v>
      </c>
      <c r="M175" s="23" t="s">
        <v>78</v>
      </c>
      <c r="N175" s="23" t="s">
        <v>78</v>
      </c>
      <c r="O175" s="23">
        <v>0.01</v>
      </c>
      <c r="P175" s="23" t="s">
        <v>79</v>
      </c>
      <c r="Q175" s="23" t="s">
        <v>83</v>
      </c>
      <c r="R175" s="23">
        <v>11100189</v>
      </c>
      <c r="S175" s="24" t="s">
        <v>80</v>
      </c>
      <c r="T175" s="24">
        <v>45853</v>
      </c>
      <c r="U175" s="24">
        <v>45915</v>
      </c>
      <c r="V175" s="23">
        <v>5</v>
      </c>
      <c r="X175" s="24">
        <v>45644</v>
      </c>
      <c r="Y175" s="23">
        <v>1111</v>
      </c>
      <c r="Z175" s="23">
        <v>11100002</v>
      </c>
      <c r="AA175" s="23">
        <v>320103</v>
      </c>
      <c r="AB175" s="24">
        <v>45853</v>
      </c>
    </row>
    <row r="176" spans="2:28" x14ac:dyDescent="0.2">
      <c r="C176" s="23">
        <v>1100556467</v>
      </c>
      <c r="E176" s="23">
        <v>80</v>
      </c>
      <c r="F176" s="23" t="s">
        <v>984</v>
      </c>
      <c r="G176" s="23" t="s">
        <v>985</v>
      </c>
      <c r="H176" s="24">
        <v>46108</v>
      </c>
      <c r="I176" s="24">
        <v>46108</v>
      </c>
      <c r="J176" s="23" t="s">
        <v>983</v>
      </c>
      <c r="K176" s="23" t="s">
        <v>983</v>
      </c>
      <c r="L176" s="23">
        <v>1</v>
      </c>
      <c r="M176" s="23" t="s">
        <v>78</v>
      </c>
      <c r="N176" s="23" t="s">
        <v>78</v>
      </c>
      <c r="O176" s="23">
        <v>117802</v>
      </c>
      <c r="P176" s="23" t="s">
        <v>79</v>
      </c>
      <c r="Q176" s="23" t="s">
        <v>83</v>
      </c>
      <c r="R176" s="23">
        <v>11100189</v>
      </c>
      <c r="S176" s="24" t="s">
        <v>80</v>
      </c>
      <c r="T176" s="24">
        <v>45853</v>
      </c>
      <c r="U176" s="24">
        <v>45915</v>
      </c>
      <c r="X176" s="24">
        <v>45644</v>
      </c>
      <c r="Y176" s="23">
        <v>1111</v>
      </c>
      <c r="Z176" s="23">
        <v>11100002</v>
      </c>
      <c r="AA176" s="23">
        <v>320103</v>
      </c>
      <c r="AB176" s="24">
        <v>45853</v>
      </c>
    </row>
    <row r="177" spans="2:28" x14ac:dyDescent="0.2">
      <c r="C177" s="23">
        <v>1100556467</v>
      </c>
      <c r="E177" s="23">
        <v>90</v>
      </c>
      <c r="F177" s="23" t="s">
        <v>986</v>
      </c>
      <c r="G177" s="23" t="s">
        <v>985</v>
      </c>
      <c r="H177" s="24">
        <v>46108</v>
      </c>
      <c r="I177" s="24">
        <v>46108</v>
      </c>
      <c r="J177" s="23" t="s">
        <v>983</v>
      </c>
      <c r="K177" s="23" t="s">
        <v>983</v>
      </c>
      <c r="L177" s="23">
        <v>1</v>
      </c>
      <c r="M177" s="23" t="s">
        <v>78</v>
      </c>
      <c r="N177" s="23" t="s">
        <v>78</v>
      </c>
      <c r="O177" s="23">
        <v>157149</v>
      </c>
      <c r="P177" s="23" t="s">
        <v>79</v>
      </c>
      <c r="Q177" s="23" t="s">
        <v>83</v>
      </c>
      <c r="R177" s="23">
        <v>11100189</v>
      </c>
      <c r="S177" s="24" t="s">
        <v>80</v>
      </c>
      <c r="T177" s="24">
        <v>45853</v>
      </c>
      <c r="U177" s="24">
        <v>45915</v>
      </c>
      <c r="X177" s="24">
        <v>45644</v>
      </c>
      <c r="Y177" s="23">
        <v>1111</v>
      </c>
      <c r="Z177" s="23">
        <v>11100002</v>
      </c>
      <c r="AA177" s="23">
        <v>320103</v>
      </c>
      <c r="AB177" s="24">
        <v>45853</v>
      </c>
    </row>
    <row r="178" spans="2:28" x14ac:dyDescent="0.2">
      <c r="C178" s="23">
        <v>1100556467</v>
      </c>
      <c r="E178" s="23">
        <v>160</v>
      </c>
      <c r="F178" s="23" t="s">
        <v>82</v>
      </c>
      <c r="G178" s="23" t="s">
        <v>987</v>
      </c>
      <c r="H178" s="24">
        <v>46108</v>
      </c>
      <c r="I178" s="24">
        <v>46038</v>
      </c>
      <c r="J178" s="23" t="s">
        <v>983</v>
      </c>
      <c r="K178" s="23" t="s">
        <v>983</v>
      </c>
      <c r="L178" s="23">
        <v>1</v>
      </c>
      <c r="M178" s="23" t="s">
        <v>78</v>
      </c>
      <c r="N178" s="23" t="s">
        <v>78</v>
      </c>
      <c r="O178" s="23">
        <v>0</v>
      </c>
      <c r="P178" s="23" t="s">
        <v>79</v>
      </c>
      <c r="Q178" s="23" t="s">
        <v>83</v>
      </c>
      <c r="R178" s="23">
        <v>11100189</v>
      </c>
      <c r="S178" s="24" t="s">
        <v>80</v>
      </c>
      <c r="T178" s="24">
        <v>45853</v>
      </c>
      <c r="U178" s="24">
        <v>45915</v>
      </c>
      <c r="X178" s="24">
        <v>45644</v>
      </c>
      <c r="Y178" s="23">
        <v>1111</v>
      </c>
      <c r="Z178" s="23">
        <v>11100002</v>
      </c>
      <c r="AA178" s="23">
        <v>320103</v>
      </c>
      <c r="AB178" s="24">
        <v>45853</v>
      </c>
    </row>
    <row r="179" spans="2:28" x14ac:dyDescent="0.2">
      <c r="C179" s="23">
        <v>1100556467</v>
      </c>
      <c r="E179" s="23">
        <v>170</v>
      </c>
      <c r="F179" s="23" t="s">
        <v>306</v>
      </c>
      <c r="G179" s="23" t="s">
        <v>422</v>
      </c>
      <c r="H179" s="24">
        <v>46108</v>
      </c>
      <c r="I179" s="24">
        <v>46059</v>
      </c>
      <c r="J179" s="23" t="s">
        <v>983</v>
      </c>
      <c r="K179" s="23" t="s">
        <v>983</v>
      </c>
      <c r="L179" s="23">
        <v>1</v>
      </c>
      <c r="M179" s="23" t="s">
        <v>78</v>
      </c>
      <c r="N179" s="23" t="s">
        <v>78</v>
      </c>
      <c r="O179" s="23">
        <v>7500</v>
      </c>
      <c r="P179" s="23" t="s">
        <v>79</v>
      </c>
      <c r="Q179" s="23" t="s">
        <v>83</v>
      </c>
      <c r="R179" s="23">
        <v>11100189</v>
      </c>
      <c r="S179" s="24" t="s">
        <v>80</v>
      </c>
      <c r="T179" s="24">
        <v>45853</v>
      </c>
      <c r="U179" s="24">
        <v>46752</v>
      </c>
      <c r="X179" s="24">
        <v>45644</v>
      </c>
      <c r="Y179" s="23">
        <v>1111</v>
      </c>
      <c r="Z179" s="23">
        <v>11100002</v>
      </c>
      <c r="AA179" s="23">
        <v>320103</v>
      </c>
      <c r="AB179" s="24">
        <v>45853</v>
      </c>
    </row>
    <row r="180" spans="2:28" x14ac:dyDescent="0.2">
      <c r="C180" s="23">
        <v>1100556467</v>
      </c>
      <c r="E180" s="23">
        <v>180</v>
      </c>
      <c r="F180" s="23" t="s">
        <v>306</v>
      </c>
      <c r="G180" s="23" t="s">
        <v>422</v>
      </c>
      <c r="H180" s="24">
        <v>46108</v>
      </c>
      <c r="I180" s="24">
        <v>46059</v>
      </c>
      <c r="J180" s="23" t="s">
        <v>983</v>
      </c>
      <c r="K180" s="23" t="s">
        <v>983</v>
      </c>
      <c r="L180" s="23">
        <v>1</v>
      </c>
      <c r="M180" s="23" t="s">
        <v>78</v>
      </c>
      <c r="N180" s="23" t="s">
        <v>78</v>
      </c>
      <c r="O180" s="23">
        <v>7500</v>
      </c>
      <c r="P180" s="23" t="s">
        <v>79</v>
      </c>
      <c r="Q180" s="23" t="s">
        <v>83</v>
      </c>
      <c r="R180" s="23">
        <v>11100189</v>
      </c>
      <c r="S180" s="24" t="s">
        <v>80</v>
      </c>
      <c r="T180" s="24">
        <v>45853</v>
      </c>
      <c r="U180" s="24">
        <v>46752</v>
      </c>
      <c r="X180" s="24">
        <v>45644</v>
      </c>
      <c r="Y180" s="23">
        <v>1111</v>
      </c>
      <c r="Z180" s="23">
        <v>11100002</v>
      </c>
      <c r="AA180" s="23">
        <v>320103</v>
      </c>
      <c r="AB180" s="24">
        <v>45853</v>
      </c>
    </row>
    <row r="181" spans="2:28" x14ac:dyDescent="0.2">
      <c r="B181" s="23" t="s">
        <v>81</v>
      </c>
      <c r="C181" s="23">
        <v>1100556467</v>
      </c>
      <c r="H181" s="24">
        <v>46108</v>
      </c>
      <c r="O181" s="23">
        <v>289951.01</v>
      </c>
      <c r="P181" s="23" t="s">
        <v>79</v>
      </c>
    </row>
    <row r="182" spans="2:28" x14ac:dyDescent="0.2">
      <c r="C182" s="23">
        <v>1100561633</v>
      </c>
      <c r="E182" s="23">
        <v>10</v>
      </c>
      <c r="F182" s="23" t="s">
        <v>1407</v>
      </c>
      <c r="G182" s="23" t="s">
        <v>1408</v>
      </c>
      <c r="H182" s="24">
        <v>46108</v>
      </c>
      <c r="I182" s="24">
        <v>46108</v>
      </c>
      <c r="J182" s="23" t="s">
        <v>883</v>
      </c>
      <c r="K182" s="23" t="s">
        <v>883</v>
      </c>
      <c r="L182" s="23">
        <v>1</v>
      </c>
      <c r="M182" s="23" t="s">
        <v>78</v>
      </c>
      <c r="N182" s="23" t="s">
        <v>78</v>
      </c>
      <c r="O182" s="23">
        <v>98270</v>
      </c>
      <c r="P182" s="23" t="s">
        <v>79</v>
      </c>
      <c r="Q182" s="23" t="s">
        <v>83</v>
      </c>
      <c r="R182" s="23">
        <v>11100018</v>
      </c>
      <c r="S182" s="24">
        <v>45971</v>
      </c>
      <c r="T182" s="24">
        <v>45903</v>
      </c>
      <c r="U182" s="24" t="s">
        <v>80</v>
      </c>
      <c r="X182" s="24">
        <v>45903</v>
      </c>
      <c r="Y182" s="23">
        <v>1111</v>
      </c>
      <c r="Z182" s="23">
        <v>11100305</v>
      </c>
      <c r="AA182" s="23">
        <v>510103</v>
      </c>
      <c r="AB182" s="24">
        <v>45903</v>
      </c>
    </row>
    <row r="183" spans="2:28" x14ac:dyDescent="0.2">
      <c r="C183" s="23">
        <v>1100561633</v>
      </c>
      <c r="E183" s="23">
        <v>20</v>
      </c>
      <c r="F183" s="23" t="s">
        <v>84</v>
      </c>
      <c r="G183" s="23" t="s">
        <v>123</v>
      </c>
      <c r="H183" s="24">
        <v>46108</v>
      </c>
      <c r="I183" s="24">
        <v>46108</v>
      </c>
      <c r="J183" s="23" t="s">
        <v>883</v>
      </c>
      <c r="K183" s="23" t="s">
        <v>883</v>
      </c>
      <c r="L183" s="23">
        <v>1</v>
      </c>
      <c r="M183" s="23" t="s">
        <v>78</v>
      </c>
      <c r="N183" s="23" t="s">
        <v>78</v>
      </c>
      <c r="O183" s="23">
        <v>0.01</v>
      </c>
      <c r="P183" s="23" t="s">
        <v>79</v>
      </c>
      <c r="Q183" s="23" t="s">
        <v>83</v>
      </c>
      <c r="R183" s="23">
        <v>11100018</v>
      </c>
      <c r="S183" s="24">
        <v>45971</v>
      </c>
      <c r="T183" s="24">
        <v>45903</v>
      </c>
      <c r="U183" s="24" t="s">
        <v>80</v>
      </c>
      <c r="X183" s="24">
        <v>45903</v>
      </c>
      <c r="Y183" s="23">
        <v>1111</v>
      </c>
      <c r="Z183" s="23">
        <v>11100305</v>
      </c>
      <c r="AA183" s="23">
        <v>510103</v>
      </c>
      <c r="AB183" s="24">
        <v>45903</v>
      </c>
    </row>
    <row r="184" spans="2:28" x14ac:dyDescent="0.2">
      <c r="B184" s="23" t="s">
        <v>81</v>
      </c>
      <c r="C184" s="23">
        <v>1100561633</v>
      </c>
      <c r="H184" s="24">
        <v>46108</v>
      </c>
      <c r="O184" s="23">
        <v>98270.01</v>
      </c>
      <c r="P184" s="23" t="s">
        <v>79</v>
      </c>
    </row>
    <row r="185" spans="2:28" x14ac:dyDescent="0.2">
      <c r="C185" s="23">
        <v>1100562826</v>
      </c>
      <c r="E185" s="23">
        <v>10</v>
      </c>
      <c r="F185" s="23" t="s">
        <v>969</v>
      </c>
      <c r="G185" s="23" t="s">
        <v>970</v>
      </c>
      <c r="H185" s="24">
        <v>46108</v>
      </c>
      <c r="I185" s="24">
        <v>46108</v>
      </c>
      <c r="J185" s="23" t="s">
        <v>1401</v>
      </c>
      <c r="K185" s="23" t="s">
        <v>1401</v>
      </c>
      <c r="L185" s="23">
        <v>3</v>
      </c>
      <c r="M185" s="23" t="s">
        <v>78</v>
      </c>
      <c r="N185" s="23" t="s">
        <v>78</v>
      </c>
      <c r="O185" s="23">
        <v>9660</v>
      </c>
      <c r="P185" s="23" t="s">
        <v>79</v>
      </c>
      <c r="Q185" s="23" t="s">
        <v>83</v>
      </c>
      <c r="R185" s="23">
        <v>11100299</v>
      </c>
      <c r="S185" s="24">
        <v>45961</v>
      </c>
      <c r="T185" s="24">
        <v>45915</v>
      </c>
      <c r="U185" s="24">
        <v>46752</v>
      </c>
      <c r="X185" s="24">
        <v>45915</v>
      </c>
      <c r="Y185" s="23">
        <v>1111</v>
      </c>
      <c r="Z185" s="23">
        <v>11100002</v>
      </c>
      <c r="AA185" s="23">
        <v>3312</v>
      </c>
      <c r="AB185" s="24">
        <v>45915</v>
      </c>
    </row>
    <row r="186" spans="2:28" x14ac:dyDescent="0.2">
      <c r="B186" s="23" t="s">
        <v>81</v>
      </c>
      <c r="C186" s="23">
        <v>1100562826</v>
      </c>
      <c r="H186" s="24">
        <v>46108</v>
      </c>
      <c r="O186" s="23">
        <v>9660</v>
      </c>
      <c r="P186" s="23" t="s">
        <v>79</v>
      </c>
    </row>
    <row r="187" spans="2:28" x14ac:dyDescent="0.2">
      <c r="C187" s="23">
        <v>1100567362</v>
      </c>
      <c r="E187" s="23">
        <v>10</v>
      </c>
      <c r="F187" s="23" t="s">
        <v>2329</v>
      </c>
      <c r="G187" s="23" t="s">
        <v>547</v>
      </c>
      <c r="H187" s="24">
        <v>46108</v>
      </c>
      <c r="I187" s="24">
        <v>46108</v>
      </c>
      <c r="J187" s="23" t="s">
        <v>1411</v>
      </c>
      <c r="K187" s="23" t="s">
        <v>1411</v>
      </c>
      <c r="L187" s="23">
        <v>2</v>
      </c>
      <c r="M187" s="23" t="s">
        <v>78</v>
      </c>
      <c r="N187" s="23" t="s">
        <v>78</v>
      </c>
      <c r="O187" s="23">
        <v>67222</v>
      </c>
      <c r="P187" s="23" t="s">
        <v>79</v>
      </c>
      <c r="Q187" s="23" t="s">
        <v>83</v>
      </c>
      <c r="R187" s="23">
        <v>11100018</v>
      </c>
      <c r="S187" s="24">
        <v>46028</v>
      </c>
      <c r="T187" s="24">
        <v>45958</v>
      </c>
      <c r="U187" s="24">
        <v>46752</v>
      </c>
      <c r="X187" s="24">
        <v>45951</v>
      </c>
      <c r="Y187" s="23">
        <v>1111</v>
      </c>
      <c r="Z187" s="23">
        <v>11100305</v>
      </c>
      <c r="AA187" s="23">
        <v>330103</v>
      </c>
      <c r="AB187" s="24">
        <v>45958</v>
      </c>
    </row>
    <row r="188" spans="2:28" x14ac:dyDescent="0.2">
      <c r="C188" s="23">
        <v>1100567362</v>
      </c>
      <c r="E188" s="23">
        <v>20</v>
      </c>
      <c r="F188" s="23" t="s">
        <v>2330</v>
      </c>
      <c r="G188" s="23" t="s">
        <v>547</v>
      </c>
      <c r="H188" s="24">
        <v>46108</v>
      </c>
      <c r="I188" s="24">
        <v>46108</v>
      </c>
      <c r="J188" s="23" t="s">
        <v>1411</v>
      </c>
      <c r="K188" s="23" t="s">
        <v>1411</v>
      </c>
      <c r="L188" s="23">
        <v>1</v>
      </c>
      <c r="M188" s="23" t="s">
        <v>78</v>
      </c>
      <c r="N188" s="23" t="s">
        <v>78</v>
      </c>
      <c r="O188" s="23">
        <v>37933.5</v>
      </c>
      <c r="P188" s="23" t="s">
        <v>79</v>
      </c>
      <c r="Q188" s="23" t="s">
        <v>83</v>
      </c>
      <c r="R188" s="23">
        <v>11100018</v>
      </c>
      <c r="S188" s="24">
        <v>46028</v>
      </c>
      <c r="T188" s="24">
        <v>45958</v>
      </c>
      <c r="U188" s="24">
        <v>46752</v>
      </c>
      <c r="X188" s="24">
        <v>45951</v>
      </c>
      <c r="Y188" s="23">
        <v>1111</v>
      </c>
      <c r="Z188" s="23">
        <v>11100305</v>
      </c>
      <c r="AA188" s="23">
        <v>330103</v>
      </c>
      <c r="AB188" s="24">
        <v>45958</v>
      </c>
    </row>
    <row r="189" spans="2:28" x14ac:dyDescent="0.2">
      <c r="C189" s="23">
        <v>1100567362</v>
      </c>
      <c r="E189" s="23">
        <v>30</v>
      </c>
      <c r="F189" s="23" t="s">
        <v>2331</v>
      </c>
      <c r="G189" s="23" t="s">
        <v>486</v>
      </c>
      <c r="H189" s="24">
        <v>46108</v>
      </c>
      <c r="I189" s="24">
        <v>46108</v>
      </c>
      <c r="J189" s="23" t="s">
        <v>1411</v>
      </c>
      <c r="K189" s="23" t="s">
        <v>1411</v>
      </c>
      <c r="L189" s="23">
        <v>1</v>
      </c>
      <c r="M189" s="23" t="s">
        <v>78</v>
      </c>
      <c r="N189" s="23" t="s">
        <v>78</v>
      </c>
      <c r="O189" s="23">
        <v>49162.5</v>
      </c>
      <c r="P189" s="23" t="s">
        <v>79</v>
      </c>
      <c r="Q189" s="23" t="s">
        <v>83</v>
      </c>
      <c r="R189" s="23">
        <v>11100018</v>
      </c>
      <c r="S189" s="24">
        <v>46028</v>
      </c>
      <c r="T189" s="24">
        <v>45958</v>
      </c>
      <c r="U189" s="24">
        <v>46752</v>
      </c>
      <c r="X189" s="24">
        <v>45951</v>
      </c>
      <c r="Y189" s="23">
        <v>1111</v>
      </c>
      <c r="Z189" s="23">
        <v>11100305</v>
      </c>
      <c r="AA189" s="23">
        <v>330103</v>
      </c>
      <c r="AB189" s="24">
        <v>45958</v>
      </c>
    </row>
    <row r="190" spans="2:28" x14ac:dyDescent="0.2">
      <c r="C190" s="23">
        <v>1100567362</v>
      </c>
      <c r="E190" s="23">
        <v>40</v>
      </c>
      <c r="F190" s="23" t="s">
        <v>2332</v>
      </c>
      <c r="G190" s="23" t="s">
        <v>2333</v>
      </c>
      <c r="H190" s="24">
        <v>46108</v>
      </c>
      <c r="I190" s="24">
        <v>46108</v>
      </c>
      <c r="J190" s="23" t="s">
        <v>1411</v>
      </c>
      <c r="K190" s="23" t="s">
        <v>1411</v>
      </c>
      <c r="L190" s="23">
        <v>1</v>
      </c>
      <c r="M190" s="23" t="s">
        <v>78</v>
      </c>
      <c r="N190" s="23" t="s">
        <v>78</v>
      </c>
      <c r="O190" s="23">
        <v>30903.5</v>
      </c>
      <c r="P190" s="23" t="s">
        <v>79</v>
      </c>
      <c r="Q190" s="23" t="s">
        <v>83</v>
      </c>
      <c r="R190" s="23">
        <v>11100018</v>
      </c>
      <c r="S190" s="24">
        <v>46028</v>
      </c>
      <c r="T190" s="24">
        <v>45958</v>
      </c>
      <c r="U190" s="24">
        <v>46752</v>
      </c>
      <c r="X190" s="24">
        <v>45951</v>
      </c>
      <c r="Y190" s="23">
        <v>1111</v>
      </c>
      <c r="Z190" s="23">
        <v>11100305</v>
      </c>
      <c r="AA190" s="23">
        <v>330103</v>
      </c>
      <c r="AB190" s="24">
        <v>45958</v>
      </c>
    </row>
    <row r="191" spans="2:28" x14ac:dyDescent="0.2">
      <c r="C191" s="23">
        <v>1100567362</v>
      </c>
      <c r="E191" s="23">
        <v>50</v>
      </c>
      <c r="F191" s="23" t="s">
        <v>1210</v>
      </c>
      <c r="G191" s="23" t="s">
        <v>1211</v>
      </c>
      <c r="H191" s="24">
        <v>46108</v>
      </c>
      <c r="I191" s="24">
        <v>46108</v>
      </c>
      <c r="J191" s="23" t="s">
        <v>1411</v>
      </c>
      <c r="K191" s="23" t="s">
        <v>1411</v>
      </c>
      <c r="L191" s="23">
        <v>1</v>
      </c>
      <c r="M191" s="23" t="s">
        <v>78</v>
      </c>
      <c r="N191" s="23" t="s">
        <v>78</v>
      </c>
      <c r="O191" s="23">
        <v>7837.5</v>
      </c>
      <c r="P191" s="23" t="s">
        <v>79</v>
      </c>
      <c r="Q191" s="23" t="s">
        <v>83</v>
      </c>
      <c r="R191" s="23">
        <v>11100018</v>
      </c>
      <c r="S191" s="24">
        <v>46028</v>
      </c>
      <c r="T191" s="24">
        <v>45958</v>
      </c>
      <c r="U191" s="24">
        <v>46752</v>
      </c>
      <c r="X191" s="24">
        <v>45951</v>
      </c>
      <c r="Y191" s="23">
        <v>1111</v>
      </c>
      <c r="Z191" s="23">
        <v>11100305</v>
      </c>
      <c r="AA191" s="23">
        <v>330103</v>
      </c>
      <c r="AB191" s="24">
        <v>45958</v>
      </c>
    </row>
    <row r="192" spans="2:28" x14ac:dyDescent="0.2">
      <c r="C192" s="23">
        <v>1100567362</v>
      </c>
      <c r="E192" s="23">
        <v>60</v>
      </c>
      <c r="F192" s="23" t="s">
        <v>1187</v>
      </c>
      <c r="G192" s="23" t="s">
        <v>1188</v>
      </c>
      <c r="H192" s="24">
        <v>46108</v>
      </c>
      <c r="I192" s="24">
        <v>46108</v>
      </c>
      <c r="J192" s="23" t="s">
        <v>1411</v>
      </c>
      <c r="K192" s="23" t="s">
        <v>1411</v>
      </c>
      <c r="L192" s="23">
        <v>1</v>
      </c>
      <c r="M192" s="23" t="s">
        <v>78</v>
      </c>
      <c r="N192" s="23" t="s">
        <v>78</v>
      </c>
      <c r="O192" s="23">
        <v>1596</v>
      </c>
      <c r="P192" s="23" t="s">
        <v>79</v>
      </c>
      <c r="Q192" s="23" t="s">
        <v>83</v>
      </c>
      <c r="R192" s="23">
        <v>11100018</v>
      </c>
      <c r="S192" s="24">
        <v>46028</v>
      </c>
      <c r="T192" s="24">
        <v>45958</v>
      </c>
      <c r="U192" s="24">
        <v>46752</v>
      </c>
      <c r="X192" s="24">
        <v>45951</v>
      </c>
      <c r="Y192" s="23">
        <v>1111</v>
      </c>
      <c r="Z192" s="23">
        <v>11100305</v>
      </c>
      <c r="AA192" s="23">
        <v>330103</v>
      </c>
      <c r="AB192" s="24">
        <v>45958</v>
      </c>
    </row>
    <row r="193" spans="2:28" x14ac:dyDescent="0.2">
      <c r="C193" s="23">
        <v>1100567362</v>
      </c>
      <c r="E193" s="23">
        <v>70</v>
      </c>
      <c r="F193" s="23" t="s">
        <v>84</v>
      </c>
      <c r="G193" s="23" t="s">
        <v>123</v>
      </c>
      <c r="H193" s="24">
        <v>46108</v>
      </c>
      <c r="I193" s="24">
        <v>46108</v>
      </c>
      <c r="J193" s="23" t="s">
        <v>1411</v>
      </c>
      <c r="K193" s="23" t="s">
        <v>1411</v>
      </c>
      <c r="L193" s="23">
        <v>1</v>
      </c>
      <c r="M193" s="23" t="s">
        <v>78</v>
      </c>
      <c r="N193" s="23" t="s">
        <v>78</v>
      </c>
      <c r="O193" s="23">
        <v>0.01</v>
      </c>
      <c r="P193" s="23" t="s">
        <v>79</v>
      </c>
      <c r="Q193" s="23" t="s">
        <v>83</v>
      </c>
      <c r="R193" s="23">
        <v>11100018</v>
      </c>
      <c r="S193" s="24" t="s">
        <v>80</v>
      </c>
      <c r="T193" s="24">
        <v>45958</v>
      </c>
      <c r="U193" s="24">
        <v>46752</v>
      </c>
      <c r="X193" s="24">
        <v>45951</v>
      </c>
      <c r="Y193" s="23">
        <v>1111</v>
      </c>
      <c r="Z193" s="23">
        <v>11100305</v>
      </c>
      <c r="AA193" s="23">
        <v>330103</v>
      </c>
      <c r="AB193" s="24">
        <v>45958</v>
      </c>
    </row>
    <row r="194" spans="2:28" x14ac:dyDescent="0.2">
      <c r="C194" s="23">
        <v>1100567362</v>
      </c>
      <c r="E194" s="23">
        <v>80</v>
      </c>
      <c r="F194" s="23" t="s">
        <v>82</v>
      </c>
      <c r="G194" s="23" t="s">
        <v>139</v>
      </c>
      <c r="H194" s="24">
        <v>46108</v>
      </c>
      <c r="I194" s="24">
        <v>46108</v>
      </c>
      <c r="J194" s="23" t="s">
        <v>1411</v>
      </c>
      <c r="K194" s="23" t="s">
        <v>1411</v>
      </c>
      <c r="L194" s="23">
        <v>1</v>
      </c>
      <c r="M194" s="23" t="s">
        <v>78</v>
      </c>
      <c r="N194" s="23" t="s">
        <v>78</v>
      </c>
      <c r="O194" s="23">
        <v>0.01</v>
      </c>
      <c r="P194" s="23" t="s">
        <v>79</v>
      </c>
      <c r="Q194" s="23" t="s">
        <v>83</v>
      </c>
      <c r="R194" s="23">
        <v>11100018</v>
      </c>
      <c r="S194" s="24" t="s">
        <v>80</v>
      </c>
      <c r="T194" s="24">
        <v>45958</v>
      </c>
      <c r="U194" s="24">
        <v>46752</v>
      </c>
      <c r="X194" s="24">
        <v>45951</v>
      </c>
      <c r="Y194" s="23">
        <v>1111</v>
      </c>
      <c r="Z194" s="23">
        <v>11100305</v>
      </c>
      <c r="AA194" s="23">
        <v>330103</v>
      </c>
      <c r="AB194" s="24">
        <v>45958</v>
      </c>
    </row>
    <row r="195" spans="2:28" x14ac:dyDescent="0.2">
      <c r="B195" s="23" t="s">
        <v>81</v>
      </c>
      <c r="C195" s="23">
        <v>1100567362</v>
      </c>
      <c r="H195" s="24">
        <v>46108</v>
      </c>
      <c r="O195" s="23">
        <v>194655.02</v>
      </c>
      <c r="P195" s="23" t="s">
        <v>79</v>
      </c>
    </row>
    <row r="196" spans="2:28" x14ac:dyDescent="0.2">
      <c r="C196" s="23">
        <v>1100567844</v>
      </c>
      <c r="E196" s="23">
        <v>10</v>
      </c>
      <c r="F196" s="23" t="s">
        <v>1412</v>
      </c>
      <c r="G196" s="23" t="s">
        <v>1413</v>
      </c>
      <c r="H196" s="24">
        <v>46108</v>
      </c>
      <c r="I196" s="24">
        <v>46108</v>
      </c>
      <c r="J196" s="23" t="s">
        <v>1414</v>
      </c>
      <c r="K196" s="23" t="s">
        <v>1414</v>
      </c>
      <c r="L196" s="23">
        <v>1</v>
      </c>
      <c r="M196" s="23" t="s">
        <v>78</v>
      </c>
      <c r="N196" s="23" t="s">
        <v>78</v>
      </c>
      <c r="O196" s="23">
        <v>19280</v>
      </c>
      <c r="P196" s="23" t="s">
        <v>79</v>
      </c>
      <c r="Q196" s="23" t="s">
        <v>83</v>
      </c>
      <c r="R196" s="23">
        <v>11100299</v>
      </c>
      <c r="S196" s="24">
        <v>46087</v>
      </c>
      <c r="T196" s="24">
        <v>45961</v>
      </c>
      <c r="U196" s="24">
        <v>46108</v>
      </c>
      <c r="X196" s="24">
        <v>45959</v>
      </c>
      <c r="Y196" s="23">
        <v>1111</v>
      </c>
      <c r="Z196" s="23">
        <v>11100002</v>
      </c>
      <c r="AA196" s="23">
        <v>3730</v>
      </c>
      <c r="AB196" s="24">
        <v>45961</v>
      </c>
    </row>
    <row r="197" spans="2:28" x14ac:dyDescent="0.2">
      <c r="C197" s="23">
        <v>1100567844</v>
      </c>
      <c r="E197" s="23">
        <v>20</v>
      </c>
      <c r="F197" s="23" t="s">
        <v>84</v>
      </c>
      <c r="G197" s="23" t="s">
        <v>123</v>
      </c>
      <c r="H197" s="24">
        <v>46108</v>
      </c>
      <c r="I197" s="24">
        <v>46108</v>
      </c>
      <c r="J197" s="23" t="s">
        <v>1414</v>
      </c>
      <c r="K197" s="23" t="s">
        <v>1414</v>
      </c>
      <c r="L197" s="23">
        <v>1</v>
      </c>
      <c r="M197" s="23" t="s">
        <v>78</v>
      </c>
      <c r="N197" s="23" t="s">
        <v>78</v>
      </c>
      <c r="O197" s="23">
        <v>0.01</v>
      </c>
      <c r="P197" s="23" t="s">
        <v>79</v>
      </c>
      <c r="Q197" s="23" t="s">
        <v>83</v>
      </c>
      <c r="R197" s="23">
        <v>11100299</v>
      </c>
      <c r="S197" s="24" t="s">
        <v>80</v>
      </c>
      <c r="T197" s="24">
        <v>45961</v>
      </c>
      <c r="U197" s="24">
        <v>46108</v>
      </c>
      <c r="X197" s="24">
        <v>45959</v>
      </c>
      <c r="Y197" s="23">
        <v>1111</v>
      </c>
      <c r="Z197" s="23">
        <v>11100002</v>
      </c>
      <c r="AA197" s="23">
        <v>3730</v>
      </c>
      <c r="AB197" s="24">
        <v>45961</v>
      </c>
    </row>
    <row r="198" spans="2:28" x14ac:dyDescent="0.2">
      <c r="C198" s="23">
        <v>1100567844</v>
      </c>
      <c r="E198" s="23">
        <v>30</v>
      </c>
      <c r="F198" s="23" t="s">
        <v>82</v>
      </c>
      <c r="G198" s="23" t="s">
        <v>139</v>
      </c>
      <c r="H198" s="24">
        <v>46108</v>
      </c>
      <c r="I198" s="24">
        <v>46108</v>
      </c>
      <c r="J198" s="23" t="s">
        <v>1414</v>
      </c>
      <c r="K198" s="23" t="s">
        <v>1414</v>
      </c>
      <c r="L198" s="23">
        <v>1</v>
      </c>
      <c r="M198" s="23" t="s">
        <v>78</v>
      </c>
      <c r="N198" s="23" t="s">
        <v>78</v>
      </c>
      <c r="O198" s="23">
        <v>0.01</v>
      </c>
      <c r="P198" s="23" t="s">
        <v>79</v>
      </c>
      <c r="Q198" s="23" t="s">
        <v>83</v>
      </c>
      <c r="R198" s="23">
        <v>11100299</v>
      </c>
      <c r="S198" s="24" t="s">
        <v>80</v>
      </c>
      <c r="T198" s="24">
        <v>45961</v>
      </c>
      <c r="U198" s="24">
        <v>46108</v>
      </c>
      <c r="X198" s="24">
        <v>45959</v>
      </c>
      <c r="Y198" s="23">
        <v>1111</v>
      </c>
      <c r="Z198" s="23">
        <v>11100002</v>
      </c>
      <c r="AA198" s="23">
        <v>3730</v>
      </c>
      <c r="AB198" s="24">
        <v>45961</v>
      </c>
    </row>
    <row r="199" spans="2:28" x14ac:dyDescent="0.2">
      <c r="B199" s="23" t="s">
        <v>81</v>
      </c>
      <c r="C199" s="23">
        <v>1100567844</v>
      </c>
      <c r="H199" s="24">
        <v>46108</v>
      </c>
      <c r="O199" s="23">
        <v>19280.02</v>
      </c>
      <c r="P199" s="23" t="s">
        <v>79</v>
      </c>
    </row>
    <row r="200" spans="2:28" x14ac:dyDescent="0.2">
      <c r="C200" s="23">
        <v>1100569642</v>
      </c>
      <c r="E200" s="23">
        <v>12</v>
      </c>
      <c r="F200" s="23" t="s">
        <v>1415</v>
      </c>
      <c r="G200" s="23" t="s">
        <v>86</v>
      </c>
      <c r="H200" s="24">
        <v>46108</v>
      </c>
      <c r="I200" s="24">
        <v>46108</v>
      </c>
      <c r="J200" s="23" t="s">
        <v>1416</v>
      </c>
      <c r="K200" s="23" t="s">
        <v>1416</v>
      </c>
      <c r="L200" s="23">
        <v>1</v>
      </c>
      <c r="M200" s="23" t="s">
        <v>78</v>
      </c>
      <c r="N200" s="23" t="s">
        <v>78</v>
      </c>
      <c r="O200" s="23">
        <v>16552</v>
      </c>
      <c r="P200" s="23" t="s">
        <v>79</v>
      </c>
      <c r="Q200" s="23" t="s">
        <v>83</v>
      </c>
      <c r="R200" s="23">
        <v>11100299</v>
      </c>
      <c r="S200" s="24">
        <v>46036</v>
      </c>
      <c r="T200" s="24">
        <v>45982</v>
      </c>
      <c r="U200" s="24">
        <v>46108</v>
      </c>
      <c r="X200" s="24">
        <v>45978</v>
      </c>
      <c r="Y200" s="23">
        <v>1111</v>
      </c>
      <c r="Z200" s="23">
        <v>11100002</v>
      </c>
      <c r="AA200" s="23">
        <v>3312</v>
      </c>
      <c r="AB200" s="24">
        <v>45982</v>
      </c>
    </row>
    <row r="201" spans="2:28" x14ac:dyDescent="0.2">
      <c r="C201" s="23">
        <v>1100569642</v>
      </c>
      <c r="E201" s="23">
        <v>13</v>
      </c>
      <c r="F201" s="23" t="s">
        <v>1417</v>
      </c>
      <c r="G201" s="23" t="s">
        <v>1418</v>
      </c>
      <c r="H201" s="24">
        <v>46108</v>
      </c>
      <c r="I201" s="24">
        <v>46108</v>
      </c>
      <c r="J201" s="23" t="s">
        <v>1416</v>
      </c>
      <c r="K201" s="23" t="s">
        <v>1416</v>
      </c>
      <c r="L201" s="23">
        <v>1</v>
      </c>
      <c r="M201" s="23" t="s">
        <v>78</v>
      </c>
      <c r="N201" s="23" t="s">
        <v>78</v>
      </c>
      <c r="O201" s="23">
        <v>802</v>
      </c>
      <c r="P201" s="23" t="s">
        <v>79</v>
      </c>
      <c r="Q201" s="23" t="s">
        <v>83</v>
      </c>
      <c r="R201" s="23">
        <v>11100299</v>
      </c>
      <c r="S201" s="24" t="s">
        <v>80</v>
      </c>
      <c r="T201" s="24">
        <v>45982</v>
      </c>
      <c r="U201" s="24">
        <v>46108</v>
      </c>
      <c r="X201" s="24">
        <v>45978</v>
      </c>
      <c r="Y201" s="23">
        <v>1111</v>
      </c>
      <c r="Z201" s="23">
        <v>11100002</v>
      </c>
      <c r="AA201" s="23">
        <v>3312</v>
      </c>
      <c r="AB201" s="24">
        <v>45982</v>
      </c>
    </row>
    <row r="202" spans="2:28" x14ac:dyDescent="0.2">
      <c r="C202" s="23">
        <v>1100569642</v>
      </c>
      <c r="E202" s="23">
        <v>20</v>
      </c>
      <c r="F202" s="23" t="s">
        <v>84</v>
      </c>
      <c r="G202" s="23" t="s">
        <v>123</v>
      </c>
      <c r="H202" s="24">
        <v>46108</v>
      </c>
      <c r="I202" s="24">
        <v>46108</v>
      </c>
      <c r="J202" s="23" t="s">
        <v>1416</v>
      </c>
      <c r="K202" s="23" t="s">
        <v>1416</v>
      </c>
      <c r="L202" s="23">
        <v>1</v>
      </c>
      <c r="M202" s="23" t="s">
        <v>78</v>
      </c>
      <c r="N202" s="23" t="s">
        <v>78</v>
      </c>
      <c r="O202" s="23">
        <v>0.01</v>
      </c>
      <c r="P202" s="23" t="s">
        <v>79</v>
      </c>
      <c r="Q202" s="23" t="s">
        <v>83</v>
      </c>
      <c r="R202" s="23">
        <v>11100299</v>
      </c>
      <c r="S202" s="24" t="s">
        <v>80</v>
      </c>
      <c r="T202" s="24">
        <v>45982</v>
      </c>
      <c r="U202" s="24">
        <v>46108</v>
      </c>
      <c r="X202" s="24">
        <v>45978</v>
      </c>
      <c r="Y202" s="23">
        <v>1111</v>
      </c>
      <c r="Z202" s="23">
        <v>11100002</v>
      </c>
      <c r="AA202" s="23">
        <v>3312</v>
      </c>
      <c r="AB202" s="24">
        <v>45982</v>
      </c>
    </row>
    <row r="203" spans="2:28" x14ac:dyDescent="0.2">
      <c r="C203" s="23">
        <v>1100569642</v>
      </c>
      <c r="E203" s="23">
        <v>30</v>
      </c>
      <c r="F203" s="23" t="s">
        <v>398</v>
      </c>
      <c r="G203" s="23" t="s">
        <v>399</v>
      </c>
      <c r="H203" s="24">
        <v>46108</v>
      </c>
      <c r="I203" s="24">
        <v>46108</v>
      </c>
      <c r="J203" s="23" t="s">
        <v>1416</v>
      </c>
      <c r="K203" s="23" t="s">
        <v>1416</v>
      </c>
      <c r="L203" s="23">
        <v>1</v>
      </c>
      <c r="M203" s="23" t="s">
        <v>78</v>
      </c>
      <c r="N203" s="23" t="s">
        <v>78</v>
      </c>
      <c r="O203" s="23">
        <v>0.01</v>
      </c>
      <c r="P203" s="23" t="s">
        <v>79</v>
      </c>
      <c r="Q203" s="23" t="s">
        <v>83</v>
      </c>
      <c r="R203" s="23">
        <v>11100299</v>
      </c>
      <c r="S203" s="24" t="s">
        <v>80</v>
      </c>
      <c r="T203" s="24">
        <v>45982</v>
      </c>
      <c r="U203" s="24">
        <v>46108</v>
      </c>
      <c r="X203" s="24">
        <v>45978</v>
      </c>
      <c r="Y203" s="23">
        <v>1111</v>
      </c>
      <c r="Z203" s="23">
        <v>11100002</v>
      </c>
      <c r="AA203" s="23">
        <v>3312</v>
      </c>
      <c r="AB203" s="24">
        <v>45982</v>
      </c>
    </row>
    <row r="204" spans="2:28" x14ac:dyDescent="0.2">
      <c r="B204" s="23" t="s">
        <v>81</v>
      </c>
      <c r="C204" s="23">
        <v>1100569642</v>
      </c>
      <c r="H204" s="24">
        <v>46108</v>
      </c>
      <c r="O204" s="23">
        <v>17354.02</v>
      </c>
      <c r="P204" s="23" t="s">
        <v>79</v>
      </c>
    </row>
    <row r="205" spans="2:28" x14ac:dyDescent="0.2">
      <c r="C205" s="23">
        <v>1100570938</v>
      </c>
      <c r="E205" s="23">
        <v>10</v>
      </c>
      <c r="F205" s="23" t="s">
        <v>1420</v>
      </c>
      <c r="G205" s="23" t="s">
        <v>1421</v>
      </c>
      <c r="H205" s="24">
        <v>46108</v>
      </c>
      <c r="I205" s="24">
        <v>46108</v>
      </c>
      <c r="J205" s="23" t="s">
        <v>1422</v>
      </c>
      <c r="K205" s="23" t="s">
        <v>1422</v>
      </c>
      <c r="L205" s="23">
        <v>1</v>
      </c>
      <c r="M205" s="23" t="s">
        <v>78</v>
      </c>
      <c r="N205" s="23" t="s">
        <v>78</v>
      </c>
      <c r="O205" s="23">
        <v>15118</v>
      </c>
      <c r="P205" s="23" t="s">
        <v>79</v>
      </c>
      <c r="Q205" s="23" t="s">
        <v>83</v>
      </c>
      <c r="R205" s="23">
        <v>11100018</v>
      </c>
      <c r="S205" s="24">
        <v>46108</v>
      </c>
      <c r="T205" s="24">
        <v>46000</v>
      </c>
      <c r="U205" s="24">
        <v>46108</v>
      </c>
      <c r="X205" s="24">
        <v>45995</v>
      </c>
      <c r="Y205" s="23">
        <v>1111</v>
      </c>
      <c r="Z205" s="23">
        <v>11100002</v>
      </c>
      <c r="AA205" s="23">
        <v>5012</v>
      </c>
      <c r="AB205" s="24">
        <v>46000</v>
      </c>
    </row>
    <row r="206" spans="2:28" x14ac:dyDescent="0.2">
      <c r="C206" s="23">
        <v>1100570938</v>
      </c>
      <c r="E206" s="23">
        <v>20</v>
      </c>
      <c r="F206" s="23" t="s">
        <v>84</v>
      </c>
      <c r="G206" s="23" t="s">
        <v>123</v>
      </c>
      <c r="H206" s="24">
        <v>46108</v>
      </c>
      <c r="I206" s="24">
        <v>46108</v>
      </c>
      <c r="J206" s="23" t="s">
        <v>1422</v>
      </c>
      <c r="K206" s="23" t="s">
        <v>1422</v>
      </c>
      <c r="L206" s="23">
        <v>1</v>
      </c>
      <c r="M206" s="23" t="s">
        <v>78</v>
      </c>
      <c r="N206" s="23" t="s">
        <v>78</v>
      </c>
      <c r="O206" s="23">
        <v>0.01</v>
      </c>
      <c r="P206" s="23" t="s">
        <v>79</v>
      </c>
      <c r="Q206" s="23" t="s">
        <v>83</v>
      </c>
      <c r="R206" s="23">
        <v>11100018</v>
      </c>
      <c r="S206" s="24" t="s">
        <v>80</v>
      </c>
      <c r="T206" s="24">
        <v>46000</v>
      </c>
      <c r="U206" s="24">
        <v>46108</v>
      </c>
      <c r="X206" s="24">
        <v>45995</v>
      </c>
      <c r="Y206" s="23">
        <v>1111</v>
      </c>
      <c r="Z206" s="23">
        <v>11100002</v>
      </c>
      <c r="AA206" s="23">
        <v>5012</v>
      </c>
      <c r="AB206" s="24">
        <v>46000</v>
      </c>
    </row>
    <row r="207" spans="2:28" x14ac:dyDescent="0.2">
      <c r="C207" s="23">
        <v>1100570938</v>
      </c>
      <c r="E207" s="23">
        <v>30</v>
      </c>
      <c r="F207" s="23" t="s">
        <v>82</v>
      </c>
      <c r="G207" s="23" t="s">
        <v>139</v>
      </c>
      <c r="H207" s="24">
        <v>46108</v>
      </c>
      <c r="I207" s="24">
        <v>46108</v>
      </c>
      <c r="J207" s="23" t="s">
        <v>1422</v>
      </c>
      <c r="K207" s="23" t="s">
        <v>1422</v>
      </c>
      <c r="L207" s="23">
        <v>1</v>
      </c>
      <c r="M207" s="23" t="s">
        <v>78</v>
      </c>
      <c r="N207" s="23" t="s">
        <v>78</v>
      </c>
      <c r="O207" s="23">
        <v>0.01</v>
      </c>
      <c r="P207" s="23" t="s">
        <v>79</v>
      </c>
      <c r="Q207" s="23" t="s">
        <v>83</v>
      </c>
      <c r="R207" s="23">
        <v>11100018</v>
      </c>
      <c r="S207" s="24" t="s">
        <v>80</v>
      </c>
      <c r="T207" s="24">
        <v>46000</v>
      </c>
      <c r="U207" s="24">
        <v>46108</v>
      </c>
      <c r="X207" s="24">
        <v>45995</v>
      </c>
      <c r="Y207" s="23">
        <v>1111</v>
      </c>
      <c r="Z207" s="23">
        <v>11100002</v>
      </c>
      <c r="AA207" s="23">
        <v>5012</v>
      </c>
      <c r="AB207" s="24">
        <v>46000</v>
      </c>
    </row>
    <row r="208" spans="2:28" x14ac:dyDescent="0.2">
      <c r="B208" s="23" t="s">
        <v>81</v>
      </c>
      <c r="C208" s="23">
        <v>1100570938</v>
      </c>
      <c r="H208" s="24">
        <v>46108</v>
      </c>
      <c r="O208" s="23">
        <v>15118.02</v>
      </c>
      <c r="P208" s="23" t="s">
        <v>79</v>
      </c>
    </row>
    <row r="209" spans="2:28" x14ac:dyDescent="0.2">
      <c r="C209" s="23">
        <v>1100572590</v>
      </c>
      <c r="E209" s="23">
        <v>10</v>
      </c>
      <c r="F209" s="23" t="s">
        <v>1400</v>
      </c>
      <c r="G209" s="23" t="s">
        <v>543</v>
      </c>
      <c r="H209" s="24">
        <v>46108</v>
      </c>
      <c r="I209" s="24">
        <v>46108</v>
      </c>
      <c r="J209" s="23" t="s">
        <v>1401</v>
      </c>
      <c r="K209" s="23" t="s">
        <v>1401</v>
      </c>
      <c r="L209" s="23">
        <v>1</v>
      </c>
      <c r="M209" s="23" t="s">
        <v>78</v>
      </c>
      <c r="N209" s="23" t="s">
        <v>78</v>
      </c>
      <c r="O209" s="23">
        <v>12884</v>
      </c>
      <c r="P209" s="23" t="s">
        <v>79</v>
      </c>
      <c r="Q209" s="23" t="s">
        <v>83</v>
      </c>
      <c r="R209" s="23">
        <v>11100008</v>
      </c>
      <c r="S209" s="24">
        <v>46108</v>
      </c>
      <c r="T209" s="24">
        <v>46021</v>
      </c>
      <c r="U209" s="24">
        <v>46101</v>
      </c>
      <c r="X209" s="24">
        <v>46014</v>
      </c>
      <c r="Y209" s="23">
        <v>1111</v>
      </c>
      <c r="Z209" s="23">
        <v>11100002</v>
      </c>
      <c r="AA209" s="23">
        <v>3312</v>
      </c>
      <c r="AB209" s="24">
        <v>46021</v>
      </c>
    </row>
    <row r="210" spans="2:28" x14ac:dyDescent="0.2">
      <c r="C210" s="23">
        <v>1100572590</v>
      </c>
      <c r="E210" s="23">
        <v>20</v>
      </c>
      <c r="F210" s="23" t="s">
        <v>84</v>
      </c>
      <c r="G210" s="23" t="s">
        <v>123</v>
      </c>
      <c r="H210" s="24">
        <v>46108</v>
      </c>
      <c r="I210" s="24">
        <v>46108</v>
      </c>
      <c r="J210" s="23" t="s">
        <v>1401</v>
      </c>
      <c r="K210" s="23" t="s">
        <v>1401</v>
      </c>
      <c r="L210" s="23">
        <v>1</v>
      </c>
      <c r="M210" s="23" t="s">
        <v>78</v>
      </c>
      <c r="N210" s="23" t="s">
        <v>78</v>
      </c>
      <c r="O210" s="23">
        <v>0.01</v>
      </c>
      <c r="P210" s="23" t="s">
        <v>79</v>
      </c>
      <c r="Q210" s="23" t="s">
        <v>83</v>
      </c>
      <c r="R210" s="23">
        <v>11100008</v>
      </c>
      <c r="S210" s="24" t="s">
        <v>80</v>
      </c>
      <c r="T210" s="24">
        <v>46021</v>
      </c>
      <c r="U210" s="24">
        <v>46101</v>
      </c>
      <c r="X210" s="24">
        <v>46014</v>
      </c>
      <c r="Y210" s="23">
        <v>1111</v>
      </c>
      <c r="Z210" s="23">
        <v>11100002</v>
      </c>
      <c r="AA210" s="23">
        <v>3312</v>
      </c>
      <c r="AB210" s="24">
        <v>46021</v>
      </c>
    </row>
    <row r="211" spans="2:28" x14ac:dyDescent="0.2">
      <c r="B211" s="23" t="s">
        <v>81</v>
      </c>
      <c r="C211" s="23">
        <v>1100572590</v>
      </c>
      <c r="H211" s="24">
        <v>46108</v>
      </c>
      <c r="O211" s="23">
        <v>12884.01</v>
      </c>
      <c r="P211" s="23" t="s">
        <v>79</v>
      </c>
    </row>
    <row r="212" spans="2:28" x14ac:dyDescent="0.2">
      <c r="C212" s="23">
        <v>1100102477</v>
      </c>
      <c r="E212" s="23">
        <v>750</v>
      </c>
      <c r="F212" s="23" t="s">
        <v>1423</v>
      </c>
      <c r="G212" s="23" t="s">
        <v>305</v>
      </c>
      <c r="H212" s="24">
        <v>46111</v>
      </c>
      <c r="I212" s="24">
        <v>46387</v>
      </c>
      <c r="J212" s="23" t="s">
        <v>312</v>
      </c>
      <c r="K212" s="23" t="s">
        <v>312</v>
      </c>
      <c r="L212" s="23">
        <v>1</v>
      </c>
      <c r="M212" s="23" t="s">
        <v>78</v>
      </c>
      <c r="N212" s="23" t="s">
        <v>78</v>
      </c>
      <c r="O212" s="23">
        <v>0</v>
      </c>
      <c r="P212" s="23" t="s">
        <v>79</v>
      </c>
      <c r="Q212" s="23" t="s">
        <v>83</v>
      </c>
      <c r="R212" s="23">
        <v>11100299</v>
      </c>
      <c r="S212" s="24" t="s">
        <v>80</v>
      </c>
      <c r="T212" s="24">
        <v>45483</v>
      </c>
      <c r="U212" s="24">
        <v>46386</v>
      </c>
      <c r="X212" s="24">
        <v>45483</v>
      </c>
      <c r="Y212" s="23">
        <v>1111</v>
      </c>
      <c r="Z212" s="23">
        <v>11400129</v>
      </c>
      <c r="AA212" s="23">
        <v>5061</v>
      </c>
      <c r="AB212" s="24">
        <v>45889</v>
      </c>
    </row>
    <row r="213" spans="2:28" x14ac:dyDescent="0.2">
      <c r="C213" s="23">
        <v>1100102477</v>
      </c>
      <c r="E213" s="23">
        <v>1900</v>
      </c>
      <c r="F213" s="23" t="s">
        <v>1424</v>
      </c>
      <c r="G213" s="23" t="s">
        <v>1425</v>
      </c>
      <c r="H213" s="24">
        <v>46111</v>
      </c>
      <c r="I213" s="24">
        <v>46111</v>
      </c>
      <c r="J213" s="23" t="s">
        <v>312</v>
      </c>
      <c r="K213" s="23" t="s">
        <v>312</v>
      </c>
      <c r="L213" s="23">
        <v>1</v>
      </c>
      <c r="M213" s="23" t="s">
        <v>78</v>
      </c>
      <c r="N213" s="23" t="s">
        <v>78</v>
      </c>
      <c r="O213" s="23">
        <v>63313</v>
      </c>
      <c r="P213" s="23" t="s">
        <v>79</v>
      </c>
      <c r="Q213" s="23" t="s">
        <v>119</v>
      </c>
      <c r="R213" s="23">
        <v>11100299</v>
      </c>
      <c r="S213" s="24">
        <v>46111</v>
      </c>
      <c r="T213" s="24">
        <v>45483</v>
      </c>
      <c r="U213" s="24">
        <v>46386</v>
      </c>
      <c r="X213" s="24">
        <v>45483</v>
      </c>
      <c r="Y213" s="23">
        <v>1111</v>
      </c>
      <c r="Z213" s="23">
        <v>11400129</v>
      </c>
      <c r="AA213" s="23">
        <v>5061</v>
      </c>
      <c r="AB213" s="24">
        <v>45889</v>
      </c>
    </row>
    <row r="214" spans="2:28" x14ac:dyDescent="0.2">
      <c r="B214" s="23" t="s">
        <v>81</v>
      </c>
      <c r="C214" s="23">
        <v>1100102477</v>
      </c>
      <c r="H214" s="24">
        <v>46111</v>
      </c>
      <c r="O214" s="23">
        <v>63313</v>
      </c>
      <c r="P214" s="23" t="s">
        <v>79</v>
      </c>
    </row>
    <row r="215" spans="2:28" x14ac:dyDescent="0.2">
      <c r="C215" s="23">
        <v>1100102680</v>
      </c>
      <c r="E215" s="23">
        <v>1300</v>
      </c>
      <c r="F215" s="23" t="s">
        <v>1002</v>
      </c>
      <c r="G215" s="23" t="s">
        <v>1003</v>
      </c>
      <c r="H215" s="24">
        <v>46111</v>
      </c>
      <c r="I215" s="24">
        <v>46111</v>
      </c>
      <c r="J215" s="23" t="s">
        <v>542</v>
      </c>
      <c r="K215" s="23" t="s">
        <v>542</v>
      </c>
      <c r="L215" s="23">
        <v>1</v>
      </c>
      <c r="M215" s="23" t="s">
        <v>78</v>
      </c>
      <c r="N215" s="23" t="s">
        <v>78</v>
      </c>
      <c r="O215" s="23">
        <v>94751</v>
      </c>
      <c r="P215" s="23" t="s">
        <v>79</v>
      </c>
      <c r="Q215" s="23" t="s">
        <v>119</v>
      </c>
      <c r="R215" s="23">
        <v>11100189</v>
      </c>
      <c r="S215" s="24">
        <v>46010</v>
      </c>
      <c r="T215" s="24">
        <v>45859</v>
      </c>
      <c r="U215" s="24">
        <v>46751</v>
      </c>
      <c r="X215" s="24">
        <v>45859</v>
      </c>
      <c r="Y215" s="23">
        <v>1111</v>
      </c>
      <c r="Z215" s="23">
        <v>11400912</v>
      </c>
      <c r="AA215" s="23">
        <v>516103</v>
      </c>
      <c r="AB215" s="24">
        <v>45859</v>
      </c>
    </row>
    <row r="216" spans="2:28" x14ac:dyDescent="0.2">
      <c r="C216" s="23">
        <v>1100102680</v>
      </c>
      <c r="E216" s="23">
        <v>1700</v>
      </c>
      <c r="F216" s="23" t="s">
        <v>1004</v>
      </c>
      <c r="G216" s="23" t="s">
        <v>1005</v>
      </c>
      <c r="H216" s="24">
        <v>46111</v>
      </c>
      <c r="I216" s="24">
        <v>46111</v>
      </c>
      <c r="J216" s="23" t="s">
        <v>542</v>
      </c>
      <c r="K216" s="23" t="s">
        <v>542</v>
      </c>
      <c r="L216" s="23">
        <v>1</v>
      </c>
      <c r="M216" s="23" t="s">
        <v>78</v>
      </c>
      <c r="N216" s="23" t="s">
        <v>78</v>
      </c>
      <c r="O216" s="23">
        <v>91500</v>
      </c>
      <c r="P216" s="23" t="s">
        <v>79</v>
      </c>
      <c r="Q216" s="23" t="s">
        <v>119</v>
      </c>
      <c r="R216" s="23">
        <v>11100189</v>
      </c>
      <c r="S216" s="24">
        <v>46054</v>
      </c>
      <c r="T216" s="24">
        <v>45859</v>
      </c>
      <c r="U216" s="24">
        <v>46751</v>
      </c>
      <c r="X216" s="24">
        <v>45859</v>
      </c>
      <c r="Y216" s="23">
        <v>1111</v>
      </c>
      <c r="Z216" s="23">
        <v>11400912</v>
      </c>
      <c r="AA216" s="23">
        <v>516103</v>
      </c>
      <c r="AB216" s="24">
        <v>45859</v>
      </c>
    </row>
    <row r="217" spans="2:28" x14ac:dyDescent="0.2">
      <c r="C217" s="23">
        <v>1100102680</v>
      </c>
      <c r="E217" s="23">
        <v>1900</v>
      </c>
      <c r="F217" s="23" t="s">
        <v>1006</v>
      </c>
      <c r="G217" s="23" t="s">
        <v>1007</v>
      </c>
      <c r="H217" s="24">
        <v>46111</v>
      </c>
      <c r="I217" s="24">
        <v>46752</v>
      </c>
      <c r="J217" s="23" t="s">
        <v>542</v>
      </c>
      <c r="K217" s="23" t="s">
        <v>542</v>
      </c>
      <c r="L217" s="23">
        <v>1</v>
      </c>
      <c r="M217" s="23" t="s">
        <v>78</v>
      </c>
      <c r="N217" s="23" t="s">
        <v>78</v>
      </c>
      <c r="O217" s="23">
        <v>94871</v>
      </c>
      <c r="P217" s="23" t="s">
        <v>79</v>
      </c>
      <c r="Q217" s="23" t="s">
        <v>119</v>
      </c>
      <c r="R217" s="23">
        <v>11100189</v>
      </c>
      <c r="S217" s="24">
        <v>46031</v>
      </c>
      <c r="T217" s="24">
        <v>45859</v>
      </c>
      <c r="U217" s="24">
        <v>46751</v>
      </c>
      <c r="X217" s="24">
        <v>45859</v>
      </c>
      <c r="Y217" s="23">
        <v>1111</v>
      </c>
      <c r="Z217" s="23">
        <v>11400912</v>
      </c>
      <c r="AA217" s="23">
        <v>5161</v>
      </c>
      <c r="AB217" s="24">
        <v>45859</v>
      </c>
    </row>
    <row r="218" spans="2:28" x14ac:dyDescent="0.2">
      <c r="B218" s="23" t="s">
        <v>81</v>
      </c>
      <c r="C218" s="23">
        <v>1100102680</v>
      </c>
      <c r="H218" s="24">
        <v>46111</v>
      </c>
      <c r="O218" s="23">
        <v>281122</v>
      </c>
      <c r="P218" s="23" t="s">
        <v>79</v>
      </c>
    </row>
    <row r="219" spans="2:28" x14ac:dyDescent="0.2">
      <c r="C219" s="23">
        <v>1100555276</v>
      </c>
      <c r="E219" s="23">
        <v>10</v>
      </c>
      <c r="F219" s="23" t="s">
        <v>1331</v>
      </c>
      <c r="G219" s="23" t="s">
        <v>1332</v>
      </c>
      <c r="H219" s="24">
        <v>46111</v>
      </c>
      <c r="I219" s="24">
        <v>46111</v>
      </c>
      <c r="J219" s="23" t="s">
        <v>1042</v>
      </c>
      <c r="K219" s="23" t="s">
        <v>1042</v>
      </c>
      <c r="L219" s="23">
        <v>1</v>
      </c>
      <c r="M219" s="23" t="s">
        <v>78</v>
      </c>
      <c r="N219" s="23" t="s">
        <v>78</v>
      </c>
      <c r="O219" s="23">
        <v>41151</v>
      </c>
      <c r="P219" s="23" t="s">
        <v>79</v>
      </c>
      <c r="Q219" s="23" t="s">
        <v>83</v>
      </c>
      <c r="R219" s="23">
        <v>11100189</v>
      </c>
      <c r="S219" s="24" t="s">
        <v>80</v>
      </c>
      <c r="T219" s="24">
        <v>45838</v>
      </c>
      <c r="U219" s="24">
        <v>46752</v>
      </c>
      <c r="X219" s="24">
        <v>45831</v>
      </c>
      <c r="Y219" s="23">
        <v>1111</v>
      </c>
      <c r="Z219" s="23">
        <v>11100303</v>
      </c>
      <c r="AA219" s="23">
        <v>334903</v>
      </c>
      <c r="AB219" s="24">
        <v>45838</v>
      </c>
    </row>
    <row r="220" spans="2:28" x14ac:dyDescent="0.2">
      <c r="C220" s="23">
        <v>1100555276</v>
      </c>
      <c r="E220" s="23">
        <v>20</v>
      </c>
      <c r="F220" s="23" t="s">
        <v>84</v>
      </c>
      <c r="G220" s="23" t="s">
        <v>123</v>
      </c>
      <c r="H220" s="24">
        <v>46111</v>
      </c>
      <c r="I220" s="24">
        <v>46111</v>
      </c>
      <c r="J220" s="23" t="s">
        <v>1042</v>
      </c>
      <c r="K220" s="23" t="s">
        <v>1042</v>
      </c>
      <c r="L220" s="23">
        <v>1</v>
      </c>
      <c r="M220" s="23" t="s">
        <v>78</v>
      </c>
      <c r="N220" s="23" t="s">
        <v>78</v>
      </c>
      <c r="O220" s="23">
        <v>0.01</v>
      </c>
      <c r="P220" s="23" t="s">
        <v>79</v>
      </c>
      <c r="Q220" s="23" t="s">
        <v>83</v>
      </c>
      <c r="R220" s="23">
        <v>11100189</v>
      </c>
      <c r="S220" s="24" t="s">
        <v>80</v>
      </c>
      <c r="T220" s="24">
        <v>45838</v>
      </c>
      <c r="U220" s="24">
        <v>46752</v>
      </c>
      <c r="X220" s="24">
        <v>45831</v>
      </c>
      <c r="Y220" s="23">
        <v>1111</v>
      </c>
      <c r="Z220" s="23">
        <v>11100303</v>
      </c>
      <c r="AA220" s="23">
        <v>334903</v>
      </c>
      <c r="AB220" s="24">
        <v>45838</v>
      </c>
    </row>
    <row r="221" spans="2:28" x14ac:dyDescent="0.2">
      <c r="C221" s="23">
        <v>1100555276</v>
      </c>
      <c r="E221" s="23">
        <v>30</v>
      </c>
      <c r="F221" s="23" t="s">
        <v>82</v>
      </c>
      <c r="G221" s="23" t="s">
        <v>139</v>
      </c>
      <c r="H221" s="24">
        <v>46111</v>
      </c>
      <c r="I221" s="24">
        <v>46111</v>
      </c>
      <c r="J221" s="23" t="s">
        <v>1042</v>
      </c>
      <c r="K221" s="23" t="s">
        <v>1042</v>
      </c>
      <c r="L221" s="23">
        <v>1</v>
      </c>
      <c r="M221" s="23" t="s">
        <v>78</v>
      </c>
      <c r="N221" s="23" t="s">
        <v>78</v>
      </c>
      <c r="O221" s="23">
        <v>0.01</v>
      </c>
      <c r="P221" s="23" t="s">
        <v>79</v>
      </c>
      <c r="Q221" s="23" t="s">
        <v>83</v>
      </c>
      <c r="R221" s="23">
        <v>11100189</v>
      </c>
      <c r="S221" s="24" t="s">
        <v>80</v>
      </c>
      <c r="T221" s="24">
        <v>45838</v>
      </c>
      <c r="U221" s="24">
        <v>46752</v>
      </c>
      <c r="X221" s="24">
        <v>45831</v>
      </c>
      <c r="Y221" s="23">
        <v>1111</v>
      </c>
      <c r="Z221" s="23">
        <v>11100303</v>
      </c>
      <c r="AA221" s="23">
        <v>334903</v>
      </c>
      <c r="AB221" s="24">
        <v>45838</v>
      </c>
    </row>
    <row r="222" spans="2:28" x14ac:dyDescent="0.2">
      <c r="B222" s="23" t="s">
        <v>81</v>
      </c>
      <c r="C222" s="23">
        <v>1100555276</v>
      </c>
      <c r="H222" s="24">
        <v>46111</v>
      </c>
      <c r="O222" s="23">
        <v>41151.019999999997</v>
      </c>
      <c r="P222" s="23" t="s">
        <v>79</v>
      </c>
    </row>
    <row r="223" spans="2:28" x14ac:dyDescent="0.2">
      <c r="C223" s="23">
        <v>1100558990</v>
      </c>
      <c r="E223" s="23">
        <v>10</v>
      </c>
      <c r="F223" s="23" t="s">
        <v>578</v>
      </c>
      <c r="G223" s="23" t="s">
        <v>487</v>
      </c>
      <c r="H223" s="24">
        <v>46111</v>
      </c>
      <c r="I223" s="24">
        <v>46111</v>
      </c>
      <c r="J223" s="23" t="s">
        <v>815</v>
      </c>
      <c r="K223" s="23" t="s">
        <v>815</v>
      </c>
      <c r="L223" s="23">
        <v>1</v>
      </c>
      <c r="M223" s="23" t="s">
        <v>78</v>
      </c>
      <c r="N223" s="23" t="s">
        <v>78</v>
      </c>
      <c r="O223" s="23">
        <v>110761</v>
      </c>
      <c r="P223" s="23" t="s">
        <v>79</v>
      </c>
      <c r="Q223" s="23" t="s">
        <v>83</v>
      </c>
      <c r="R223" s="23">
        <v>11100189</v>
      </c>
      <c r="S223" s="24" t="s">
        <v>80</v>
      </c>
      <c r="T223" s="24">
        <v>45877</v>
      </c>
      <c r="U223" s="24">
        <v>46752</v>
      </c>
      <c r="X223" s="24">
        <v>45485</v>
      </c>
      <c r="Y223" s="23">
        <v>1111</v>
      </c>
      <c r="Z223" s="23">
        <v>11100316</v>
      </c>
      <c r="AA223" s="23">
        <v>330103</v>
      </c>
      <c r="AB223" s="24">
        <v>45877</v>
      </c>
    </row>
    <row r="224" spans="2:28" x14ac:dyDescent="0.2">
      <c r="C224" s="23">
        <v>1100558990</v>
      </c>
      <c r="E224" s="23">
        <v>20</v>
      </c>
      <c r="F224" s="23" t="s">
        <v>579</v>
      </c>
      <c r="G224" s="23" t="s">
        <v>487</v>
      </c>
      <c r="H224" s="24">
        <v>46111</v>
      </c>
      <c r="I224" s="24">
        <v>46111</v>
      </c>
      <c r="J224" s="23" t="s">
        <v>815</v>
      </c>
      <c r="K224" s="23" t="s">
        <v>815</v>
      </c>
      <c r="L224" s="23">
        <v>1</v>
      </c>
      <c r="M224" s="23" t="s">
        <v>78</v>
      </c>
      <c r="N224" s="23" t="s">
        <v>78</v>
      </c>
      <c r="O224" s="23">
        <v>110761</v>
      </c>
      <c r="P224" s="23" t="s">
        <v>79</v>
      </c>
      <c r="Q224" s="23" t="s">
        <v>83</v>
      </c>
      <c r="R224" s="23">
        <v>11100189</v>
      </c>
      <c r="S224" s="24" t="s">
        <v>80</v>
      </c>
      <c r="T224" s="24">
        <v>45877</v>
      </c>
      <c r="U224" s="24">
        <v>46752</v>
      </c>
      <c r="X224" s="24">
        <v>45485</v>
      </c>
      <c r="Y224" s="23">
        <v>1111</v>
      </c>
      <c r="Z224" s="23">
        <v>11100316</v>
      </c>
      <c r="AA224" s="23">
        <v>330103</v>
      </c>
      <c r="AB224" s="24">
        <v>45877</v>
      </c>
    </row>
    <row r="225" spans="2:28" x14ac:dyDescent="0.2">
      <c r="C225" s="23">
        <v>1100558990</v>
      </c>
      <c r="E225" s="23">
        <v>30</v>
      </c>
      <c r="F225" s="23" t="s">
        <v>84</v>
      </c>
      <c r="G225" s="23" t="s">
        <v>123</v>
      </c>
      <c r="H225" s="24">
        <v>46111</v>
      </c>
      <c r="I225" s="24">
        <v>46111</v>
      </c>
      <c r="J225" s="23" t="s">
        <v>815</v>
      </c>
      <c r="K225" s="23" t="s">
        <v>815</v>
      </c>
      <c r="L225" s="23">
        <v>1</v>
      </c>
      <c r="M225" s="23" t="s">
        <v>78</v>
      </c>
      <c r="N225" s="23" t="s">
        <v>78</v>
      </c>
      <c r="O225" s="23">
        <v>0.01</v>
      </c>
      <c r="P225" s="23" t="s">
        <v>79</v>
      </c>
      <c r="Q225" s="23" t="s">
        <v>83</v>
      </c>
      <c r="R225" s="23">
        <v>11100189</v>
      </c>
      <c r="S225" s="24" t="s">
        <v>80</v>
      </c>
      <c r="T225" s="24">
        <v>45877</v>
      </c>
      <c r="U225" s="24">
        <v>46752</v>
      </c>
      <c r="X225" s="24">
        <v>45485</v>
      </c>
      <c r="Y225" s="23">
        <v>1111</v>
      </c>
      <c r="Z225" s="23">
        <v>11100316</v>
      </c>
      <c r="AA225" s="23">
        <v>330103</v>
      </c>
      <c r="AB225" s="24">
        <v>45877</v>
      </c>
    </row>
    <row r="226" spans="2:28" x14ac:dyDescent="0.2">
      <c r="C226" s="23">
        <v>1100558990</v>
      </c>
      <c r="E226" s="23">
        <v>40</v>
      </c>
      <c r="F226" s="23" t="s">
        <v>306</v>
      </c>
      <c r="G226" s="23" t="s">
        <v>422</v>
      </c>
      <c r="H226" s="24">
        <v>46111</v>
      </c>
      <c r="I226" s="24">
        <v>46111</v>
      </c>
      <c r="J226" s="23" t="s">
        <v>815</v>
      </c>
      <c r="K226" s="23" t="s">
        <v>815</v>
      </c>
      <c r="L226" s="23">
        <v>1</v>
      </c>
      <c r="M226" s="23" t="s">
        <v>78</v>
      </c>
      <c r="N226" s="23" t="s">
        <v>78</v>
      </c>
      <c r="O226" s="23">
        <v>25000</v>
      </c>
      <c r="P226" s="23" t="s">
        <v>79</v>
      </c>
      <c r="Q226" s="23" t="s">
        <v>83</v>
      </c>
      <c r="R226" s="23">
        <v>11100189</v>
      </c>
      <c r="S226" s="24" t="s">
        <v>80</v>
      </c>
      <c r="T226" s="24">
        <v>45877</v>
      </c>
      <c r="U226" s="24">
        <v>46752</v>
      </c>
      <c r="X226" s="24">
        <v>45485</v>
      </c>
      <c r="Y226" s="23">
        <v>1111</v>
      </c>
      <c r="Z226" s="23">
        <v>11100316</v>
      </c>
      <c r="AA226" s="23">
        <v>330103</v>
      </c>
      <c r="AB226" s="24">
        <v>45877</v>
      </c>
    </row>
    <row r="227" spans="2:28" x14ac:dyDescent="0.2">
      <c r="C227" s="23">
        <v>1100558990</v>
      </c>
      <c r="E227" s="23">
        <v>51</v>
      </c>
      <c r="F227" s="23" t="s">
        <v>94</v>
      </c>
      <c r="G227" s="23" t="s">
        <v>95</v>
      </c>
      <c r="H227" s="24">
        <v>46111</v>
      </c>
      <c r="I227" s="24">
        <v>46111</v>
      </c>
      <c r="J227" s="23" t="s">
        <v>815</v>
      </c>
      <c r="K227" s="23" t="s">
        <v>815</v>
      </c>
      <c r="L227" s="23">
        <v>1</v>
      </c>
      <c r="M227" s="23" t="s">
        <v>78</v>
      </c>
      <c r="N227" s="23" t="s">
        <v>78</v>
      </c>
      <c r="O227" s="23">
        <v>2875</v>
      </c>
      <c r="P227" s="23" t="s">
        <v>79</v>
      </c>
      <c r="Q227" s="23" t="s">
        <v>83</v>
      </c>
      <c r="R227" s="23">
        <v>11100189</v>
      </c>
      <c r="S227" s="24" t="s">
        <v>80</v>
      </c>
      <c r="T227" s="24">
        <v>45877</v>
      </c>
      <c r="U227" s="24">
        <v>46752</v>
      </c>
      <c r="X227" s="24">
        <v>45485</v>
      </c>
      <c r="Y227" s="23">
        <v>1111</v>
      </c>
      <c r="Z227" s="23">
        <v>11100316</v>
      </c>
      <c r="AA227" s="23">
        <v>330103</v>
      </c>
      <c r="AB227" s="24">
        <v>45877</v>
      </c>
    </row>
    <row r="228" spans="2:28" x14ac:dyDescent="0.2">
      <c r="C228" s="23">
        <v>1100558990</v>
      </c>
      <c r="E228" s="23">
        <v>80</v>
      </c>
      <c r="F228" s="23" t="s">
        <v>1276</v>
      </c>
      <c r="G228" s="23" t="s">
        <v>1277</v>
      </c>
      <c r="H228" s="24">
        <v>46111</v>
      </c>
      <c r="I228" s="24">
        <v>46111</v>
      </c>
      <c r="J228" s="23" t="s">
        <v>815</v>
      </c>
      <c r="K228" s="23" t="s">
        <v>815</v>
      </c>
      <c r="L228" s="23">
        <v>2</v>
      </c>
      <c r="M228" s="23" t="s">
        <v>78</v>
      </c>
      <c r="N228" s="23" t="s">
        <v>78</v>
      </c>
      <c r="O228" s="23">
        <v>0.02</v>
      </c>
      <c r="P228" s="23" t="s">
        <v>79</v>
      </c>
      <c r="Q228" s="23" t="s">
        <v>83</v>
      </c>
      <c r="R228" s="23">
        <v>11100189</v>
      </c>
      <c r="S228" s="24" t="s">
        <v>80</v>
      </c>
      <c r="T228" s="24">
        <v>45877</v>
      </c>
      <c r="U228" s="24">
        <v>46752</v>
      </c>
      <c r="X228" s="24">
        <v>45485</v>
      </c>
      <c r="Y228" s="23">
        <v>1111</v>
      </c>
      <c r="Z228" s="23">
        <v>11100316</v>
      </c>
      <c r="AA228" s="23">
        <v>330103</v>
      </c>
      <c r="AB228" s="24">
        <v>45877</v>
      </c>
    </row>
    <row r="229" spans="2:28" x14ac:dyDescent="0.2">
      <c r="B229" s="23" t="s">
        <v>81</v>
      </c>
      <c r="C229" s="23">
        <v>1100558990</v>
      </c>
      <c r="H229" s="24">
        <v>46111</v>
      </c>
      <c r="O229" s="23">
        <v>249397.03</v>
      </c>
      <c r="P229" s="23" t="s">
        <v>79</v>
      </c>
    </row>
    <row r="230" spans="2:28" x14ac:dyDescent="0.2">
      <c r="C230" s="23">
        <v>1100559526</v>
      </c>
      <c r="E230" s="23">
        <v>10</v>
      </c>
      <c r="F230" s="23" t="s">
        <v>1224</v>
      </c>
      <c r="G230" s="23" t="s">
        <v>540</v>
      </c>
      <c r="H230" s="24">
        <v>46111</v>
      </c>
      <c r="I230" s="24">
        <v>46111</v>
      </c>
      <c r="J230" s="23" t="s">
        <v>2334</v>
      </c>
      <c r="K230" s="23" t="s">
        <v>2334</v>
      </c>
      <c r="L230" s="23">
        <v>1</v>
      </c>
      <c r="M230" s="23" t="s">
        <v>78</v>
      </c>
      <c r="N230" s="23" t="s">
        <v>78</v>
      </c>
      <c r="O230" s="23">
        <v>55419</v>
      </c>
      <c r="P230" s="23" t="s">
        <v>79</v>
      </c>
      <c r="Q230" s="23" t="s">
        <v>83</v>
      </c>
      <c r="R230" s="23">
        <v>11100189</v>
      </c>
      <c r="S230" s="24" t="s">
        <v>80</v>
      </c>
      <c r="T230" s="24">
        <v>45882</v>
      </c>
      <c r="U230" s="24">
        <v>46063</v>
      </c>
      <c r="X230" s="24">
        <v>45723</v>
      </c>
      <c r="Y230" s="23">
        <v>1111</v>
      </c>
      <c r="Z230" s="23">
        <v>11100319</v>
      </c>
      <c r="AA230" s="23">
        <v>334903</v>
      </c>
      <c r="AB230" s="24">
        <v>45882</v>
      </c>
    </row>
    <row r="231" spans="2:28" x14ac:dyDescent="0.2">
      <c r="C231" s="23">
        <v>1100559526</v>
      </c>
      <c r="E231" s="23">
        <v>20</v>
      </c>
      <c r="F231" s="23" t="s">
        <v>1224</v>
      </c>
      <c r="G231" s="23" t="s">
        <v>540</v>
      </c>
      <c r="H231" s="24">
        <v>46111</v>
      </c>
      <c r="I231" s="24">
        <v>46111</v>
      </c>
      <c r="J231" s="23" t="s">
        <v>2334</v>
      </c>
      <c r="K231" s="23" t="s">
        <v>2334</v>
      </c>
      <c r="L231" s="23">
        <v>1</v>
      </c>
      <c r="M231" s="23" t="s">
        <v>78</v>
      </c>
      <c r="N231" s="23" t="s">
        <v>78</v>
      </c>
      <c r="O231" s="23">
        <v>55419</v>
      </c>
      <c r="P231" s="23" t="s">
        <v>79</v>
      </c>
      <c r="Q231" s="23" t="s">
        <v>83</v>
      </c>
      <c r="R231" s="23">
        <v>11100189</v>
      </c>
      <c r="S231" s="24" t="s">
        <v>80</v>
      </c>
      <c r="T231" s="24">
        <v>45882</v>
      </c>
      <c r="U231" s="24">
        <v>46063</v>
      </c>
      <c r="X231" s="24">
        <v>45723</v>
      </c>
      <c r="Y231" s="23">
        <v>1111</v>
      </c>
      <c r="Z231" s="23">
        <v>11100319</v>
      </c>
      <c r="AA231" s="23">
        <v>334903</v>
      </c>
      <c r="AB231" s="24">
        <v>45882</v>
      </c>
    </row>
    <row r="232" spans="2:28" x14ac:dyDescent="0.2">
      <c r="C232" s="23">
        <v>1100559526</v>
      </c>
      <c r="E232" s="23">
        <v>30</v>
      </c>
      <c r="F232" s="23" t="s">
        <v>1224</v>
      </c>
      <c r="G232" s="23" t="s">
        <v>540</v>
      </c>
      <c r="H232" s="24">
        <v>46111</v>
      </c>
      <c r="I232" s="24">
        <v>46111</v>
      </c>
      <c r="J232" s="23" t="s">
        <v>2334</v>
      </c>
      <c r="K232" s="23" t="s">
        <v>2334</v>
      </c>
      <c r="L232" s="23">
        <v>1</v>
      </c>
      <c r="M232" s="23" t="s">
        <v>78</v>
      </c>
      <c r="N232" s="23" t="s">
        <v>78</v>
      </c>
      <c r="O232" s="23">
        <v>55419</v>
      </c>
      <c r="P232" s="23" t="s">
        <v>79</v>
      </c>
      <c r="Q232" s="23" t="s">
        <v>83</v>
      </c>
      <c r="R232" s="23">
        <v>11100189</v>
      </c>
      <c r="S232" s="24" t="s">
        <v>80</v>
      </c>
      <c r="T232" s="24">
        <v>45882</v>
      </c>
      <c r="U232" s="24">
        <v>46063</v>
      </c>
      <c r="X232" s="24">
        <v>45723</v>
      </c>
      <c r="Y232" s="23">
        <v>1111</v>
      </c>
      <c r="Z232" s="23">
        <v>11100319</v>
      </c>
      <c r="AA232" s="23">
        <v>334903</v>
      </c>
      <c r="AB232" s="24">
        <v>45882</v>
      </c>
    </row>
    <row r="233" spans="2:28" x14ac:dyDescent="0.2">
      <c r="C233" s="23">
        <v>1100559526</v>
      </c>
      <c r="E233" s="23">
        <v>40</v>
      </c>
      <c r="F233" s="23" t="s">
        <v>84</v>
      </c>
      <c r="G233" s="23" t="s">
        <v>123</v>
      </c>
      <c r="H233" s="24">
        <v>46111</v>
      </c>
      <c r="I233" s="24">
        <v>46111</v>
      </c>
      <c r="J233" s="23" t="s">
        <v>2334</v>
      </c>
      <c r="K233" s="23" t="s">
        <v>2334</v>
      </c>
      <c r="L233" s="23">
        <v>1</v>
      </c>
      <c r="M233" s="23" t="s">
        <v>78</v>
      </c>
      <c r="N233" s="23" t="s">
        <v>78</v>
      </c>
      <c r="O233" s="23">
        <v>0.01</v>
      </c>
      <c r="P233" s="23" t="s">
        <v>79</v>
      </c>
      <c r="Q233" s="23" t="s">
        <v>83</v>
      </c>
      <c r="R233" s="23">
        <v>11100189</v>
      </c>
      <c r="S233" s="24" t="s">
        <v>80</v>
      </c>
      <c r="T233" s="24">
        <v>45882</v>
      </c>
      <c r="U233" s="24">
        <v>46063</v>
      </c>
      <c r="X233" s="24">
        <v>45723</v>
      </c>
      <c r="Y233" s="23">
        <v>1111</v>
      </c>
      <c r="Z233" s="23">
        <v>11100319</v>
      </c>
      <c r="AA233" s="23">
        <v>334903</v>
      </c>
      <c r="AB233" s="24">
        <v>45882</v>
      </c>
    </row>
    <row r="234" spans="2:28" x14ac:dyDescent="0.2">
      <c r="B234" s="23" t="s">
        <v>81</v>
      </c>
      <c r="C234" s="23">
        <v>1100559526</v>
      </c>
      <c r="H234" s="24">
        <v>46111</v>
      </c>
      <c r="O234" s="23">
        <v>166257.01</v>
      </c>
      <c r="P234" s="23" t="s">
        <v>79</v>
      </c>
    </row>
    <row r="235" spans="2:28" x14ac:dyDescent="0.2">
      <c r="C235" s="23">
        <v>1100564341</v>
      </c>
      <c r="E235" s="23">
        <v>10</v>
      </c>
      <c r="F235" s="23" t="s">
        <v>1261</v>
      </c>
      <c r="G235" s="23" t="s">
        <v>1262</v>
      </c>
      <c r="H235" s="24">
        <v>46111</v>
      </c>
      <c r="I235" s="24">
        <v>46111</v>
      </c>
      <c r="J235" s="23" t="s">
        <v>2335</v>
      </c>
      <c r="K235" s="23" t="s">
        <v>2335</v>
      </c>
      <c r="L235" s="23">
        <v>1</v>
      </c>
      <c r="M235" s="23" t="s">
        <v>78</v>
      </c>
      <c r="N235" s="23" t="s">
        <v>78</v>
      </c>
      <c r="O235" s="23">
        <v>43970</v>
      </c>
      <c r="P235" s="23" t="s">
        <v>79</v>
      </c>
      <c r="Q235" s="23" t="s">
        <v>83</v>
      </c>
      <c r="R235" s="23">
        <v>11100189</v>
      </c>
      <c r="S235" s="24">
        <v>46064</v>
      </c>
      <c r="T235" s="24">
        <v>45925</v>
      </c>
      <c r="U235" s="24">
        <v>46111</v>
      </c>
      <c r="X235" s="24">
        <v>45910</v>
      </c>
      <c r="Y235" s="23">
        <v>1111</v>
      </c>
      <c r="Z235" s="23">
        <v>11100303</v>
      </c>
      <c r="AA235" s="23">
        <v>500103</v>
      </c>
      <c r="AB235" s="24">
        <v>45925</v>
      </c>
    </row>
    <row r="236" spans="2:28" x14ac:dyDescent="0.2">
      <c r="C236" s="23">
        <v>1100564341</v>
      </c>
      <c r="E236" s="23">
        <v>20</v>
      </c>
      <c r="F236" s="23" t="s">
        <v>1263</v>
      </c>
      <c r="G236" s="23" t="s">
        <v>1264</v>
      </c>
      <c r="H236" s="24">
        <v>46111</v>
      </c>
      <c r="I236" s="24">
        <v>46111</v>
      </c>
      <c r="J236" s="23" t="s">
        <v>2335</v>
      </c>
      <c r="K236" s="23" t="s">
        <v>2335</v>
      </c>
      <c r="L236" s="23">
        <v>1</v>
      </c>
      <c r="M236" s="23" t="s">
        <v>78</v>
      </c>
      <c r="N236" s="23" t="s">
        <v>78</v>
      </c>
      <c r="O236" s="23">
        <v>43970</v>
      </c>
      <c r="P236" s="23" t="s">
        <v>79</v>
      </c>
      <c r="Q236" s="23" t="s">
        <v>83</v>
      </c>
      <c r="R236" s="23">
        <v>11100189</v>
      </c>
      <c r="S236" s="24" t="s">
        <v>80</v>
      </c>
      <c r="T236" s="24">
        <v>45925</v>
      </c>
      <c r="U236" s="24">
        <v>46111</v>
      </c>
      <c r="X236" s="24">
        <v>45910</v>
      </c>
      <c r="Y236" s="23">
        <v>1111</v>
      </c>
      <c r="Z236" s="23">
        <v>11100303</v>
      </c>
      <c r="AA236" s="23">
        <v>500103</v>
      </c>
      <c r="AB236" s="24">
        <v>45925</v>
      </c>
    </row>
    <row r="237" spans="2:28" x14ac:dyDescent="0.2">
      <c r="C237" s="23">
        <v>1100564341</v>
      </c>
      <c r="E237" s="23">
        <v>30</v>
      </c>
      <c r="F237" s="23" t="s">
        <v>84</v>
      </c>
      <c r="G237" s="23" t="s">
        <v>123</v>
      </c>
      <c r="H237" s="24">
        <v>46111</v>
      </c>
      <c r="I237" s="24">
        <v>46111</v>
      </c>
      <c r="J237" s="23" t="s">
        <v>2335</v>
      </c>
      <c r="K237" s="23" t="s">
        <v>2335</v>
      </c>
      <c r="L237" s="23">
        <v>1</v>
      </c>
      <c r="M237" s="23" t="s">
        <v>78</v>
      </c>
      <c r="N237" s="23" t="s">
        <v>78</v>
      </c>
      <c r="O237" s="23">
        <v>0.01</v>
      </c>
      <c r="P237" s="23" t="s">
        <v>79</v>
      </c>
      <c r="Q237" s="23" t="s">
        <v>83</v>
      </c>
      <c r="R237" s="23">
        <v>11100189</v>
      </c>
      <c r="S237" s="24" t="s">
        <v>80</v>
      </c>
      <c r="T237" s="24">
        <v>45925</v>
      </c>
      <c r="U237" s="24">
        <v>46111</v>
      </c>
      <c r="X237" s="24">
        <v>45910</v>
      </c>
      <c r="Y237" s="23">
        <v>1111</v>
      </c>
      <c r="Z237" s="23">
        <v>11100303</v>
      </c>
      <c r="AA237" s="23">
        <v>500103</v>
      </c>
      <c r="AB237" s="24">
        <v>45925</v>
      </c>
    </row>
    <row r="238" spans="2:28" x14ac:dyDescent="0.2">
      <c r="C238" s="23">
        <v>1100564341</v>
      </c>
      <c r="E238" s="23">
        <v>40</v>
      </c>
      <c r="F238" s="23" t="s">
        <v>209</v>
      </c>
      <c r="G238" s="23" t="s">
        <v>210</v>
      </c>
      <c r="H238" s="24">
        <v>46111</v>
      </c>
      <c r="I238" s="24">
        <v>46111</v>
      </c>
      <c r="J238" s="23" t="s">
        <v>2335</v>
      </c>
      <c r="K238" s="23" t="s">
        <v>2335</v>
      </c>
      <c r="L238" s="23">
        <v>1</v>
      </c>
      <c r="M238" s="23" t="s">
        <v>78</v>
      </c>
      <c r="N238" s="23" t="s">
        <v>78</v>
      </c>
      <c r="O238" s="23">
        <v>0.01</v>
      </c>
      <c r="P238" s="23" t="s">
        <v>79</v>
      </c>
      <c r="Q238" s="23" t="s">
        <v>83</v>
      </c>
      <c r="R238" s="23">
        <v>11100189</v>
      </c>
      <c r="S238" s="24" t="s">
        <v>80</v>
      </c>
      <c r="T238" s="24">
        <v>45925</v>
      </c>
      <c r="U238" s="24">
        <v>46111</v>
      </c>
      <c r="X238" s="24">
        <v>45910</v>
      </c>
      <c r="Y238" s="23">
        <v>1111</v>
      </c>
      <c r="Z238" s="23">
        <v>11100303</v>
      </c>
      <c r="AA238" s="23">
        <v>500103</v>
      </c>
      <c r="AB238" s="24">
        <v>45925</v>
      </c>
    </row>
    <row r="239" spans="2:28" x14ac:dyDescent="0.2">
      <c r="B239" s="23" t="s">
        <v>81</v>
      </c>
      <c r="C239" s="23">
        <v>1100564341</v>
      </c>
      <c r="H239" s="24">
        <v>46111</v>
      </c>
      <c r="O239" s="23">
        <v>87940.02</v>
      </c>
      <c r="P239" s="23" t="s">
        <v>79</v>
      </c>
    </row>
    <row r="240" spans="2:28" x14ac:dyDescent="0.2">
      <c r="C240" s="23">
        <v>1100571348</v>
      </c>
      <c r="E240" s="23">
        <v>10</v>
      </c>
      <c r="F240" s="23" t="s">
        <v>1426</v>
      </c>
      <c r="G240" s="23" t="s">
        <v>988</v>
      </c>
      <c r="H240" s="24">
        <v>46111</v>
      </c>
      <c r="I240" s="24">
        <v>46111</v>
      </c>
      <c r="J240" s="23" t="s">
        <v>1427</v>
      </c>
      <c r="K240" s="23" t="s">
        <v>1427</v>
      </c>
      <c r="L240" s="23">
        <v>1</v>
      </c>
      <c r="M240" s="23" t="s">
        <v>78</v>
      </c>
      <c r="N240" s="23" t="s">
        <v>78</v>
      </c>
      <c r="O240" s="23">
        <v>39008</v>
      </c>
      <c r="P240" s="23" t="s">
        <v>79</v>
      </c>
      <c r="Q240" s="23" t="s">
        <v>83</v>
      </c>
      <c r="R240" s="23">
        <v>11100018</v>
      </c>
      <c r="S240" s="24">
        <v>46111</v>
      </c>
      <c r="T240" s="24">
        <v>46003</v>
      </c>
      <c r="U240" s="24">
        <v>46752</v>
      </c>
      <c r="X240" s="24">
        <v>45981</v>
      </c>
      <c r="Y240" s="23">
        <v>1111</v>
      </c>
      <c r="Z240" s="23">
        <v>11100002</v>
      </c>
      <c r="AA240" s="23">
        <v>5001</v>
      </c>
      <c r="AB240" s="24">
        <v>46003</v>
      </c>
    </row>
    <row r="241" spans="2:28" x14ac:dyDescent="0.2">
      <c r="C241" s="23">
        <v>1100571348</v>
      </c>
      <c r="E241" s="23">
        <v>20</v>
      </c>
      <c r="F241" s="23" t="s">
        <v>84</v>
      </c>
      <c r="G241" s="23" t="s">
        <v>123</v>
      </c>
      <c r="H241" s="24">
        <v>46111</v>
      </c>
      <c r="I241" s="24">
        <v>46111</v>
      </c>
      <c r="J241" s="23" t="s">
        <v>1427</v>
      </c>
      <c r="K241" s="23" t="s">
        <v>1427</v>
      </c>
      <c r="L241" s="23">
        <v>1</v>
      </c>
      <c r="M241" s="23" t="s">
        <v>78</v>
      </c>
      <c r="N241" s="23" t="s">
        <v>78</v>
      </c>
      <c r="O241" s="23">
        <v>0.01</v>
      </c>
      <c r="P241" s="23" t="s">
        <v>79</v>
      </c>
      <c r="Q241" s="23" t="s">
        <v>83</v>
      </c>
      <c r="R241" s="23">
        <v>11100018</v>
      </c>
      <c r="S241" s="24" t="s">
        <v>80</v>
      </c>
      <c r="T241" s="24">
        <v>46003</v>
      </c>
      <c r="U241" s="24">
        <v>46752</v>
      </c>
      <c r="X241" s="24">
        <v>45981</v>
      </c>
      <c r="Y241" s="23">
        <v>1111</v>
      </c>
      <c r="Z241" s="23">
        <v>11100002</v>
      </c>
      <c r="AA241" s="23">
        <v>5001</v>
      </c>
      <c r="AB241" s="24">
        <v>46003</v>
      </c>
    </row>
    <row r="242" spans="2:28" x14ac:dyDescent="0.2">
      <c r="C242" s="23">
        <v>1100571348</v>
      </c>
      <c r="E242" s="23">
        <v>30</v>
      </c>
      <c r="F242" s="23" t="s">
        <v>82</v>
      </c>
      <c r="G242" s="23" t="s">
        <v>139</v>
      </c>
      <c r="H242" s="24">
        <v>46111</v>
      </c>
      <c r="I242" s="24">
        <v>46111</v>
      </c>
      <c r="J242" s="23" t="s">
        <v>1427</v>
      </c>
      <c r="K242" s="23" t="s">
        <v>1427</v>
      </c>
      <c r="L242" s="23">
        <v>1</v>
      </c>
      <c r="M242" s="23" t="s">
        <v>78</v>
      </c>
      <c r="N242" s="23" t="s">
        <v>78</v>
      </c>
      <c r="O242" s="23">
        <v>0.01</v>
      </c>
      <c r="P242" s="23" t="s">
        <v>79</v>
      </c>
      <c r="Q242" s="23" t="s">
        <v>83</v>
      </c>
      <c r="R242" s="23">
        <v>11100018</v>
      </c>
      <c r="S242" s="24" t="s">
        <v>80</v>
      </c>
      <c r="T242" s="24">
        <v>46003</v>
      </c>
      <c r="U242" s="24">
        <v>46752</v>
      </c>
      <c r="X242" s="24">
        <v>45981</v>
      </c>
      <c r="Y242" s="23">
        <v>1111</v>
      </c>
      <c r="Z242" s="23">
        <v>11100002</v>
      </c>
      <c r="AA242" s="23">
        <v>5001</v>
      </c>
      <c r="AB242" s="24">
        <v>46003</v>
      </c>
    </row>
    <row r="243" spans="2:28" x14ac:dyDescent="0.2">
      <c r="B243" s="23" t="s">
        <v>81</v>
      </c>
      <c r="C243" s="23">
        <v>1100571348</v>
      </c>
      <c r="H243" s="24">
        <v>46111</v>
      </c>
      <c r="O243" s="23">
        <v>39008.019999999997</v>
      </c>
      <c r="P243" s="23" t="s">
        <v>79</v>
      </c>
    </row>
    <row r="244" spans="2:28" x14ac:dyDescent="0.2">
      <c r="C244" s="23">
        <v>1100571994</v>
      </c>
      <c r="E244" s="23">
        <v>10</v>
      </c>
      <c r="F244" s="23" t="s">
        <v>1428</v>
      </c>
      <c r="G244" s="23" t="s">
        <v>1429</v>
      </c>
      <c r="H244" s="24">
        <v>46111</v>
      </c>
      <c r="I244" s="24">
        <v>46111</v>
      </c>
      <c r="J244" s="23" t="s">
        <v>1430</v>
      </c>
      <c r="K244" s="23" t="s">
        <v>1430</v>
      </c>
      <c r="L244" s="23">
        <v>1</v>
      </c>
      <c r="M244" s="23" t="s">
        <v>78</v>
      </c>
      <c r="N244" s="23" t="s">
        <v>78</v>
      </c>
      <c r="O244" s="23">
        <v>4833</v>
      </c>
      <c r="P244" s="23" t="s">
        <v>79</v>
      </c>
      <c r="Q244" s="23" t="s">
        <v>83</v>
      </c>
      <c r="R244" s="23">
        <v>11100299</v>
      </c>
      <c r="S244" s="24">
        <v>46052</v>
      </c>
      <c r="T244" s="24">
        <v>46009</v>
      </c>
      <c r="U244" s="24">
        <v>46111</v>
      </c>
      <c r="X244" s="24">
        <v>46007</v>
      </c>
      <c r="Y244" s="23">
        <v>1111</v>
      </c>
      <c r="Z244" s="23">
        <v>11100002</v>
      </c>
      <c r="AA244" s="23">
        <v>3312</v>
      </c>
      <c r="AB244" s="24">
        <v>46009</v>
      </c>
    </row>
    <row r="245" spans="2:28" x14ac:dyDescent="0.2">
      <c r="C245" s="23">
        <v>1100571994</v>
      </c>
      <c r="E245" s="23">
        <v>20</v>
      </c>
      <c r="F245" s="23" t="s">
        <v>84</v>
      </c>
      <c r="G245" s="23" t="s">
        <v>123</v>
      </c>
      <c r="H245" s="24">
        <v>46111</v>
      </c>
      <c r="I245" s="24">
        <v>46111</v>
      </c>
      <c r="J245" s="23" t="s">
        <v>1430</v>
      </c>
      <c r="K245" s="23" t="s">
        <v>1430</v>
      </c>
      <c r="L245" s="23">
        <v>1</v>
      </c>
      <c r="M245" s="23" t="s">
        <v>78</v>
      </c>
      <c r="N245" s="23" t="s">
        <v>78</v>
      </c>
      <c r="O245" s="23">
        <v>0.01</v>
      </c>
      <c r="P245" s="23" t="s">
        <v>79</v>
      </c>
      <c r="Q245" s="23" t="s">
        <v>83</v>
      </c>
      <c r="R245" s="23">
        <v>11100299</v>
      </c>
      <c r="S245" s="24" t="s">
        <v>80</v>
      </c>
      <c r="T245" s="24">
        <v>46009</v>
      </c>
      <c r="U245" s="24">
        <v>46111</v>
      </c>
      <c r="X245" s="24">
        <v>46007</v>
      </c>
      <c r="Y245" s="23">
        <v>1111</v>
      </c>
      <c r="Z245" s="23">
        <v>11100002</v>
      </c>
      <c r="AA245" s="23">
        <v>3312</v>
      </c>
      <c r="AB245" s="24">
        <v>46009</v>
      </c>
    </row>
    <row r="246" spans="2:28" x14ac:dyDescent="0.2">
      <c r="C246" s="23">
        <v>1100571994</v>
      </c>
      <c r="E246" s="23">
        <v>30</v>
      </c>
      <c r="F246" s="23" t="s">
        <v>82</v>
      </c>
      <c r="G246" s="23" t="s">
        <v>139</v>
      </c>
      <c r="H246" s="24">
        <v>46111</v>
      </c>
      <c r="I246" s="24">
        <v>46111</v>
      </c>
      <c r="J246" s="23" t="s">
        <v>1430</v>
      </c>
      <c r="K246" s="23" t="s">
        <v>1430</v>
      </c>
      <c r="L246" s="23">
        <v>1</v>
      </c>
      <c r="M246" s="23" t="s">
        <v>78</v>
      </c>
      <c r="N246" s="23" t="s">
        <v>78</v>
      </c>
      <c r="O246" s="23">
        <v>0.01</v>
      </c>
      <c r="P246" s="23" t="s">
        <v>79</v>
      </c>
      <c r="Q246" s="23" t="s">
        <v>83</v>
      </c>
      <c r="R246" s="23">
        <v>11100299</v>
      </c>
      <c r="S246" s="24" t="s">
        <v>80</v>
      </c>
      <c r="T246" s="24">
        <v>46009</v>
      </c>
      <c r="U246" s="24">
        <v>46111</v>
      </c>
      <c r="X246" s="24">
        <v>46007</v>
      </c>
      <c r="Y246" s="23">
        <v>1111</v>
      </c>
      <c r="Z246" s="23">
        <v>11100002</v>
      </c>
      <c r="AA246" s="23">
        <v>3312</v>
      </c>
      <c r="AB246" s="24">
        <v>46009</v>
      </c>
    </row>
    <row r="247" spans="2:28" x14ac:dyDescent="0.2">
      <c r="B247" s="23" t="s">
        <v>81</v>
      </c>
      <c r="C247" s="23">
        <v>1100571994</v>
      </c>
      <c r="H247" s="24">
        <v>46111</v>
      </c>
      <c r="O247" s="23">
        <v>4833.0200000000004</v>
      </c>
      <c r="P247" s="23" t="s">
        <v>79</v>
      </c>
    </row>
    <row r="248" spans="2:28" x14ac:dyDescent="0.2">
      <c r="C248" s="23">
        <v>1100574624</v>
      </c>
      <c r="E248" s="23">
        <v>10</v>
      </c>
      <c r="F248" s="23" t="s">
        <v>2336</v>
      </c>
      <c r="G248" s="23" t="s">
        <v>2337</v>
      </c>
      <c r="H248" s="24">
        <v>46111</v>
      </c>
      <c r="I248" s="24">
        <v>46111</v>
      </c>
      <c r="J248" s="23" t="s">
        <v>2338</v>
      </c>
      <c r="K248" s="23" t="s">
        <v>2338</v>
      </c>
      <c r="L248" s="23">
        <v>2</v>
      </c>
      <c r="M248" s="23" t="s">
        <v>78</v>
      </c>
      <c r="N248" s="23" t="s">
        <v>78</v>
      </c>
      <c r="O248" s="23">
        <v>20462</v>
      </c>
      <c r="P248" s="23" t="s">
        <v>79</v>
      </c>
      <c r="Q248" s="23" t="s">
        <v>83</v>
      </c>
      <c r="R248" s="23">
        <v>11100008</v>
      </c>
      <c r="S248" s="24">
        <v>46094</v>
      </c>
      <c r="T248" s="24">
        <v>46045</v>
      </c>
      <c r="U248" s="24">
        <v>46111</v>
      </c>
      <c r="X248" s="24">
        <v>46042</v>
      </c>
      <c r="Y248" s="23">
        <v>1111</v>
      </c>
      <c r="Z248" s="23">
        <v>11100002</v>
      </c>
      <c r="AA248" s="23">
        <v>3312</v>
      </c>
      <c r="AB248" s="24">
        <v>46045</v>
      </c>
    </row>
    <row r="249" spans="2:28" x14ac:dyDescent="0.2">
      <c r="C249" s="23">
        <v>1100574624</v>
      </c>
      <c r="E249" s="23">
        <v>20</v>
      </c>
      <c r="F249" s="23" t="s">
        <v>84</v>
      </c>
      <c r="G249" s="23" t="s">
        <v>123</v>
      </c>
      <c r="H249" s="24">
        <v>46111</v>
      </c>
      <c r="I249" s="24">
        <v>46111</v>
      </c>
      <c r="J249" s="23" t="s">
        <v>2338</v>
      </c>
      <c r="K249" s="23" t="s">
        <v>2338</v>
      </c>
      <c r="L249" s="23">
        <v>1</v>
      </c>
      <c r="M249" s="23" t="s">
        <v>78</v>
      </c>
      <c r="N249" s="23" t="s">
        <v>78</v>
      </c>
      <c r="O249" s="23">
        <v>0.01</v>
      </c>
      <c r="P249" s="23" t="s">
        <v>79</v>
      </c>
      <c r="Q249" s="23" t="s">
        <v>83</v>
      </c>
      <c r="R249" s="23">
        <v>11100008</v>
      </c>
      <c r="S249" s="24" t="s">
        <v>80</v>
      </c>
      <c r="T249" s="24">
        <v>46045</v>
      </c>
      <c r="U249" s="24">
        <v>46111</v>
      </c>
      <c r="X249" s="24">
        <v>46042</v>
      </c>
      <c r="Y249" s="23">
        <v>1111</v>
      </c>
      <c r="Z249" s="23">
        <v>11100002</v>
      </c>
      <c r="AA249" s="23">
        <v>3312</v>
      </c>
      <c r="AB249" s="24">
        <v>46045</v>
      </c>
    </row>
    <row r="250" spans="2:28" x14ac:dyDescent="0.2">
      <c r="C250" s="23">
        <v>1100574624</v>
      </c>
      <c r="E250" s="23">
        <v>30</v>
      </c>
      <c r="F250" s="23" t="s">
        <v>82</v>
      </c>
      <c r="G250" s="23" t="s">
        <v>139</v>
      </c>
      <c r="H250" s="24">
        <v>46111</v>
      </c>
      <c r="I250" s="24">
        <v>46111</v>
      </c>
      <c r="J250" s="23" t="s">
        <v>2338</v>
      </c>
      <c r="K250" s="23" t="s">
        <v>2338</v>
      </c>
      <c r="L250" s="23">
        <v>1</v>
      </c>
      <c r="M250" s="23" t="s">
        <v>78</v>
      </c>
      <c r="N250" s="23" t="s">
        <v>78</v>
      </c>
      <c r="O250" s="23">
        <v>0.01</v>
      </c>
      <c r="P250" s="23" t="s">
        <v>79</v>
      </c>
      <c r="Q250" s="23" t="s">
        <v>83</v>
      </c>
      <c r="R250" s="23">
        <v>11100008</v>
      </c>
      <c r="S250" s="24" t="s">
        <v>80</v>
      </c>
      <c r="T250" s="24">
        <v>46045</v>
      </c>
      <c r="U250" s="24">
        <v>46111</v>
      </c>
      <c r="X250" s="24">
        <v>46042</v>
      </c>
      <c r="Y250" s="23">
        <v>1111</v>
      </c>
      <c r="Z250" s="23">
        <v>11100002</v>
      </c>
      <c r="AA250" s="23">
        <v>3312</v>
      </c>
      <c r="AB250" s="24">
        <v>46045</v>
      </c>
    </row>
    <row r="251" spans="2:28" x14ac:dyDescent="0.2">
      <c r="B251" s="23" t="s">
        <v>81</v>
      </c>
      <c r="C251" s="23">
        <v>1100574624</v>
      </c>
      <c r="H251" s="24">
        <v>46111</v>
      </c>
      <c r="O251" s="23">
        <v>20462.02</v>
      </c>
      <c r="P251" s="23" t="s">
        <v>79</v>
      </c>
    </row>
    <row r="252" spans="2:28" x14ac:dyDescent="0.2">
      <c r="C252" s="23">
        <v>1100575401</v>
      </c>
      <c r="E252" s="23">
        <v>10</v>
      </c>
      <c r="F252" s="23" t="s">
        <v>2339</v>
      </c>
      <c r="G252" s="23" t="s">
        <v>2340</v>
      </c>
      <c r="H252" s="24">
        <v>46111</v>
      </c>
      <c r="I252" s="24">
        <v>46111</v>
      </c>
      <c r="J252" s="23" t="s">
        <v>2341</v>
      </c>
      <c r="K252" s="23" t="s">
        <v>2341</v>
      </c>
      <c r="L252" s="23">
        <v>1</v>
      </c>
      <c r="M252" s="23" t="s">
        <v>78</v>
      </c>
      <c r="N252" s="23" t="s">
        <v>78</v>
      </c>
      <c r="O252" s="23">
        <v>5688</v>
      </c>
      <c r="P252" s="23" t="s">
        <v>79</v>
      </c>
      <c r="Q252" s="23" t="s">
        <v>83</v>
      </c>
      <c r="R252" s="23">
        <v>11100008</v>
      </c>
      <c r="S252" s="24">
        <v>46111</v>
      </c>
      <c r="T252" s="24">
        <v>46051</v>
      </c>
      <c r="U252" s="24" t="s">
        <v>80</v>
      </c>
      <c r="X252" s="24">
        <v>46050</v>
      </c>
      <c r="Y252" s="23">
        <v>1111</v>
      </c>
      <c r="Z252" s="23">
        <v>11100002</v>
      </c>
      <c r="AA252" s="23">
        <v>3301</v>
      </c>
      <c r="AB252" s="24">
        <v>46051</v>
      </c>
    </row>
    <row r="253" spans="2:28" x14ac:dyDescent="0.2">
      <c r="C253" s="23">
        <v>1100575401</v>
      </c>
      <c r="E253" s="23">
        <v>20</v>
      </c>
      <c r="F253" s="23" t="s">
        <v>84</v>
      </c>
      <c r="G253" s="23" t="s">
        <v>123</v>
      </c>
      <c r="H253" s="24">
        <v>46111</v>
      </c>
      <c r="I253" s="24">
        <v>46111</v>
      </c>
      <c r="J253" s="23" t="s">
        <v>2341</v>
      </c>
      <c r="K253" s="23" t="s">
        <v>2341</v>
      </c>
      <c r="L253" s="23">
        <v>1</v>
      </c>
      <c r="M253" s="23" t="s">
        <v>78</v>
      </c>
      <c r="N253" s="23" t="s">
        <v>78</v>
      </c>
      <c r="O253" s="23">
        <v>0.01</v>
      </c>
      <c r="P253" s="23" t="s">
        <v>79</v>
      </c>
      <c r="Q253" s="23" t="s">
        <v>83</v>
      </c>
      <c r="R253" s="23">
        <v>11100008</v>
      </c>
      <c r="S253" s="24" t="s">
        <v>80</v>
      </c>
      <c r="T253" s="24">
        <v>46051</v>
      </c>
      <c r="U253" s="24" t="s">
        <v>80</v>
      </c>
      <c r="X253" s="24">
        <v>46050</v>
      </c>
      <c r="Y253" s="23">
        <v>1111</v>
      </c>
      <c r="Z253" s="23">
        <v>11100002</v>
      </c>
      <c r="AA253" s="23">
        <v>3301</v>
      </c>
      <c r="AB253" s="24">
        <v>46051</v>
      </c>
    </row>
    <row r="254" spans="2:28" x14ac:dyDescent="0.2">
      <c r="B254" s="23" t="s">
        <v>81</v>
      </c>
      <c r="C254" s="23">
        <v>1100575401</v>
      </c>
      <c r="H254" s="24">
        <v>46111</v>
      </c>
      <c r="O254" s="23">
        <v>5688.01</v>
      </c>
      <c r="P254" s="23" t="s">
        <v>79</v>
      </c>
    </row>
    <row r="255" spans="2:28" x14ac:dyDescent="0.2">
      <c r="C255" s="23">
        <v>1100575475</v>
      </c>
      <c r="E255" s="23">
        <v>10</v>
      </c>
      <c r="F255" s="23" t="s">
        <v>2342</v>
      </c>
      <c r="G255" s="23" t="s">
        <v>2343</v>
      </c>
      <c r="H255" s="24">
        <v>46112</v>
      </c>
      <c r="I255" s="24">
        <v>46112</v>
      </c>
      <c r="J255" s="23" t="s">
        <v>2344</v>
      </c>
      <c r="K255" s="23" t="s">
        <v>2344</v>
      </c>
      <c r="L255" s="23">
        <v>1</v>
      </c>
      <c r="M255" s="23" t="s">
        <v>78</v>
      </c>
      <c r="N255" s="23" t="s">
        <v>78</v>
      </c>
      <c r="O255" s="23">
        <v>11108</v>
      </c>
      <c r="P255" s="23" t="s">
        <v>79</v>
      </c>
      <c r="Q255" s="23" t="s">
        <v>83</v>
      </c>
      <c r="R255" s="23">
        <v>11100008</v>
      </c>
      <c r="S255" s="24">
        <v>46096</v>
      </c>
      <c r="T255" s="24">
        <v>46052</v>
      </c>
      <c r="U255" s="24" t="s">
        <v>80</v>
      </c>
      <c r="X255" s="24">
        <v>46006</v>
      </c>
      <c r="Y255" s="23">
        <v>1111</v>
      </c>
      <c r="Z255" s="23">
        <v>11100002</v>
      </c>
      <c r="AA255" s="23">
        <v>3301</v>
      </c>
      <c r="AB255" s="24">
        <v>46052</v>
      </c>
    </row>
    <row r="256" spans="2:28" x14ac:dyDescent="0.2">
      <c r="C256" s="23">
        <v>1100575475</v>
      </c>
      <c r="E256" s="23">
        <v>20</v>
      </c>
      <c r="F256" s="23" t="s">
        <v>84</v>
      </c>
      <c r="G256" s="23" t="s">
        <v>123</v>
      </c>
      <c r="H256" s="24">
        <v>46112</v>
      </c>
      <c r="I256" s="24">
        <v>46112</v>
      </c>
      <c r="J256" s="23" t="s">
        <v>2344</v>
      </c>
      <c r="K256" s="23" t="s">
        <v>2344</v>
      </c>
      <c r="L256" s="23">
        <v>1</v>
      </c>
      <c r="M256" s="23" t="s">
        <v>78</v>
      </c>
      <c r="N256" s="23" t="s">
        <v>78</v>
      </c>
      <c r="O256" s="23">
        <v>0.01</v>
      </c>
      <c r="P256" s="23" t="s">
        <v>79</v>
      </c>
      <c r="Q256" s="23" t="s">
        <v>83</v>
      </c>
      <c r="R256" s="23">
        <v>11100008</v>
      </c>
      <c r="S256" s="24" t="s">
        <v>80</v>
      </c>
      <c r="T256" s="24">
        <v>46052</v>
      </c>
      <c r="U256" s="24" t="s">
        <v>80</v>
      </c>
      <c r="X256" s="24">
        <v>46006</v>
      </c>
      <c r="Y256" s="23">
        <v>1111</v>
      </c>
      <c r="Z256" s="23">
        <v>11100002</v>
      </c>
      <c r="AA256" s="23">
        <v>3301</v>
      </c>
      <c r="AB256" s="24">
        <v>46052</v>
      </c>
    </row>
    <row r="257" spans="2:28" x14ac:dyDescent="0.2">
      <c r="B257" s="23" t="s">
        <v>81</v>
      </c>
      <c r="C257" s="23">
        <v>1100575475</v>
      </c>
      <c r="H257" s="24">
        <v>46112</v>
      </c>
      <c r="O257" s="23">
        <v>11108.01</v>
      </c>
      <c r="P257" s="23" t="s">
        <v>79</v>
      </c>
    </row>
    <row r="258" spans="2:28" x14ac:dyDescent="0.2">
      <c r="C258" s="23">
        <v>1100572517</v>
      </c>
      <c r="E258" s="23">
        <v>10</v>
      </c>
      <c r="F258" s="23" t="s">
        <v>1431</v>
      </c>
      <c r="G258" s="23" t="s">
        <v>1432</v>
      </c>
      <c r="H258" s="24">
        <v>46113</v>
      </c>
      <c r="I258" s="24">
        <v>46113</v>
      </c>
      <c r="J258" s="23" t="s">
        <v>1161</v>
      </c>
      <c r="K258" s="23" t="s">
        <v>1161</v>
      </c>
      <c r="L258" s="23">
        <v>1</v>
      </c>
      <c r="M258" s="23" t="s">
        <v>78</v>
      </c>
      <c r="N258" s="23" t="s">
        <v>78</v>
      </c>
      <c r="O258" s="23">
        <v>16951</v>
      </c>
      <c r="P258" s="23" t="s">
        <v>79</v>
      </c>
      <c r="Q258" s="23" t="s">
        <v>83</v>
      </c>
      <c r="R258" s="23">
        <v>11100299</v>
      </c>
      <c r="S258" s="24">
        <v>45687</v>
      </c>
      <c r="T258" s="24">
        <v>46020</v>
      </c>
      <c r="U258" s="24">
        <v>46113</v>
      </c>
      <c r="X258" s="24">
        <v>46006</v>
      </c>
      <c r="Y258" s="23">
        <v>1111</v>
      </c>
      <c r="Z258" s="23">
        <v>11100002</v>
      </c>
      <c r="AA258" s="23">
        <v>3312</v>
      </c>
      <c r="AB258" s="24">
        <v>46020</v>
      </c>
    </row>
    <row r="259" spans="2:28" x14ac:dyDescent="0.2">
      <c r="C259" s="23">
        <v>1100572517</v>
      </c>
      <c r="E259" s="23">
        <v>20</v>
      </c>
      <c r="F259" s="23" t="s">
        <v>84</v>
      </c>
      <c r="G259" s="23" t="s">
        <v>123</v>
      </c>
      <c r="H259" s="24">
        <v>46113</v>
      </c>
      <c r="I259" s="24">
        <v>46113</v>
      </c>
      <c r="J259" s="23" t="s">
        <v>1161</v>
      </c>
      <c r="K259" s="23" t="s">
        <v>1161</v>
      </c>
      <c r="L259" s="23">
        <v>1</v>
      </c>
      <c r="M259" s="23" t="s">
        <v>78</v>
      </c>
      <c r="N259" s="23" t="s">
        <v>78</v>
      </c>
      <c r="O259" s="23">
        <v>0.01</v>
      </c>
      <c r="P259" s="23" t="s">
        <v>79</v>
      </c>
      <c r="Q259" s="23" t="s">
        <v>83</v>
      </c>
      <c r="R259" s="23">
        <v>11100299</v>
      </c>
      <c r="S259" s="24" t="s">
        <v>80</v>
      </c>
      <c r="T259" s="24">
        <v>46020</v>
      </c>
      <c r="U259" s="24">
        <v>46113</v>
      </c>
      <c r="X259" s="24">
        <v>46006</v>
      </c>
      <c r="Y259" s="23">
        <v>1111</v>
      </c>
      <c r="Z259" s="23">
        <v>11100002</v>
      </c>
      <c r="AA259" s="23">
        <v>3312</v>
      </c>
      <c r="AB259" s="24">
        <v>46020</v>
      </c>
    </row>
    <row r="260" spans="2:28" x14ac:dyDescent="0.2">
      <c r="C260" s="23">
        <v>1100572517</v>
      </c>
      <c r="E260" s="23">
        <v>30</v>
      </c>
      <c r="F260" s="23" t="s">
        <v>82</v>
      </c>
      <c r="G260" s="23" t="s">
        <v>139</v>
      </c>
      <c r="H260" s="24">
        <v>46113</v>
      </c>
      <c r="I260" s="24">
        <v>46113</v>
      </c>
      <c r="J260" s="23" t="s">
        <v>1161</v>
      </c>
      <c r="K260" s="23" t="s">
        <v>1161</v>
      </c>
      <c r="L260" s="23">
        <v>1</v>
      </c>
      <c r="M260" s="23" t="s">
        <v>78</v>
      </c>
      <c r="N260" s="23" t="s">
        <v>78</v>
      </c>
      <c r="O260" s="23">
        <v>0.01</v>
      </c>
      <c r="P260" s="23" t="s">
        <v>79</v>
      </c>
      <c r="Q260" s="23" t="s">
        <v>83</v>
      </c>
      <c r="R260" s="23">
        <v>11100299</v>
      </c>
      <c r="S260" s="24" t="s">
        <v>80</v>
      </c>
      <c r="T260" s="24">
        <v>46020</v>
      </c>
      <c r="U260" s="24">
        <v>46113</v>
      </c>
      <c r="X260" s="24">
        <v>46006</v>
      </c>
      <c r="Y260" s="23">
        <v>1111</v>
      </c>
      <c r="Z260" s="23">
        <v>11100002</v>
      </c>
      <c r="AA260" s="23">
        <v>3312</v>
      </c>
      <c r="AB260" s="24">
        <v>46020</v>
      </c>
    </row>
    <row r="261" spans="2:28" x14ac:dyDescent="0.2">
      <c r="B261" s="23" t="s">
        <v>81</v>
      </c>
      <c r="C261" s="23">
        <v>1100572517</v>
      </c>
      <c r="H261" s="24">
        <v>46113</v>
      </c>
      <c r="O261" s="23">
        <v>16951.02</v>
      </c>
      <c r="P261" s="23" t="s">
        <v>79</v>
      </c>
    </row>
    <row r="262" spans="2:28" x14ac:dyDescent="0.2">
      <c r="C262" s="23">
        <v>1100565591</v>
      </c>
      <c r="E262" s="23">
        <v>10</v>
      </c>
      <c r="F262" s="23" t="s">
        <v>1215</v>
      </c>
      <c r="G262" s="23" t="s">
        <v>484</v>
      </c>
      <c r="H262" s="24">
        <v>46114</v>
      </c>
      <c r="I262" s="24">
        <v>46114</v>
      </c>
      <c r="J262" s="23" t="s">
        <v>1172</v>
      </c>
      <c r="K262" s="23" t="s">
        <v>1172</v>
      </c>
      <c r="L262" s="23">
        <v>1</v>
      </c>
      <c r="M262" s="23" t="s">
        <v>78</v>
      </c>
      <c r="N262" s="23" t="s">
        <v>78</v>
      </c>
      <c r="O262" s="23">
        <v>7262</v>
      </c>
      <c r="P262" s="23" t="s">
        <v>79</v>
      </c>
      <c r="Q262" s="23" t="s">
        <v>83</v>
      </c>
      <c r="R262" s="23">
        <v>11100018</v>
      </c>
      <c r="S262" s="24" t="s">
        <v>80</v>
      </c>
      <c r="T262" s="24">
        <v>45938</v>
      </c>
      <c r="U262" s="24" t="s">
        <v>80</v>
      </c>
      <c r="X262" s="24">
        <v>45937</v>
      </c>
      <c r="Y262" s="23">
        <v>1111</v>
      </c>
      <c r="Z262" s="23">
        <v>11100303</v>
      </c>
      <c r="AA262" s="23">
        <v>394903</v>
      </c>
      <c r="AB262" s="24">
        <v>45938</v>
      </c>
    </row>
    <row r="263" spans="2:28" x14ac:dyDescent="0.2">
      <c r="C263" s="23">
        <v>1100565591</v>
      </c>
      <c r="E263" s="23">
        <v>20</v>
      </c>
      <c r="F263" s="23" t="s">
        <v>84</v>
      </c>
      <c r="G263" s="23" t="s">
        <v>123</v>
      </c>
      <c r="H263" s="24">
        <v>46114</v>
      </c>
      <c r="I263" s="24">
        <v>46114</v>
      </c>
      <c r="J263" s="23" t="s">
        <v>1172</v>
      </c>
      <c r="K263" s="23" t="s">
        <v>1172</v>
      </c>
      <c r="L263" s="23">
        <v>1</v>
      </c>
      <c r="M263" s="23" t="s">
        <v>78</v>
      </c>
      <c r="N263" s="23" t="s">
        <v>78</v>
      </c>
      <c r="O263" s="23">
        <v>0.01</v>
      </c>
      <c r="P263" s="23" t="s">
        <v>79</v>
      </c>
      <c r="Q263" s="23" t="s">
        <v>83</v>
      </c>
      <c r="R263" s="23">
        <v>11100018</v>
      </c>
      <c r="S263" s="24" t="s">
        <v>80</v>
      </c>
      <c r="T263" s="24">
        <v>45938</v>
      </c>
      <c r="U263" s="24" t="s">
        <v>80</v>
      </c>
      <c r="X263" s="24">
        <v>45937</v>
      </c>
      <c r="Y263" s="23">
        <v>1111</v>
      </c>
      <c r="Z263" s="23">
        <v>11100303</v>
      </c>
      <c r="AA263" s="23">
        <v>394903</v>
      </c>
      <c r="AB263" s="24">
        <v>45938</v>
      </c>
    </row>
    <row r="264" spans="2:28" x14ac:dyDescent="0.2">
      <c r="B264" s="23" t="s">
        <v>81</v>
      </c>
      <c r="C264" s="23">
        <v>1100565591</v>
      </c>
      <c r="H264" s="24">
        <v>46114</v>
      </c>
      <c r="O264" s="23">
        <v>7262.01</v>
      </c>
      <c r="P264" s="23" t="s">
        <v>79</v>
      </c>
    </row>
    <row r="265" spans="2:28" x14ac:dyDescent="0.2">
      <c r="C265" s="23">
        <v>1100570524</v>
      </c>
      <c r="E265" s="23">
        <v>10</v>
      </c>
      <c r="F265" s="23" t="s">
        <v>1444</v>
      </c>
      <c r="G265" s="23" t="s">
        <v>549</v>
      </c>
      <c r="H265" s="24">
        <v>46115</v>
      </c>
      <c r="I265" s="24">
        <v>46115</v>
      </c>
      <c r="J265" s="23" t="s">
        <v>789</v>
      </c>
      <c r="K265" s="23" t="s">
        <v>789</v>
      </c>
      <c r="L265" s="23">
        <v>1</v>
      </c>
      <c r="M265" s="23" t="s">
        <v>78</v>
      </c>
      <c r="N265" s="23" t="s">
        <v>78</v>
      </c>
      <c r="O265" s="23">
        <v>10730</v>
      </c>
      <c r="P265" s="23" t="s">
        <v>79</v>
      </c>
      <c r="Q265" s="23" t="s">
        <v>83</v>
      </c>
      <c r="R265" s="23">
        <v>11100299</v>
      </c>
      <c r="S265" s="24" t="s">
        <v>80</v>
      </c>
      <c r="T265" s="24">
        <v>45995</v>
      </c>
      <c r="U265" s="24">
        <v>46114</v>
      </c>
      <c r="X265" s="24">
        <v>45985</v>
      </c>
      <c r="Y265" s="23">
        <v>1111</v>
      </c>
      <c r="Z265" s="23">
        <v>11100303</v>
      </c>
      <c r="AA265" s="23">
        <v>394903</v>
      </c>
      <c r="AB265" s="24">
        <v>45995</v>
      </c>
    </row>
    <row r="266" spans="2:28" x14ac:dyDescent="0.2">
      <c r="C266" s="23">
        <v>1100570524</v>
      </c>
      <c r="E266" s="23">
        <v>20</v>
      </c>
      <c r="F266" s="23" t="s">
        <v>84</v>
      </c>
      <c r="G266" s="23" t="s">
        <v>123</v>
      </c>
      <c r="H266" s="24">
        <v>46115</v>
      </c>
      <c r="I266" s="24">
        <v>46115</v>
      </c>
      <c r="J266" s="23" t="s">
        <v>789</v>
      </c>
      <c r="K266" s="23" t="s">
        <v>789</v>
      </c>
      <c r="L266" s="23">
        <v>1</v>
      </c>
      <c r="M266" s="23" t="s">
        <v>78</v>
      </c>
      <c r="N266" s="23" t="s">
        <v>78</v>
      </c>
      <c r="O266" s="23">
        <v>0.01</v>
      </c>
      <c r="P266" s="23" t="s">
        <v>79</v>
      </c>
      <c r="Q266" s="23" t="s">
        <v>83</v>
      </c>
      <c r="R266" s="23">
        <v>11100299</v>
      </c>
      <c r="S266" s="24" t="s">
        <v>80</v>
      </c>
      <c r="T266" s="24">
        <v>45995</v>
      </c>
      <c r="U266" s="24">
        <v>46114</v>
      </c>
      <c r="X266" s="24">
        <v>45985</v>
      </c>
      <c r="Y266" s="23">
        <v>1111</v>
      </c>
      <c r="Z266" s="23">
        <v>11100303</v>
      </c>
      <c r="AA266" s="23">
        <v>394903</v>
      </c>
      <c r="AB266" s="24">
        <v>45995</v>
      </c>
    </row>
    <row r="267" spans="2:28" x14ac:dyDescent="0.2">
      <c r="B267" s="23" t="s">
        <v>81</v>
      </c>
      <c r="C267" s="23">
        <v>1100570524</v>
      </c>
      <c r="H267" s="24">
        <v>46115</v>
      </c>
      <c r="O267" s="23">
        <v>10730.01</v>
      </c>
      <c r="P267" s="23" t="s">
        <v>79</v>
      </c>
    </row>
    <row r="268" spans="2:28" x14ac:dyDescent="0.2">
      <c r="C268" s="23">
        <v>1100570861</v>
      </c>
      <c r="E268" s="23">
        <v>10</v>
      </c>
      <c r="F268" s="23" t="s">
        <v>87</v>
      </c>
      <c r="G268" s="23" t="s">
        <v>1445</v>
      </c>
      <c r="H268" s="24">
        <v>46115</v>
      </c>
      <c r="I268" s="24">
        <v>46115</v>
      </c>
      <c r="J268" s="23" t="s">
        <v>437</v>
      </c>
      <c r="K268" s="23" t="s">
        <v>437</v>
      </c>
      <c r="L268" s="23">
        <v>1</v>
      </c>
      <c r="M268" s="23" t="s">
        <v>78</v>
      </c>
      <c r="N268" s="23" t="s">
        <v>78</v>
      </c>
      <c r="O268" s="23">
        <v>67147</v>
      </c>
      <c r="P268" s="23" t="s">
        <v>79</v>
      </c>
      <c r="Q268" s="23" t="s">
        <v>83</v>
      </c>
      <c r="S268" s="24">
        <v>46115</v>
      </c>
      <c r="T268" s="24">
        <v>45999</v>
      </c>
      <c r="U268" s="24">
        <v>46752</v>
      </c>
      <c r="X268" s="24">
        <v>45989</v>
      </c>
      <c r="Y268" s="23">
        <v>1111</v>
      </c>
      <c r="Z268" s="23">
        <v>11100305</v>
      </c>
      <c r="AA268" s="23">
        <v>310103</v>
      </c>
      <c r="AB268" s="24">
        <v>45999</v>
      </c>
    </row>
    <row r="269" spans="2:28" x14ac:dyDescent="0.2">
      <c r="C269" s="23">
        <v>1100570861</v>
      </c>
      <c r="E269" s="23">
        <v>30</v>
      </c>
      <c r="F269" s="23" t="s">
        <v>84</v>
      </c>
      <c r="G269" s="23" t="s">
        <v>123</v>
      </c>
      <c r="H269" s="24">
        <v>46115</v>
      </c>
      <c r="I269" s="24">
        <v>46115</v>
      </c>
      <c r="J269" s="23" t="s">
        <v>437</v>
      </c>
      <c r="K269" s="23" t="s">
        <v>437</v>
      </c>
      <c r="L269" s="23">
        <v>1</v>
      </c>
      <c r="M269" s="23" t="s">
        <v>78</v>
      </c>
      <c r="N269" s="23" t="s">
        <v>78</v>
      </c>
      <c r="O269" s="23">
        <v>0.01</v>
      </c>
      <c r="P269" s="23" t="s">
        <v>79</v>
      </c>
      <c r="Q269" s="23" t="s">
        <v>83</v>
      </c>
      <c r="S269" s="24">
        <v>46115</v>
      </c>
      <c r="T269" s="24">
        <v>45999</v>
      </c>
      <c r="U269" s="24">
        <v>46752</v>
      </c>
      <c r="X269" s="24">
        <v>45989</v>
      </c>
      <c r="Y269" s="23">
        <v>1111</v>
      </c>
      <c r="Z269" s="23">
        <v>11100305</v>
      </c>
      <c r="AA269" s="23">
        <v>310103</v>
      </c>
      <c r="AB269" s="24">
        <v>45999</v>
      </c>
    </row>
    <row r="270" spans="2:28" x14ac:dyDescent="0.2">
      <c r="B270" s="23" t="s">
        <v>81</v>
      </c>
      <c r="C270" s="23">
        <v>1100570861</v>
      </c>
      <c r="H270" s="24">
        <v>46115</v>
      </c>
      <c r="O270" s="23">
        <v>67147.009999999995</v>
      </c>
      <c r="P270" s="23" t="s">
        <v>79</v>
      </c>
    </row>
    <row r="271" spans="2:28" x14ac:dyDescent="0.2">
      <c r="C271" s="23">
        <v>1100571755</v>
      </c>
      <c r="E271" s="23">
        <v>10</v>
      </c>
      <c r="F271" s="23" t="s">
        <v>2345</v>
      </c>
      <c r="G271" s="23" t="s">
        <v>2346</v>
      </c>
      <c r="H271" s="24">
        <v>46115</v>
      </c>
      <c r="I271" s="24">
        <v>46115</v>
      </c>
      <c r="J271" s="23" t="s">
        <v>380</v>
      </c>
      <c r="K271" s="23" t="s">
        <v>380</v>
      </c>
      <c r="L271" s="23">
        <v>1</v>
      </c>
      <c r="M271" s="23" t="s">
        <v>78</v>
      </c>
      <c r="N271" s="23" t="s">
        <v>78</v>
      </c>
      <c r="O271" s="23">
        <v>30380</v>
      </c>
      <c r="P271" s="23" t="s">
        <v>79</v>
      </c>
      <c r="Q271" s="23" t="s">
        <v>83</v>
      </c>
      <c r="R271" s="23">
        <v>11100299</v>
      </c>
      <c r="S271" s="24" t="s">
        <v>80</v>
      </c>
      <c r="T271" s="24">
        <v>46008</v>
      </c>
      <c r="U271" s="24">
        <v>46114</v>
      </c>
      <c r="X271" s="24">
        <v>45993</v>
      </c>
      <c r="Y271" s="23">
        <v>1111</v>
      </c>
      <c r="Z271" s="23">
        <v>11100303</v>
      </c>
      <c r="AA271" s="23">
        <v>314903</v>
      </c>
      <c r="AB271" s="24">
        <v>46008</v>
      </c>
    </row>
    <row r="272" spans="2:28" x14ac:dyDescent="0.2">
      <c r="C272" s="23">
        <v>1100571755</v>
      </c>
      <c r="E272" s="23">
        <v>20</v>
      </c>
      <c r="F272" s="23" t="s">
        <v>84</v>
      </c>
      <c r="G272" s="23" t="s">
        <v>123</v>
      </c>
      <c r="H272" s="24">
        <v>46115</v>
      </c>
      <c r="I272" s="24">
        <v>46115</v>
      </c>
      <c r="J272" s="23" t="s">
        <v>380</v>
      </c>
      <c r="K272" s="23" t="s">
        <v>380</v>
      </c>
      <c r="L272" s="23">
        <v>1</v>
      </c>
      <c r="M272" s="23" t="s">
        <v>78</v>
      </c>
      <c r="N272" s="23" t="s">
        <v>78</v>
      </c>
      <c r="O272" s="23">
        <v>0.01</v>
      </c>
      <c r="P272" s="23" t="s">
        <v>79</v>
      </c>
      <c r="Q272" s="23" t="s">
        <v>83</v>
      </c>
      <c r="R272" s="23">
        <v>11100299</v>
      </c>
      <c r="S272" s="24" t="s">
        <v>80</v>
      </c>
      <c r="T272" s="24">
        <v>46008</v>
      </c>
      <c r="U272" s="24">
        <v>46114</v>
      </c>
      <c r="X272" s="24">
        <v>45993</v>
      </c>
      <c r="Y272" s="23">
        <v>1111</v>
      </c>
      <c r="Z272" s="23">
        <v>11100303</v>
      </c>
      <c r="AA272" s="23">
        <v>314903</v>
      </c>
      <c r="AB272" s="24">
        <v>46008</v>
      </c>
    </row>
    <row r="273" spans="2:28" x14ac:dyDescent="0.2">
      <c r="C273" s="23">
        <v>1100571755</v>
      </c>
      <c r="E273" s="23">
        <v>30</v>
      </c>
      <c r="F273" s="23" t="s">
        <v>82</v>
      </c>
      <c r="G273" s="23" t="s">
        <v>139</v>
      </c>
      <c r="H273" s="24">
        <v>46115</v>
      </c>
      <c r="I273" s="24">
        <v>46115</v>
      </c>
      <c r="J273" s="23" t="s">
        <v>380</v>
      </c>
      <c r="K273" s="23" t="s">
        <v>380</v>
      </c>
      <c r="L273" s="23">
        <v>1</v>
      </c>
      <c r="M273" s="23" t="s">
        <v>78</v>
      </c>
      <c r="N273" s="23" t="s">
        <v>78</v>
      </c>
      <c r="O273" s="23">
        <v>0.01</v>
      </c>
      <c r="P273" s="23" t="s">
        <v>79</v>
      </c>
      <c r="Q273" s="23" t="s">
        <v>83</v>
      </c>
      <c r="R273" s="23">
        <v>11100299</v>
      </c>
      <c r="S273" s="24" t="s">
        <v>80</v>
      </c>
      <c r="T273" s="24">
        <v>46008</v>
      </c>
      <c r="U273" s="24">
        <v>46114</v>
      </c>
      <c r="X273" s="24">
        <v>45993</v>
      </c>
      <c r="Y273" s="23">
        <v>1111</v>
      </c>
      <c r="Z273" s="23">
        <v>11100303</v>
      </c>
      <c r="AA273" s="23">
        <v>314903</v>
      </c>
      <c r="AB273" s="24">
        <v>46008</v>
      </c>
    </row>
    <row r="274" spans="2:28" x14ac:dyDescent="0.2">
      <c r="B274" s="23" t="s">
        <v>81</v>
      </c>
      <c r="C274" s="23">
        <v>1100571755</v>
      </c>
      <c r="H274" s="24">
        <v>46115</v>
      </c>
      <c r="O274" s="23">
        <v>30380.02</v>
      </c>
      <c r="P274" s="23" t="s">
        <v>79</v>
      </c>
    </row>
    <row r="275" spans="2:28" x14ac:dyDescent="0.2">
      <c r="C275" s="23">
        <v>1100572570</v>
      </c>
      <c r="E275" s="23">
        <v>10</v>
      </c>
      <c r="F275" s="23" t="s">
        <v>2347</v>
      </c>
      <c r="G275" s="23" t="s">
        <v>2348</v>
      </c>
      <c r="H275" s="24">
        <v>46115</v>
      </c>
      <c r="I275" s="24">
        <v>46115</v>
      </c>
      <c r="J275" s="23" t="s">
        <v>643</v>
      </c>
      <c r="K275" s="23" t="s">
        <v>643</v>
      </c>
      <c r="L275" s="23">
        <v>1</v>
      </c>
      <c r="M275" s="23" t="s">
        <v>78</v>
      </c>
      <c r="N275" s="23" t="s">
        <v>78</v>
      </c>
      <c r="O275" s="23">
        <v>30192</v>
      </c>
      <c r="P275" s="23" t="s">
        <v>79</v>
      </c>
      <c r="Q275" s="23" t="s">
        <v>83</v>
      </c>
      <c r="R275" s="23">
        <v>11100008</v>
      </c>
      <c r="S275" s="24">
        <v>46094</v>
      </c>
      <c r="T275" s="24">
        <v>46021</v>
      </c>
      <c r="U275" s="24" t="s">
        <v>80</v>
      </c>
      <c r="X275" s="24">
        <v>45996</v>
      </c>
      <c r="Y275" s="23">
        <v>1111</v>
      </c>
      <c r="Z275" s="23">
        <v>11100305</v>
      </c>
      <c r="AA275" s="23">
        <v>510103</v>
      </c>
      <c r="AB275" s="24">
        <v>46021</v>
      </c>
    </row>
    <row r="276" spans="2:28" x14ac:dyDescent="0.2">
      <c r="C276" s="23">
        <v>1100572570</v>
      </c>
      <c r="E276" s="23">
        <v>20</v>
      </c>
      <c r="F276" s="23" t="s">
        <v>2349</v>
      </c>
      <c r="G276" s="23" t="s">
        <v>2350</v>
      </c>
      <c r="H276" s="24">
        <v>46115</v>
      </c>
      <c r="I276" s="24">
        <v>46115</v>
      </c>
      <c r="J276" s="23" t="s">
        <v>643</v>
      </c>
      <c r="K276" s="23" t="s">
        <v>643</v>
      </c>
      <c r="L276" s="23">
        <v>1</v>
      </c>
      <c r="M276" s="23" t="s">
        <v>78</v>
      </c>
      <c r="N276" s="23" t="s">
        <v>78</v>
      </c>
      <c r="O276" s="23">
        <v>2440</v>
      </c>
      <c r="P276" s="23" t="s">
        <v>79</v>
      </c>
      <c r="Q276" s="23" t="s">
        <v>83</v>
      </c>
      <c r="R276" s="23">
        <v>11100008</v>
      </c>
      <c r="S276" s="24">
        <v>46094</v>
      </c>
      <c r="T276" s="24">
        <v>46021</v>
      </c>
      <c r="U276" s="24" t="s">
        <v>80</v>
      </c>
      <c r="X276" s="24">
        <v>45996</v>
      </c>
      <c r="Y276" s="23">
        <v>1111</v>
      </c>
      <c r="Z276" s="23">
        <v>11100305</v>
      </c>
      <c r="AA276" s="23">
        <v>510103</v>
      </c>
      <c r="AB276" s="24">
        <v>46021</v>
      </c>
    </row>
    <row r="277" spans="2:28" x14ac:dyDescent="0.2">
      <c r="C277" s="23">
        <v>1100572570</v>
      </c>
      <c r="E277" s="23">
        <v>30</v>
      </c>
      <c r="F277" s="23" t="s">
        <v>84</v>
      </c>
      <c r="G277" s="23" t="s">
        <v>123</v>
      </c>
      <c r="H277" s="24">
        <v>46115</v>
      </c>
      <c r="I277" s="24">
        <v>46115</v>
      </c>
      <c r="J277" s="23" t="s">
        <v>643</v>
      </c>
      <c r="K277" s="23" t="s">
        <v>643</v>
      </c>
      <c r="L277" s="23">
        <v>1</v>
      </c>
      <c r="M277" s="23" t="s">
        <v>78</v>
      </c>
      <c r="N277" s="23" t="s">
        <v>78</v>
      </c>
      <c r="O277" s="23">
        <v>0.01</v>
      </c>
      <c r="P277" s="23" t="s">
        <v>79</v>
      </c>
      <c r="Q277" s="23" t="s">
        <v>83</v>
      </c>
      <c r="R277" s="23">
        <v>11100008</v>
      </c>
      <c r="S277" s="24">
        <v>46094</v>
      </c>
      <c r="T277" s="24">
        <v>46021</v>
      </c>
      <c r="U277" s="24" t="s">
        <v>80</v>
      </c>
      <c r="X277" s="24">
        <v>45996</v>
      </c>
      <c r="Y277" s="23">
        <v>1111</v>
      </c>
      <c r="Z277" s="23">
        <v>11100305</v>
      </c>
      <c r="AA277" s="23">
        <v>510103</v>
      </c>
      <c r="AB277" s="24">
        <v>46021</v>
      </c>
    </row>
    <row r="278" spans="2:28" x14ac:dyDescent="0.2">
      <c r="B278" s="23" t="s">
        <v>81</v>
      </c>
      <c r="C278" s="23">
        <v>1100572570</v>
      </c>
      <c r="H278" s="24">
        <v>46115</v>
      </c>
      <c r="O278" s="23">
        <v>32632.01</v>
      </c>
      <c r="P278" s="23" t="s">
        <v>79</v>
      </c>
    </row>
    <row r="279" spans="2:28" x14ac:dyDescent="0.2">
      <c r="C279" s="23">
        <v>1100573866</v>
      </c>
      <c r="E279" s="23">
        <v>10</v>
      </c>
      <c r="F279" s="23" t="s">
        <v>2351</v>
      </c>
      <c r="G279" s="23" t="s">
        <v>972</v>
      </c>
      <c r="H279" s="24">
        <v>46115</v>
      </c>
      <c r="I279" s="24">
        <v>46115</v>
      </c>
      <c r="J279" s="23" t="s">
        <v>1401</v>
      </c>
      <c r="K279" s="23" t="s">
        <v>1401</v>
      </c>
      <c r="L279" s="23">
        <v>3</v>
      </c>
      <c r="M279" s="23" t="s">
        <v>78</v>
      </c>
      <c r="N279" s="23" t="s">
        <v>78</v>
      </c>
      <c r="O279" s="23">
        <v>21081</v>
      </c>
      <c r="P279" s="23" t="s">
        <v>79</v>
      </c>
      <c r="Q279" s="23" t="s">
        <v>83</v>
      </c>
      <c r="R279" s="23">
        <v>11100018</v>
      </c>
      <c r="S279" s="24">
        <v>46115</v>
      </c>
      <c r="T279" s="24">
        <v>46037</v>
      </c>
      <c r="U279" s="24">
        <v>46114</v>
      </c>
      <c r="X279" s="24">
        <v>46030</v>
      </c>
      <c r="Y279" s="23">
        <v>1111</v>
      </c>
      <c r="Z279" s="23">
        <v>11100002</v>
      </c>
      <c r="AA279" s="23">
        <v>3212</v>
      </c>
      <c r="AB279" s="24">
        <v>46037</v>
      </c>
    </row>
    <row r="280" spans="2:28" x14ac:dyDescent="0.2">
      <c r="B280" s="23" t="s">
        <v>81</v>
      </c>
      <c r="C280" s="23">
        <v>1100573866</v>
      </c>
      <c r="H280" s="24">
        <v>46115</v>
      </c>
      <c r="O280" s="23">
        <v>21081</v>
      </c>
      <c r="P280" s="23" t="s">
        <v>79</v>
      </c>
    </row>
    <row r="281" spans="2:28" x14ac:dyDescent="0.2">
      <c r="C281" s="23">
        <v>1100565992</v>
      </c>
      <c r="E281" s="23">
        <v>10</v>
      </c>
      <c r="F281" s="23" t="s">
        <v>1257</v>
      </c>
      <c r="G281" s="23" t="s">
        <v>546</v>
      </c>
      <c r="H281" s="24">
        <v>46118</v>
      </c>
      <c r="I281" s="24">
        <v>46118</v>
      </c>
      <c r="J281" s="23" t="s">
        <v>668</v>
      </c>
      <c r="K281" s="23" t="s">
        <v>668</v>
      </c>
      <c r="L281" s="23">
        <v>1</v>
      </c>
      <c r="M281" s="23" t="s">
        <v>78</v>
      </c>
      <c r="N281" s="23" t="s">
        <v>78</v>
      </c>
      <c r="O281" s="23">
        <v>12130</v>
      </c>
      <c r="P281" s="23" t="s">
        <v>79</v>
      </c>
      <c r="Q281" s="23" t="s">
        <v>83</v>
      </c>
      <c r="R281" s="23">
        <v>11100299</v>
      </c>
      <c r="S281" s="24" t="s">
        <v>80</v>
      </c>
      <c r="T281" s="24">
        <v>45944</v>
      </c>
      <c r="U281" s="24" t="s">
        <v>80</v>
      </c>
      <c r="X281" s="24">
        <v>45924</v>
      </c>
      <c r="Y281" s="23">
        <v>1111</v>
      </c>
      <c r="Z281" s="23">
        <v>11100303</v>
      </c>
      <c r="AA281" s="23">
        <v>331203</v>
      </c>
      <c r="AB281" s="24">
        <v>45944</v>
      </c>
    </row>
    <row r="282" spans="2:28" x14ac:dyDescent="0.2">
      <c r="C282" s="23">
        <v>1100565992</v>
      </c>
      <c r="E282" s="23">
        <v>20</v>
      </c>
      <c r="F282" s="23" t="s">
        <v>84</v>
      </c>
      <c r="G282" s="23" t="s">
        <v>123</v>
      </c>
      <c r="H282" s="24">
        <v>46118</v>
      </c>
      <c r="I282" s="24">
        <v>46118</v>
      </c>
      <c r="J282" s="23" t="s">
        <v>668</v>
      </c>
      <c r="K282" s="23" t="s">
        <v>668</v>
      </c>
      <c r="L282" s="23">
        <v>1</v>
      </c>
      <c r="M282" s="23" t="s">
        <v>78</v>
      </c>
      <c r="N282" s="23" t="s">
        <v>78</v>
      </c>
      <c r="O282" s="23">
        <v>0.01</v>
      </c>
      <c r="P282" s="23" t="s">
        <v>79</v>
      </c>
      <c r="Q282" s="23" t="s">
        <v>83</v>
      </c>
      <c r="R282" s="23">
        <v>11100299</v>
      </c>
      <c r="S282" s="24" t="s">
        <v>80</v>
      </c>
      <c r="T282" s="24">
        <v>45944</v>
      </c>
      <c r="U282" s="24" t="s">
        <v>80</v>
      </c>
      <c r="X282" s="24">
        <v>45924</v>
      </c>
      <c r="Y282" s="23">
        <v>1111</v>
      </c>
      <c r="Z282" s="23">
        <v>11100303</v>
      </c>
      <c r="AA282" s="23">
        <v>331203</v>
      </c>
      <c r="AB282" s="24">
        <v>45944</v>
      </c>
    </row>
    <row r="283" spans="2:28" x14ac:dyDescent="0.2">
      <c r="C283" s="23">
        <v>1100565992</v>
      </c>
      <c r="E283" s="23">
        <v>30</v>
      </c>
      <c r="F283" s="23" t="s">
        <v>82</v>
      </c>
      <c r="G283" s="23" t="s">
        <v>139</v>
      </c>
      <c r="H283" s="24">
        <v>46118</v>
      </c>
      <c r="I283" s="24">
        <v>46118</v>
      </c>
      <c r="J283" s="23" t="s">
        <v>668</v>
      </c>
      <c r="K283" s="23" t="s">
        <v>668</v>
      </c>
      <c r="L283" s="23">
        <v>1</v>
      </c>
      <c r="M283" s="23" t="s">
        <v>78</v>
      </c>
      <c r="N283" s="23" t="s">
        <v>78</v>
      </c>
      <c r="O283" s="23">
        <v>0.01</v>
      </c>
      <c r="P283" s="23" t="s">
        <v>79</v>
      </c>
      <c r="Q283" s="23" t="s">
        <v>83</v>
      </c>
      <c r="R283" s="23">
        <v>11100299</v>
      </c>
      <c r="S283" s="24" t="s">
        <v>80</v>
      </c>
      <c r="T283" s="24">
        <v>45944</v>
      </c>
      <c r="U283" s="24" t="s">
        <v>80</v>
      </c>
      <c r="X283" s="24">
        <v>45924</v>
      </c>
      <c r="Y283" s="23">
        <v>1111</v>
      </c>
      <c r="Z283" s="23">
        <v>11100303</v>
      </c>
      <c r="AA283" s="23">
        <v>331203</v>
      </c>
      <c r="AB283" s="24">
        <v>45944</v>
      </c>
    </row>
    <row r="284" spans="2:28" x14ac:dyDescent="0.2">
      <c r="B284" s="23" t="s">
        <v>81</v>
      </c>
      <c r="C284" s="23">
        <v>1100565992</v>
      </c>
      <c r="H284" s="24">
        <v>46118</v>
      </c>
      <c r="O284" s="23">
        <v>12130.02</v>
      </c>
      <c r="P284" s="23" t="s">
        <v>79</v>
      </c>
    </row>
    <row r="285" spans="2:28" x14ac:dyDescent="0.2">
      <c r="C285" s="23">
        <v>1100567446</v>
      </c>
      <c r="E285" s="23">
        <v>10</v>
      </c>
      <c r="F285" s="23" t="s">
        <v>1450</v>
      </c>
      <c r="G285" s="23" t="s">
        <v>550</v>
      </c>
      <c r="H285" s="24">
        <v>46118</v>
      </c>
      <c r="I285" s="24">
        <v>46118</v>
      </c>
      <c r="J285" s="23" t="s">
        <v>1451</v>
      </c>
      <c r="K285" s="23" t="s">
        <v>1451</v>
      </c>
      <c r="L285" s="23">
        <v>1</v>
      </c>
      <c r="M285" s="23" t="s">
        <v>78</v>
      </c>
      <c r="N285" s="23" t="s">
        <v>78</v>
      </c>
      <c r="O285" s="23">
        <v>34609</v>
      </c>
      <c r="P285" s="23" t="s">
        <v>79</v>
      </c>
      <c r="Q285" s="23" t="s">
        <v>83</v>
      </c>
      <c r="R285" s="23">
        <v>11100018</v>
      </c>
      <c r="S285" s="24">
        <v>46118</v>
      </c>
      <c r="T285" s="24">
        <v>45959</v>
      </c>
      <c r="U285" s="24" t="s">
        <v>80</v>
      </c>
      <c r="X285" s="24">
        <v>45946</v>
      </c>
      <c r="Y285" s="23">
        <v>1111</v>
      </c>
      <c r="Z285" s="23">
        <v>11100305</v>
      </c>
      <c r="AA285" s="23">
        <v>500103</v>
      </c>
      <c r="AB285" s="24">
        <v>45959</v>
      </c>
    </row>
    <row r="286" spans="2:28" x14ac:dyDescent="0.2">
      <c r="C286" s="23">
        <v>1100567446</v>
      </c>
      <c r="E286" s="23">
        <v>20</v>
      </c>
      <c r="F286" s="23" t="s">
        <v>84</v>
      </c>
      <c r="G286" s="23" t="s">
        <v>123</v>
      </c>
      <c r="H286" s="24">
        <v>46118</v>
      </c>
      <c r="I286" s="24">
        <v>46118</v>
      </c>
      <c r="J286" s="23" t="s">
        <v>1451</v>
      </c>
      <c r="K286" s="23" t="s">
        <v>1451</v>
      </c>
      <c r="L286" s="23">
        <v>1</v>
      </c>
      <c r="M286" s="23" t="s">
        <v>78</v>
      </c>
      <c r="N286" s="23" t="s">
        <v>78</v>
      </c>
      <c r="O286" s="23">
        <v>0.01</v>
      </c>
      <c r="P286" s="23" t="s">
        <v>79</v>
      </c>
      <c r="Q286" s="23" t="s">
        <v>83</v>
      </c>
      <c r="R286" s="23">
        <v>11100018</v>
      </c>
      <c r="S286" s="24">
        <v>46118</v>
      </c>
      <c r="T286" s="24">
        <v>45959</v>
      </c>
      <c r="U286" s="24" t="s">
        <v>80</v>
      </c>
      <c r="X286" s="24">
        <v>45946</v>
      </c>
      <c r="Y286" s="23">
        <v>1111</v>
      </c>
      <c r="Z286" s="23">
        <v>11100305</v>
      </c>
      <c r="AA286" s="23">
        <v>500103</v>
      </c>
      <c r="AB286" s="24">
        <v>45959</v>
      </c>
    </row>
    <row r="287" spans="2:28" x14ac:dyDescent="0.2">
      <c r="C287" s="23">
        <v>1100567446</v>
      </c>
      <c r="E287" s="23">
        <v>30</v>
      </c>
      <c r="F287" s="23" t="s">
        <v>82</v>
      </c>
      <c r="G287" s="23" t="s">
        <v>139</v>
      </c>
      <c r="H287" s="24">
        <v>46118</v>
      </c>
      <c r="I287" s="24">
        <v>46118</v>
      </c>
      <c r="J287" s="23" t="s">
        <v>1451</v>
      </c>
      <c r="K287" s="23" t="s">
        <v>1451</v>
      </c>
      <c r="L287" s="23">
        <v>1</v>
      </c>
      <c r="M287" s="23" t="s">
        <v>78</v>
      </c>
      <c r="N287" s="23" t="s">
        <v>78</v>
      </c>
      <c r="O287" s="23">
        <v>0.01</v>
      </c>
      <c r="P287" s="23" t="s">
        <v>79</v>
      </c>
      <c r="Q287" s="23" t="s">
        <v>83</v>
      </c>
      <c r="R287" s="23">
        <v>11100018</v>
      </c>
      <c r="S287" s="24" t="s">
        <v>80</v>
      </c>
      <c r="T287" s="24">
        <v>45959</v>
      </c>
      <c r="U287" s="24" t="s">
        <v>80</v>
      </c>
      <c r="X287" s="24">
        <v>45946</v>
      </c>
      <c r="Y287" s="23">
        <v>1111</v>
      </c>
      <c r="Z287" s="23">
        <v>11100305</v>
      </c>
      <c r="AA287" s="23">
        <v>500103</v>
      </c>
      <c r="AB287" s="24">
        <v>45959</v>
      </c>
    </row>
    <row r="288" spans="2:28" x14ac:dyDescent="0.2">
      <c r="B288" s="23" t="s">
        <v>81</v>
      </c>
      <c r="C288" s="23">
        <v>1100567446</v>
      </c>
      <c r="H288" s="24">
        <v>46118</v>
      </c>
      <c r="O288" s="23">
        <v>34609.019999999997</v>
      </c>
      <c r="P288" s="23" t="s">
        <v>79</v>
      </c>
    </row>
    <row r="289" spans="2:28" x14ac:dyDescent="0.2">
      <c r="C289" s="23">
        <v>1100571853</v>
      </c>
      <c r="E289" s="23">
        <v>10</v>
      </c>
      <c r="F289" s="23" t="s">
        <v>2352</v>
      </c>
      <c r="G289" s="23" t="s">
        <v>488</v>
      </c>
      <c r="H289" s="24">
        <v>46118</v>
      </c>
      <c r="I289" s="24">
        <v>46118</v>
      </c>
      <c r="J289" s="23" t="s">
        <v>1452</v>
      </c>
      <c r="K289" s="23" t="s">
        <v>1452</v>
      </c>
      <c r="L289" s="23">
        <v>1</v>
      </c>
      <c r="M289" s="23" t="s">
        <v>78</v>
      </c>
      <c r="N289" s="23" t="s">
        <v>78</v>
      </c>
      <c r="O289" s="23">
        <v>18880</v>
      </c>
      <c r="P289" s="23" t="s">
        <v>79</v>
      </c>
      <c r="Q289" s="23" t="s">
        <v>83</v>
      </c>
      <c r="R289" s="23">
        <v>11100299</v>
      </c>
      <c r="S289" s="24" t="s">
        <v>80</v>
      </c>
      <c r="T289" s="24">
        <v>46008</v>
      </c>
      <c r="U289" s="24" t="s">
        <v>80</v>
      </c>
      <c r="X289" s="24">
        <v>45992</v>
      </c>
      <c r="Y289" s="23">
        <v>1111</v>
      </c>
      <c r="Z289" s="23">
        <v>11100303</v>
      </c>
      <c r="AA289" s="23">
        <v>504903</v>
      </c>
      <c r="AB289" s="24">
        <v>46008</v>
      </c>
    </row>
    <row r="290" spans="2:28" x14ac:dyDescent="0.2">
      <c r="C290" s="23">
        <v>1100571853</v>
      </c>
      <c r="E290" s="23">
        <v>20</v>
      </c>
      <c r="F290" s="23" t="s">
        <v>1114</v>
      </c>
      <c r="G290" s="23" t="s">
        <v>1115</v>
      </c>
      <c r="H290" s="24">
        <v>46118</v>
      </c>
      <c r="I290" s="24">
        <v>46118</v>
      </c>
      <c r="J290" s="23" t="s">
        <v>1452</v>
      </c>
      <c r="K290" s="23" t="s">
        <v>1452</v>
      </c>
      <c r="L290" s="23">
        <v>1</v>
      </c>
      <c r="M290" s="23" t="s">
        <v>566</v>
      </c>
      <c r="N290" s="23" t="s">
        <v>566</v>
      </c>
      <c r="O290" s="23">
        <v>1470</v>
      </c>
      <c r="P290" s="23" t="s">
        <v>79</v>
      </c>
      <c r="Q290" s="23" t="s">
        <v>83</v>
      </c>
      <c r="R290" s="23">
        <v>11100299</v>
      </c>
      <c r="S290" s="24" t="s">
        <v>80</v>
      </c>
      <c r="T290" s="24">
        <v>46008</v>
      </c>
      <c r="U290" s="24" t="s">
        <v>80</v>
      </c>
      <c r="X290" s="24">
        <v>45992</v>
      </c>
      <c r="Y290" s="23">
        <v>1111</v>
      </c>
      <c r="Z290" s="23">
        <v>11100303</v>
      </c>
      <c r="AA290" s="23">
        <v>504903</v>
      </c>
      <c r="AB290" s="24">
        <v>46008</v>
      </c>
    </row>
    <row r="291" spans="2:28" x14ac:dyDescent="0.2">
      <c r="C291" s="23">
        <v>1100571853</v>
      </c>
      <c r="E291" s="23">
        <v>30</v>
      </c>
      <c r="F291" s="23" t="s">
        <v>84</v>
      </c>
      <c r="G291" s="23" t="s">
        <v>123</v>
      </c>
      <c r="H291" s="24">
        <v>46118</v>
      </c>
      <c r="I291" s="24">
        <v>46118</v>
      </c>
      <c r="J291" s="23" t="s">
        <v>1452</v>
      </c>
      <c r="K291" s="23" t="s">
        <v>1452</v>
      </c>
      <c r="L291" s="23">
        <v>1</v>
      </c>
      <c r="M291" s="23" t="s">
        <v>78</v>
      </c>
      <c r="N291" s="23" t="s">
        <v>78</v>
      </c>
      <c r="O291" s="23">
        <v>0.01</v>
      </c>
      <c r="P291" s="23" t="s">
        <v>79</v>
      </c>
      <c r="Q291" s="23" t="s">
        <v>83</v>
      </c>
      <c r="R291" s="23">
        <v>11100299</v>
      </c>
      <c r="S291" s="24" t="s">
        <v>80</v>
      </c>
      <c r="T291" s="24">
        <v>46008</v>
      </c>
      <c r="U291" s="24" t="s">
        <v>80</v>
      </c>
      <c r="X291" s="24">
        <v>45992</v>
      </c>
      <c r="Y291" s="23">
        <v>1111</v>
      </c>
      <c r="Z291" s="23">
        <v>11100303</v>
      </c>
      <c r="AA291" s="23">
        <v>504903</v>
      </c>
      <c r="AB291" s="24">
        <v>46008</v>
      </c>
    </row>
    <row r="292" spans="2:28" x14ac:dyDescent="0.2">
      <c r="C292" s="23">
        <v>1100571853</v>
      </c>
      <c r="E292" s="23">
        <v>50</v>
      </c>
      <c r="F292" s="23" t="s">
        <v>82</v>
      </c>
      <c r="G292" s="23" t="s">
        <v>139</v>
      </c>
      <c r="H292" s="24">
        <v>46118</v>
      </c>
      <c r="I292" s="24">
        <v>46118</v>
      </c>
      <c r="J292" s="23" t="s">
        <v>1452</v>
      </c>
      <c r="K292" s="23" t="s">
        <v>1452</v>
      </c>
      <c r="L292" s="23">
        <v>1</v>
      </c>
      <c r="M292" s="23" t="s">
        <v>78</v>
      </c>
      <c r="N292" s="23" t="s">
        <v>78</v>
      </c>
      <c r="O292" s="23">
        <v>0.01</v>
      </c>
      <c r="P292" s="23" t="s">
        <v>79</v>
      </c>
      <c r="Q292" s="23" t="s">
        <v>83</v>
      </c>
      <c r="R292" s="23">
        <v>11100299</v>
      </c>
      <c r="S292" s="24" t="s">
        <v>80</v>
      </c>
      <c r="T292" s="24">
        <v>46008</v>
      </c>
      <c r="U292" s="24" t="s">
        <v>80</v>
      </c>
      <c r="X292" s="24">
        <v>45992</v>
      </c>
      <c r="Y292" s="23">
        <v>1111</v>
      </c>
      <c r="Z292" s="23">
        <v>11100303</v>
      </c>
      <c r="AA292" s="23">
        <v>504903</v>
      </c>
      <c r="AB292" s="24">
        <v>46008</v>
      </c>
    </row>
    <row r="293" spans="2:28" x14ac:dyDescent="0.2">
      <c r="B293" s="23" t="s">
        <v>81</v>
      </c>
      <c r="C293" s="23">
        <v>1100571853</v>
      </c>
      <c r="H293" s="24">
        <v>46118</v>
      </c>
      <c r="O293" s="23">
        <v>20350.02</v>
      </c>
      <c r="P293" s="23" t="s">
        <v>79</v>
      </c>
    </row>
    <row r="294" spans="2:28" x14ac:dyDescent="0.2">
      <c r="C294" s="23">
        <v>1100572008</v>
      </c>
      <c r="E294" s="23">
        <v>10</v>
      </c>
      <c r="F294" s="23" t="s">
        <v>87</v>
      </c>
      <c r="G294" s="23" t="s">
        <v>1453</v>
      </c>
      <c r="H294" s="24">
        <v>46118</v>
      </c>
      <c r="I294" s="24">
        <v>46118</v>
      </c>
      <c r="J294" s="23" t="s">
        <v>967</v>
      </c>
      <c r="K294" s="23" t="s">
        <v>967</v>
      </c>
      <c r="L294" s="23">
        <v>1</v>
      </c>
      <c r="M294" s="23" t="s">
        <v>78</v>
      </c>
      <c r="N294" s="23" t="s">
        <v>78</v>
      </c>
      <c r="O294" s="23">
        <v>20264</v>
      </c>
      <c r="P294" s="23" t="s">
        <v>79</v>
      </c>
      <c r="Q294" s="23" t="s">
        <v>83</v>
      </c>
      <c r="R294" s="23">
        <v>11100008</v>
      </c>
      <c r="S294" s="24">
        <v>46118</v>
      </c>
      <c r="T294" s="24">
        <v>46009</v>
      </c>
      <c r="U294" s="24" t="s">
        <v>80</v>
      </c>
      <c r="X294" s="24">
        <v>46003</v>
      </c>
      <c r="Y294" s="23">
        <v>1111</v>
      </c>
      <c r="Z294" s="23">
        <v>11100305</v>
      </c>
      <c r="AA294" s="23">
        <v>331203</v>
      </c>
      <c r="AB294" s="24">
        <v>46009</v>
      </c>
    </row>
    <row r="295" spans="2:28" x14ac:dyDescent="0.2">
      <c r="C295" s="23">
        <v>1100572008</v>
      </c>
      <c r="E295" s="23">
        <v>20</v>
      </c>
      <c r="F295" s="23" t="s">
        <v>84</v>
      </c>
      <c r="G295" s="23" t="s">
        <v>123</v>
      </c>
      <c r="H295" s="24">
        <v>46118</v>
      </c>
      <c r="I295" s="24">
        <v>46118</v>
      </c>
      <c r="J295" s="23" t="s">
        <v>967</v>
      </c>
      <c r="K295" s="23" t="s">
        <v>967</v>
      </c>
      <c r="L295" s="23">
        <v>1</v>
      </c>
      <c r="M295" s="23" t="s">
        <v>78</v>
      </c>
      <c r="N295" s="23" t="s">
        <v>78</v>
      </c>
      <c r="O295" s="23">
        <v>0.01</v>
      </c>
      <c r="P295" s="23" t="s">
        <v>79</v>
      </c>
      <c r="Q295" s="23" t="s">
        <v>83</v>
      </c>
      <c r="R295" s="23">
        <v>11100008</v>
      </c>
      <c r="S295" s="24">
        <v>46118</v>
      </c>
      <c r="T295" s="24">
        <v>46009</v>
      </c>
      <c r="U295" s="24" t="s">
        <v>80</v>
      </c>
      <c r="X295" s="24">
        <v>46003</v>
      </c>
      <c r="Y295" s="23">
        <v>1111</v>
      </c>
      <c r="Z295" s="23">
        <v>11100305</v>
      </c>
      <c r="AA295" s="23">
        <v>331203</v>
      </c>
      <c r="AB295" s="24">
        <v>46009</v>
      </c>
    </row>
    <row r="296" spans="2:28" x14ac:dyDescent="0.2">
      <c r="C296" s="23">
        <v>1100572008</v>
      </c>
      <c r="E296" s="23">
        <v>30</v>
      </c>
      <c r="F296" s="23" t="s">
        <v>82</v>
      </c>
      <c r="G296" s="23" t="s">
        <v>139</v>
      </c>
      <c r="H296" s="24">
        <v>46118</v>
      </c>
      <c r="I296" s="24">
        <v>46118</v>
      </c>
      <c r="J296" s="23" t="s">
        <v>967</v>
      </c>
      <c r="K296" s="23" t="s">
        <v>967</v>
      </c>
      <c r="L296" s="23">
        <v>1</v>
      </c>
      <c r="M296" s="23" t="s">
        <v>78</v>
      </c>
      <c r="N296" s="23" t="s">
        <v>78</v>
      </c>
      <c r="O296" s="23">
        <v>0.01</v>
      </c>
      <c r="P296" s="23" t="s">
        <v>79</v>
      </c>
      <c r="Q296" s="23" t="s">
        <v>83</v>
      </c>
      <c r="R296" s="23">
        <v>11100008</v>
      </c>
      <c r="S296" s="24" t="s">
        <v>80</v>
      </c>
      <c r="T296" s="24">
        <v>46009</v>
      </c>
      <c r="U296" s="24" t="s">
        <v>80</v>
      </c>
      <c r="X296" s="24">
        <v>46003</v>
      </c>
      <c r="Y296" s="23">
        <v>1111</v>
      </c>
      <c r="Z296" s="23">
        <v>11100305</v>
      </c>
      <c r="AA296" s="23">
        <v>331203</v>
      </c>
      <c r="AB296" s="24">
        <v>46009</v>
      </c>
    </row>
    <row r="297" spans="2:28" x14ac:dyDescent="0.2">
      <c r="B297" s="23" t="s">
        <v>81</v>
      </c>
      <c r="C297" s="23">
        <v>1100572008</v>
      </c>
      <c r="H297" s="24">
        <v>46118</v>
      </c>
      <c r="O297" s="23">
        <v>20264.02</v>
      </c>
      <c r="P297" s="23" t="s">
        <v>79</v>
      </c>
    </row>
    <row r="298" spans="2:28" x14ac:dyDescent="0.2">
      <c r="C298" s="23">
        <v>1100558363</v>
      </c>
      <c r="E298" s="23">
        <v>10</v>
      </c>
      <c r="F298" s="23" t="s">
        <v>1260</v>
      </c>
      <c r="G298" s="23" t="s">
        <v>556</v>
      </c>
      <c r="H298" s="24">
        <v>46119</v>
      </c>
      <c r="I298" s="24">
        <v>46119</v>
      </c>
      <c r="J298" s="23" t="s">
        <v>820</v>
      </c>
      <c r="K298" s="23" t="s">
        <v>820</v>
      </c>
      <c r="L298" s="23">
        <v>1</v>
      </c>
      <c r="M298" s="23" t="s">
        <v>78</v>
      </c>
      <c r="N298" s="23" t="s">
        <v>78</v>
      </c>
      <c r="O298" s="23">
        <v>53460</v>
      </c>
      <c r="P298" s="23" t="s">
        <v>79</v>
      </c>
      <c r="Q298" s="23" t="s">
        <v>83</v>
      </c>
      <c r="R298" s="23">
        <v>11100189</v>
      </c>
      <c r="S298" s="24" t="s">
        <v>80</v>
      </c>
      <c r="T298" s="24">
        <v>45869</v>
      </c>
      <c r="U298" s="24">
        <v>46097</v>
      </c>
      <c r="X298" s="24">
        <v>45869</v>
      </c>
      <c r="Y298" s="23">
        <v>1111</v>
      </c>
      <c r="Z298" s="23">
        <v>11100319</v>
      </c>
      <c r="AA298" s="23">
        <v>334903</v>
      </c>
      <c r="AB298" s="24">
        <v>45869</v>
      </c>
    </row>
    <row r="299" spans="2:28" x14ac:dyDescent="0.2">
      <c r="C299" s="23">
        <v>1100558363</v>
      </c>
      <c r="E299" s="23">
        <v>20</v>
      </c>
      <c r="F299" s="23" t="s">
        <v>84</v>
      </c>
      <c r="G299" s="23" t="s">
        <v>123</v>
      </c>
      <c r="H299" s="24">
        <v>46119</v>
      </c>
      <c r="I299" s="24">
        <v>46119</v>
      </c>
      <c r="J299" s="23" t="s">
        <v>820</v>
      </c>
      <c r="K299" s="23" t="s">
        <v>820</v>
      </c>
      <c r="L299" s="23">
        <v>1</v>
      </c>
      <c r="M299" s="23" t="s">
        <v>78</v>
      </c>
      <c r="N299" s="23" t="s">
        <v>78</v>
      </c>
      <c r="O299" s="23">
        <v>0.01</v>
      </c>
      <c r="P299" s="23" t="s">
        <v>79</v>
      </c>
      <c r="Q299" s="23" t="s">
        <v>83</v>
      </c>
      <c r="R299" s="23">
        <v>11100189</v>
      </c>
      <c r="S299" s="24" t="s">
        <v>80</v>
      </c>
      <c r="T299" s="24">
        <v>45869</v>
      </c>
      <c r="U299" s="24">
        <v>46097</v>
      </c>
      <c r="X299" s="24">
        <v>45869</v>
      </c>
      <c r="Y299" s="23">
        <v>1111</v>
      </c>
      <c r="Z299" s="23">
        <v>11100319</v>
      </c>
      <c r="AA299" s="23">
        <v>334903</v>
      </c>
      <c r="AB299" s="24">
        <v>45869</v>
      </c>
    </row>
    <row r="300" spans="2:28" x14ac:dyDescent="0.2">
      <c r="B300" s="23" t="s">
        <v>81</v>
      </c>
      <c r="C300" s="23">
        <v>1100558363</v>
      </c>
      <c r="H300" s="24">
        <v>46119</v>
      </c>
      <c r="O300" s="23">
        <v>53460.01</v>
      </c>
      <c r="P300" s="23" t="s">
        <v>79</v>
      </c>
    </row>
    <row r="301" spans="2:28" x14ac:dyDescent="0.2">
      <c r="C301" s="23">
        <v>1100568658</v>
      </c>
      <c r="E301" s="23">
        <v>10</v>
      </c>
      <c r="F301" s="23" t="s">
        <v>1321</v>
      </c>
      <c r="G301" s="23" t="s">
        <v>1322</v>
      </c>
      <c r="H301" s="24">
        <v>46119</v>
      </c>
      <c r="I301" s="24">
        <v>46119</v>
      </c>
      <c r="J301" s="23" t="s">
        <v>1061</v>
      </c>
      <c r="K301" s="23" t="s">
        <v>1061</v>
      </c>
      <c r="L301" s="23">
        <v>1</v>
      </c>
      <c r="M301" s="23" t="s">
        <v>78</v>
      </c>
      <c r="N301" s="23" t="s">
        <v>78</v>
      </c>
      <c r="O301" s="23">
        <v>81321</v>
      </c>
      <c r="P301" s="23" t="s">
        <v>79</v>
      </c>
      <c r="Q301" s="23" t="s">
        <v>83</v>
      </c>
      <c r="R301" s="23">
        <v>11100018</v>
      </c>
      <c r="S301" s="24">
        <v>46028</v>
      </c>
      <c r="T301" s="24">
        <v>45973</v>
      </c>
      <c r="U301" s="24">
        <v>46752</v>
      </c>
      <c r="X301" s="24">
        <v>45965</v>
      </c>
      <c r="Y301" s="23">
        <v>1111</v>
      </c>
      <c r="Z301" s="23">
        <v>11100002</v>
      </c>
      <c r="AA301" s="23">
        <v>5001</v>
      </c>
      <c r="AB301" s="24">
        <v>45973</v>
      </c>
    </row>
    <row r="302" spans="2:28" x14ac:dyDescent="0.2">
      <c r="C302" s="23">
        <v>1100568658</v>
      </c>
      <c r="E302" s="23">
        <v>20</v>
      </c>
      <c r="F302" s="23" t="s">
        <v>84</v>
      </c>
      <c r="G302" s="23" t="s">
        <v>123</v>
      </c>
      <c r="H302" s="24">
        <v>46119</v>
      </c>
      <c r="I302" s="24">
        <v>46119</v>
      </c>
      <c r="J302" s="23" t="s">
        <v>1061</v>
      </c>
      <c r="K302" s="23" t="s">
        <v>1061</v>
      </c>
      <c r="L302" s="23">
        <v>1</v>
      </c>
      <c r="M302" s="23" t="s">
        <v>78</v>
      </c>
      <c r="N302" s="23" t="s">
        <v>78</v>
      </c>
      <c r="O302" s="23">
        <v>0.01</v>
      </c>
      <c r="P302" s="23" t="s">
        <v>79</v>
      </c>
      <c r="Q302" s="23" t="s">
        <v>83</v>
      </c>
      <c r="R302" s="23">
        <v>11100018</v>
      </c>
      <c r="S302" s="24" t="s">
        <v>80</v>
      </c>
      <c r="T302" s="24">
        <v>45973</v>
      </c>
      <c r="U302" s="24">
        <v>46752</v>
      </c>
      <c r="X302" s="24">
        <v>45965</v>
      </c>
      <c r="Y302" s="23">
        <v>1111</v>
      </c>
      <c r="Z302" s="23">
        <v>11100002</v>
      </c>
      <c r="AA302" s="23">
        <v>5001</v>
      </c>
      <c r="AB302" s="24">
        <v>45973</v>
      </c>
    </row>
    <row r="303" spans="2:28" x14ac:dyDescent="0.2">
      <c r="C303" s="23">
        <v>1100568658</v>
      </c>
      <c r="E303" s="23">
        <v>30</v>
      </c>
      <c r="F303" s="23" t="s">
        <v>1242</v>
      </c>
      <c r="G303" s="23" t="s">
        <v>1243</v>
      </c>
      <c r="H303" s="24">
        <v>46119</v>
      </c>
      <c r="I303" s="24">
        <v>46119</v>
      </c>
      <c r="J303" s="23" t="s">
        <v>1061</v>
      </c>
      <c r="K303" s="23" t="s">
        <v>1061</v>
      </c>
      <c r="L303" s="23">
        <v>1</v>
      </c>
      <c r="M303" s="23" t="s">
        <v>78</v>
      </c>
      <c r="N303" s="23" t="s">
        <v>78</v>
      </c>
      <c r="O303" s="23">
        <v>0.01</v>
      </c>
      <c r="P303" s="23" t="s">
        <v>79</v>
      </c>
      <c r="Q303" s="23" t="s">
        <v>83</v>
      </c>
      <c r="R303" s="23">
        <v>11100018</v>
      </c>
      <c r="S303" s="24" t="s">
        <v>80</v>
      </c>
      <c r="T303" s="24">
        <v>45973</v>
      </c>
      <c r="U303" s="24">
        <v>46752</v>
      </c>
      <c r="X303" s="24">
        <v>45965</v>
      </c>
      <c r="Y303" s="23">
        <v>1111</v>
      </c>
      <c r="Z303" s="23">
        <v>11100002</v>
      </c>
      <c r="AA303" s="23">
        <v>5001</v>
      </c>
      <c r="AB303" s="24">
        <v>45973</v>
      </c>
    </row>
    <row r="304" spans="2:28" x14ac:dyDescent="0.2">
      <c r="B304" s="23" t="s">
        <v>81</v>
      </c>
      <c r="C304" s="23">
        <v>1100568658</v>
      </c>
      <c r="H304" s="24">
        <v>46119</v>
      </c>
      <c r="O304" s="23">
        <v>81321.02</v>
      </c>
      <c r="P304" s="23" t="s">
        <v>79</v>
      </c>
    </row>
    <row r="305" spans="2:28" x14ac:dyDescent="0.2">
      <c r="C305" s="23">
        <v>1100571953</v>
      </c>
      <c r="E305" s="23">
        <v>10</v>
      </c>
      <c r="F305" s="23" t="s">
        <v>1472</v>
      </c>
      <c r="G305" s="23" t="s">
        <v>291</v>
      </c>
      <c r="H305" s="24">
        <v>46120</v>
      </c>
      <c r="I305" s="24">
        <v>46120</v>
      </c>
      <c r="J305" s="23" t="s">
        <v>414</v>
      </c>
      <c r="K305" s="23" t="s">
        <v>414</v>
      </c>
      <c r="L305" s="23">
        <v>1</v>
      </c>
      <c r="M305" s="23" t="s">
        <v>78</v>
      </c>
      <c r="N305" s="23" t="s">
        <v>78</v>
      </c>
      <c r="O305" s="23">
        <v>6336</v>
      </c>
      <c r="P305" s="23" t="s">
        <v>79</v>
      </c>
      <c r="Q305" s="23" t="s">
        <v>83</v>
      </c>
      <c r="R305" s="23">
        <v>11100008</v>
      </c>
      <c r="S305" s="24">
        <v>46136</v>
      </c>
      <c r="T305" s="24">
        <v>46009</v>
      </c>
      <c r="U305" s="24">
        <v>46120</v>
      </c>
      <c r="X305" s="24">
        <v>46006</v>
      </c>
      <c r="Y305" s="23">
        <v>1111</v>
      </c>
      <c r="Z305" s="23">
        <v>11100002</v>
      </c>
      <c r="AA305" s="23">
        <v>5112</v>
      </c>
      <c r="AB305" s="24">
        <v>46009</v>
      </c>
    </row>
    <row r="306" spans="2:28" x14ac:dyDescent="0.2">
      <c r="C306" s="23">
        <v>1100571953</v>
      </c>
      <c r="E306" s="23">
        <v>20</v>
      </c>
      <c r="F306" s="23" t="s">
        <v>84</v>
      </c>
      <c r="G306" s="23" t="s">
        <v>123</v>
      </c>
      <c r="H306" s="24">
        <v>46120</v>
      </c>
      <c r="I306" s="24">
        <v>46120</v>
      </c>
      <c r="J306" s="23" t="s">
        <v>414</v>
      </c>
      <c r="K306" s="23" t="s">
        <v>414</v>
      </c>
      <c r="L306" s="23">
        <v>1</v>
      </c>
      <c r="M306" s="23" t="s">
        <v>78</v>
      </c>
      <c r="N306" s="23" t="s">
        <v>78</v>
      </c>
      <c r="O306" s="23">
        <v>0.01</v>
      </c>
      <c r="P306" s="23" t="s">
        <v>79</v>
      </c>
      <c r="Q306" s="23" t="s">
        <v>83</v>
      </c>
      <c r="R306" s="23">
        <v>11100008</v>
      </c>
      <c r="S306" s="24" t="s">
        <v>80</v>
      </c>
      <c r="T306" s="24">
        <v>46009</v>
      </c>
      <c r="U306" s="24">
        <v>46120</v>
      </c>
      <c r="X306" s="24">
        <v>46006</v>
      </c>
      <c r="Y306" s="23">
        <v>1111</v>
      </c>
      <c r="Z306" s="23">
        <v>11100002</v>
      </c>
      <c r="AA306" s="23">
        <v>5112</v>
      </c>
      <c r="AB306" s="24">
        <v>46009</v>
      </c>
    </row>
    <row r="307" spans="2:28" x14ac:dyDescent="0.2">
      <c r="C307" s="23">
        <v>1100571953</v>
      </c>
      <c r="E307" s="23">
        <v>30</v>
      </c>
      <c r="F307" s="23" t="s">
        <v>297</v>
      </c>
      <c r="G307" s="23" t="s">
        <v>298</v>
      </c>
      <c r="H307" s="24">
        <v>46120</v>
      </c>
      <c r="I307" s="24">
        <v>46120</v>
      </c>
      <c r="J307" s="23" t="s">
        <v>414</v>
      </c>
      <c r="K307" s="23" t="s">
        <v>414</v>
      </c>
      <c r="L307" s="23">
        <v>1</v>
      </c>
      <c r="M307" s="23" t="s">
        <v>78</v>
      </c>
      <c r="N307" s="23" t="s">
        <v>78</v>
      </c>
      <c r="O307" s="23">
        <v>0.01</v>
      </c>
      <c r="P307" s="23" t="s">
        <v>79</v>
      </c>
      <c r="Q307" s="23" t="s">
        <v>83</v>
      </c>
      <c r="R307" s="23">
        <v>11100008</v>
      </c>
      <c r="S307" s="24" t="s">
        <v>80</v>
      </c>
      <c r="T307" s="24">
        <v>46009</v>
      </c>
      <c r="U307" s="24">
        <v>46120</v>
      </c>
      <c r="X307" s="24">
        <v>46006</v>
      </c>
      <c r="Y307" s="23">
        <v>1111</v>
      </c>
      <c r="Z307" s="23">
        <v>11100002</v>
      </c>
      <c r="AA307" s="23">
        <v>5112</v>
      </c>
      <c r="AB307" s="24">
        <v>46009</v>
      </c>
    </row>
    <row r="308" spans="2:28" x14ac:dyDescent="0.2">
      <c r="B308" s="23" t="s">
        <v>81</v>
      </c>
      <c r="C308" s="23">
        <v>1100571953</v>
      </c>
      <c r="H308" s="24">
        <v>46120</v>
      </c>
      <c r="O308" s="23">
        <v>6336.02</v>
      </c>
      <c r="P308" s="23" t="s">
        <v>79</v>
      </c>
    </row>
    <row r="309" spans="2:28" x14ac:dyDescent="0.2">
      <c r="C309" s="23">
        <v>1100572585</v>
      </c>
      <c r="E309" s="23">
        <v>10</v>
      </c>
      <c r="F309" s="23" t="s">
        <v>2353</v>
      </c>
      <c r="G309" s="23" t="s">
        <v>1467</v>
      </c>
      <c r="H309" s="24">
        <v>46120</v>
      </c>
      <c r="I309" s="24">
        <v>46120</v>
      </c>
      <c r="J309" s="23" t="s">
        <v>1455</v>
      </c>
      <c r="K309" s="23" t="s">
        <v>1455</v>
      </c>
      <c r="L309" s="23">
        <v>1</v>
      </c>
      <c r="M309" s="23" t="s">
        <v>78</v>
      </c>
      <c r="N309" s="23" t="s">
        <v>78</v>
      </c>
      <c r="O309" s="23">
        <v>13310</v>
      </c>
      <c r="P309" s="23" t="s">
        <v>79</v>
      </c>
      <c r="Q309" s="23" t="s">
        <v>83</v>
      </c>
      <c r="R309" s="23">
        <v>11100299</v>
      </c>
      <c r="S309" s="24">
        <v>46112</v>
      </c>
      <c r="T309" s="24">
        <v>46021</v>
      </c>
      <c r="U309" s="24">
        <v>46752</v>
      </c>
      <c r="X309" s="24">
        <v>46020</v>
      </c>
      <c r="Y309" s="23">
        <v>1111</v>
      </c>
      <c r="Z309" s="23">
        <v>11100305</v>
      </c>
      <c r="AA309" s="23">
        <v>331203</v>
      </c>
      <c r="AB309" s="24">
        <v>46021</v>
      </c>
    </row>
    <row r="310" spans="2:28" x14ac:dyDescent="0.2">
      <c r="C310" s="23">
        <v>1100572585</v>
      </c>
      <c r="E310" s="23">
        <v>20</v>
      </c>
      <c r="F310" s="23" t="s">
        <v>84</v>
      </c>
      <c r="G310" s="23" t="s">
        <v>123</v>
      </c>
      <c r="H310" s="24">
        <v>46120</v>
      </c>
      <c r="I310" s="24">
        <v>46120</v>
      </c>
      <c r="J310" s="23" t="s">
        <v>1455</v>
      </c>
      <c r="K310" s="23" t="s">
        <v>1455</v>
      </c>
      <c r="L310" s="23">
        <v>1</v>
      </c>
      <c r="M310" s="23" t="s">
        <v>78</v>
      </c>
      <c r="N310" s="23" t="s">
        <v>78</v>
      </c>
      <c r="O310" s="23">
        <v>0.01</v>
      </c>
      <c r="P310" s="23" t="s">
        <v>79</v>
      </c>
      <c r="Q310" s="23" t="s">
        <v>83</v>
      </c>
      <c r="R310" s="23">
        <v>11100299</v>
      </c>
      <c r="S310" s="24">
        <v>46112</v>
      </c>
      <c r="T310" s="24">
        <v>46021</v>
      </c>
      <c r="U310" s="24">
        <v>46752</v>
      </c>
      <c r="X310" s="24">
        <v>46020</v>
      </c>
      <c r="Y310" s="23">
        <v>1111</v>
      </c>
      <c r="Z310" s="23">
        <v>11100305</v>
      </c>
      <c r="AA310" s="23">
        <v>331203</v>
      </c>
      <c r="AB310" s="24">
        <v>46021</v>
      </c>
    </row>
    <row r="311" spans="2:28" x14ac:dyDescent="0.2">
      <c r="C311" s="23">
        <v>1100572585</v>
      </c>
      <c r="E311" s="23">
        <v>30</v>
      </c>
      <c r="F311" s="23" t="s">
        <v>82</v>
      </c>
      <c r="G311" s="23" t="s">
        <v>139</v>
      </c>
      <c r="H311" s="24">
        <v>46120</v>
      </c>
      <c r="I311" s="24">
        <v>46120</v>
      </c>
      <c r="J311" s="23" t="s">
        <v>1455</v>
      </c>
      <c r="K311" s="23" t="s">
        <v>1455</v>
      </c>
      <c r="L311" s="23">
        <v>1</v>
      </c>
      <c r="M311" s="23" t="s">
        <v>78</v>
      </c>
      <c r="N311" s="23" t="s">
        <v>78</v>
      </c>
      <c r="O311" s="23">
        <v>0.01</v>
      </c>
      <c r="P311" s="23" t="s">
        <v>79</v>
      </c>
      <c r="Q311" s="23" t="s">
        <v>83</v>
      </c>
      <c r="R311" s="23">
        <v>11100299</v>
      </c>
      <c r="S311" s="24" t="s">
        <v>80</v>
      </c>
      <c r="T311" s="24">
        <v>46021</v>
      </c>
      <c r="U311" s="24">
        <v>46752</v>
      </c>
      <c r="X311" s="24">
        <v>46020</v>
      </c>
      <c r="Y311" s="23">
        <v>1111</v>
      </c>
      <c r="Z311" s="23">
        <v>11100305</v>
      </c>
      <c r="AA311" s="23">
        <v>331203</v>
      </c>
      <c r="AB311" s="24">
        <v>46021</v>
      </c>
    </row>
    <row r="312" spans="2:28" x14ac:dyDescent="0.2">
      <c r="B312" s="23" t="s">
        <v>81</v>
      </c>
      <c r="C312" s="23">
        <v>1100572585</v>
      </c>
      <c r="H312" s="24">
        <v>46120</v>
      </c>
      <c r="O312" s="23">
        <v>13310.02</v>
      </c>
      <c r="P312" s="23" t="s">
        <v>79</v>
      </c>
    </row>
    <row r="313" spans="2:28" x14ac:dyDescent="0.2">
      <c r="C313" s="23">
        <v>1100576350</v>
      </c>
      <c r="E313" s="23">
        <v>10</v>
      </c>
      <c r="F313" s="23" t="s">
        <v>2354</v>
      </c>
      <c r="G313" s="23" t="s">
        <v>2355</v>
      </c>
      <c r="H313" s="24">
        <v>46120</v>
      </c>
      <c r="I313" s="24">
        <v>46120</v>
      </c>
      <c r="J313" s="23" t="s">
        <v>165</v>
      </c>
      <c r="K313" s="23" t="s">
        <v>165</v>
      </c>
      <c r="L313" s="23">
        <v>1</v>
      </c>
      <c r="M313" s="23" t="s">
        <v>78</v>
      </c>
      <c r="N313" s="23" t="s">
        <v>78</v>
      </c>
      <c r="O313" s="23">
        <v>6744</v>
      </c>
      <c r="P313" s="23" t="s">
        <v>79</v>
      </c>
      <c r="Q313" s="23" t="s">
        <v>83</v>
      </c>
      <c r="R313" s="23">
        <v>11100189</v>
      </c>
      <c r="S313" s="24" t="s">
        <v>80</v>
      </c>
      <c r="T313" s="24">
        <v>46062</v>
      </c>
      <c r="U313" s="24" t="s">
        <v>80</v>
      </c>
      <c r="X313" s="24">
        <v>46003</v>
      </c>
      <c r="Y313" s="23">
        <v>1111</v>
      </c>
      <c r="Z313" s="23">
        <v>11100303</v>
      </c>
      <c r="AA313" s="23">
        <v>334903</v>
      </c>
      <c r="AB313" s="24">
        <v>46062</v>
      </c>
    </row>
    <row r="314" spans="2:28" x14ac:dyDescent="0.2">
      <c r="C314" s="23">
        <v>1100576350</v>
      </c>
      <c r="E314" s="23">
        <v>20</v>
      </c>
      <c r="F314" s="23" t="s">
        <v>2356</v>
      </c>
      <c r="G314" s="23" t="s">
        <v>2357</v>
      </c>
      <c r="H314" s="24">
        <v>46120</v>
      </c>
      <c r="I314" s="24">
        <v>46120</v>
      </c>
      <c r="J314" s="23" t="s">
        <v>165</v>
      </c>
      <c r="K314" s="23" t="s">
        <v>165</v>
      </c>
      <c r="L314" s="23">
        <v>1</v>
      </c>
      <c r="M314" s="23" t="s">
        <v>78</v>
      </c>
      <c r="N314" s="23" t="s">
        <v>78</v>
      </c>
      <c r="O314" s="23">
        <v>7688</v>
      </c>
      <c r="P314" s="23" t="s">
        <v>79</v>
      </c>
      <c r="Q314" s="23" t="s">
        <v>83</v>
      </c>
      <c r="R314" s="23">
        <v>11100189</v>
      </c>
      <c r="S314" s="24" t="s">
        <v>80</v>
      </c>
      <c r="T314" s="24">
        <v>46062</v>
      </c>
      <c r="U314" s="24" t="s">
        <v>80</v>
      </c>
      <c r="X314" s="24">
        <v>46003</v>
      </c>
      <c r="Y314" s="23">
        <v>1111</v>
      </c>
      <c r="Z314" s="23">
        <v>11100303</v>
      </c>
      <c r="AA314" s="23">
        <v>334903</v>
      </c>
      <c r="AB314" s="24">
        <v>46062</v>
      </c>
    </row>
    <row r="315" spans="2:28" x14ac:dyDescent="0.2">
      <c r="C315" s="23">
        <v>1100576350</v>
      </c>
      <c r="E315" s="23">
        <v>30</v>
      </c>
      <c r="F315" s="23" t="s">
        <v>84</v>
      </c>
      <c r="G315" s="23" t="s">
        <v>123</v>
      </c>
      <c r="H315" s="24">
        <v>46120</v>
      </c>
      <c r="I315" s="24">
        <v>46120</v>
      </c>
      <c r="J315" s="23" t="s">
        <v>165</v>
      </c>
      <c r="K315" s="23" t="s">
        <v>165</v>
      </c>
      <c r="L315" s="23">
        <v>1</v>
      </c>
      <c r="M315" s="23" t="s">
        <v>78</v>
      </c>
      <c r="N315" s="23" t="s">
        <v>78</v>
      </c>
      <c r="O315" s="23">
        <v>0.01</v>
      </c>
      <c r="P315" s="23" t="s">
        <v>79</v>
      </c>
      <c r="Q315" s="23" t="s">
        <v>83</v>
      </c>
      <c r="R315" s="23">
        <v>11100189</v>
      </c>
      <c r="S315" s="24" t="s">
        <v>80</v>
      </c>
      <c r="T315" s="24">
        <v>46062</v>
      </c>
      <c r="U315" s="24" t="s">
        <v>80</v>
      </c>
      <c r="X315" s="24">
        <v>46003</v>
      </c>
      <c r="Y315" s="23">
        <v>1111</v>
      </c>
      <c r="Z315" s="23">
        <v>11100303</v>
      </c>
      <c r="AA315" s="23">
        <v>334903</v>
      </c>
      <c r="AB315" s="24">
        <v>46062</v>
      </c>
    </row>
    <row r="316" spans="2:28" x14ac:dyDescent="0.2">
      <c r="C316" s="23">
        <v>1100576350</v>
      </c>
      <c r="E316" s="23">
        <v>40</v>
      </c>
      <c r="F316" s="23" t="s">
        <v>82</v>
      </c>
      <c r="G316" s="23" t="s">
        <v>139</v>
      </c>
      <c r="H316" s="24">
        <v>46120</v>
      </c>
      <c r="I316" s="24">
        <v>46120</v>
      </c>
      <c r="J316" s="23" t="s">
        <v>165</v>
      </c>
      <c r="K316" s="23" t="s">
        <v>165</v>
      </c>
      <c r="L316" s="23">
        <v>1</v>
      </c>
      <c r="M316" s="23" t="s">
        <v>78</v>
      </c>
      <c r="N316" s="23" t="s">
        <v>78</v>
      </c>
      <c r="O316" s="23">
        <v>0.01</v>
      </c>
      <c r="P316" s="23" t="s">
        <v>79</v>
      </c>
      <c r="Q316" s="23" t="s">
        <v>83</v>
      </c>
      <c r="R316" s="23">
        <v>11100189</v>
      </c>
      <c r="S316" s="24" t="s">
        <v>80</v>
      </c>
      <c r="T316" s="24">
        <v>46062</v>
      </c>
      <c r="U316" s="24" t="s">
        <v>80</v>
      </c>
      <c r="X316" s="24">
        <v>46003</v>
      </c>
      <c r="Y316" s="23">
        <v>1111</v>
      </c>
      <c r="Z316" s="23">
        <v>11100303</v>
      </c>
      <c r="AA316" s="23">
        <v>334903</v>
      </c>
      <c r="AB316" s="24">
        <v>46062</v>
      </c>
    </row>
    <row r="317" spans="2:28" x14ac:dyDescent="0.2">
      <c r="B317" s="23" t="s">
        <v>81</v>
      </c>
      <c r="C317" s="23">
        <v>1100576350</v>
      </c>
      <c r="H317" s="24">
        <v>46120</v>
      </c>
      <c r="O317" s="23">
        <v>14432.02</v>
      </c>
      <c r="P317" s="23" t="s">
        <v>79</v>
      </c>
    </row>
    <row r="318" spans="2:28" x14ac:dyDescent="0.2">
      <c r="C318" s="23">
        <v>1100566489</v>
      </c>
      <c r="E318" s="23">
        <v>10</v>
      </c>
      <c r="F318" s="23" t="s">
        <v>1241</v>
      </c>
      <c r="G318" s="23" t="s">
        <v>86</v>
      </c>
      <c r="H318" s="24">
        <v>46121</v>
      </c>
      <c r="I318" s="24">
        <v>46121</v>
      </c>
      <c r="J318" s="23" t="s">
        <v>272</v>
      </c>
      <c r="K318" s="23" t="s">
        <v>272</v>
      </c>
      <c r="L318" s="23">
        <v>1</v>
      </c>
      <c r="M318" s="23" t="s">
        <v>78</v>
      </c>
      <c r="N318" s="23" t="s">
        <v>78</v>
      </c>
      <c r="O318" s="23">
        <v>38840.400000000001</v>
      </c>
      <c r="P318" s="23" t="s">
        <v>79</v>
      </c>
      <c r="Q318" s="23" t="s">
        <v>83</v>
      </c>
      <c r="R318" s="23">
        <v>11100018</v>
      </c>
      <c r="S318" s="24">
        <v>46058</v>
      </c>
      <c r="T318" s="24">
        <v>45950</v>
      </c>
      <c r="U318" s="24" t="s">
        <v>80</v>
      </c>
      <c r="X318" s="24">
        <v>45939</v>
      </c>
      <c r="Y318" s="23">
        <v>1111</v>
      </c>
      <c r="Z318" s="23">
        <v>11100002</v>
      </c>
      <c r="AA318" s="23">
        <v>3902</v>
      </c>
      <c r="AB318" s="24">
        <v>45950</v>
      </c>
    </row>
    <row r="319" spans="2:28" x14ac:dyDescent="0.2">
      <c r="C319" s="23">
        <v>1100566489</v>
      </c>
      <c r="E319" s="23">
        <v>20</v>
      </c>
      <c r="F319" s="23" t="s">
        <v>88</v>
      </c>
      <c r="G319" s="23" t="s">
        <v>158</v>
      </c>
      <c r="H319" s="24">
        <v>46121</v>
      </c>
      <c r="I319" s="24">
        <v>46121</v>
      </c>
      <c r="J319" s="23" t="s">
        <v>272</v>
      </c>
      <c r="K319" s="23" t="s">
        <v>272</v>
      </c>
      <c r="L319" s="23">
        <v>1</v>
      </c>
      <c r="M319" s="23" t="s">
        <v>78</v>
      </c>
      <c r="N319" s="23" t="s">
        <v>78</v>
      </c>
      <c r="O319" s="23">
        <v>0.01</v>
      </c>
      <c r="P319" s="23" t="s">
        <v>79</v>
      </c>
      <c r="Q319" s="23" t="s">
        <v>83</v>
      </c>
      <c r="R319" s="23">
        <v>11100018</v>
      </c>
      <c r="S319" s="24" t="s">
        <v>80</v>
      </c>
      <c r="T319" s="24">
        <v>45950</v>
      </c>
      <c r="U319" s="24" t="s">
        <v>80</v>
      </c>
      <c r="X319" s="24">
        <v>45939</v>
      </c>
      <c r="Y319" s="23">
        <v>1111</v>
      </c>
      <c r="Z319" s="23">
        <v>11100002</v>
      </c>
      <c r="AA319" s="23">
        <v>3902</v>
      </c>
      <c r="AB319" s="24">
        <v>45950</v>
      </c>
    </row>
    <row r="320" spans="2:28" x14ac:dyDescent="0.2">
      <c r="C320" s="23">
        <v>1100566489</v>
      </c>
      <c r="E320" s="23">
        <v>30</v>
      </c>
      <c r="F320" s="23" t="s">
        <v>84</v>
      </c>
      <c r="G320" s="23" t="s">
        <v>123</v>
      </c>
      <c r="H320" s="24">
        <v>46121</v>
      </c>
      <c r="I320" s="24">
        <v>46121</v>
      </c>
      <c r="J320" s="23" t="s">
        <v>272</v>
      </c>
      <c r="K320" s="23" t="s">
        <v>272</v>
      </c>
      <c r="L320" s="23">
        <v>1</v>
      </c>
      <c r="M320" s="23" t="s">
        <v>78</v>
      </c>
      <c r="N320" s="23" t="s">
        <v>78</v>
      </c>
      <c r="O320" s="23">
        <v>0.01</v>
      </c>
      <c r="P320" s="23" t="s">
        <v>79</v>
      </c>
      <c r="Q320" s="23" t="s">
        <v>83</v>
      </c>
      <c r="R320" s="23">
        <v>11100018</v>
      </c>
      <c r="S320" s="24" t="s">
        <v>80</v>
      </c>
      <c r="T320" s="24">
        <v>45950</v>
      </c>
      <c r="U320" s="24" t="s">
        <v>80</v>
      </c>
      <c r="X320" s="24">
        <v>45939</v>
      </c>
      <c r="Y320" s="23">
        <v>1111</v>
      </c>
      <c r="Z320" s="23">
        <v>11100002</v>
      </c>
      <c r="AA320" s="23">
        <v>3902</v>
      </c>
      <c r="AB320" s="24">
        <v>45950</v>
      </c>
    </row>
    <row r="321" spans="2:28" x14ac:dyDescent="0.2">
      <c r="C321" s="23">
        <v>1100566489</v>
      </c>
      <c r="E321" s="23">
        <v>40</v>
      </c>
      <c r="F321" s="23" t="s">
        <v>1242</v>
      </c>
      <c r="G321" s="23" t="s">
        <v>1243</v>
      </c>
      <c r="H321" s="24">
        <v>46121</v>
      </c>
      <c r="I321" s="24">
        <v>46121</v>
      </c>
      <c r="J321" s="23" t="s">
        <v>272</v>
      </c>
      <c r="K321" s="23" t="s">
        <v>272</v>
      </c>
      <c r="L321" s="23">
        <v>1</v>
      </c>
      <c r="M321" s="23" t="s">
        <v>78</v>
      </c>
      <c r="N321" s="23" t="s">
        <v>78</v>
      </c>
      <c r="O321" s="23">
        <v>0.01</v>
      </c>
      <c r="P321" s="23" t="s">
        <v>79</v>
      </c>
      <c r="Q321" s="23" t="s">
        <v>83</v>
      </c>
      <c r="R321" s="23">
        <v>11100018</v>
      </c>
      <c r="S321" s="24" t="s">
        <v>80</v>
      </c>
      <c r="T321" s="24">
        <v>45950</v>
      </c>
      <c r="U321" s="24" t="s">
        <v>80</v>
      </c>
      <c r="X321" s="24">
        <v>45939</v>
      </c>
      <c r="Y321" s="23">
        <v>1111</v>
      </c>
      <c r="Z321" s="23">
        <v>11100002</v>
      </c>
      <c r="AA321" s="23">
        <v>3902</v>
      </c>
      <c r="AB321" s="24">
        <v>45950</v>
      </c>
    </row>
    <row r="322" spans="2:28" x14ac:dyDescent="0.2">
      <c r="C322" s="23">
        <v>1100566489</v>
      </c>
      <c r="E322" s="23">
        <v>50</v>
      </c>
      <c r="F322" s="23" t="s">
        <v>309</v>
      </c>
      <c r="G322" s="23" t="s">
        <v>310</v>
      </c>
      <c r="H322" s="24">
        <v>46121</v>
      </c>
      <c r="I322" s="24">
        <v>46121</v>
      </c>
      <c r="J322" s="23" t="s">
        <v>272</v>
      </c>
      <c r="K322" s="23" t="s">
        <v>272</v>
      </c>
      <c r="L322" s="23">
        <v>1</v>
      </c>
      <c r="M322" s="23" t="s">
        <v>78</v>
      </c>
      <c r="N322" s="23" t="s">
        <v>78</v>
      </c>
      <c r="O322" s="23">
        <v>0.01</v>
      </c>
      <c r="P322" s="23" t="s">
        <v>79</v>
      </c>
      <c r="Q322" s="23" t="s">
        <v>83</v>
      </c>
      <c r="R322" s="23">
        <v>11100018</v>
      </c>
      <c r="S322" s="24" t="s">
        <v>80</v>
      </c>
      <c r="T322" s="24">
        <v>45950</v>
      </c>
      <c r="U322" s="24" t="s">
        <v>80</v>
      </c>
      <c r="X322" s="24">
        <v>45939</v>
      </c>
      <c r="Y322" s="23">
        <v>1111</v>
      </c>
      <c r="Z322" s="23">
        <v>11100002</v>
      </c>
      <c r="AA322" s="23">
        <v>3902</v>
      </c>
      <c r="AB322" s="24">
        <v>45950</v>
      </c>
    </row>
    <row r="323" spans="2:28" x14ac:dyDescent="0.2">
      <c r="B323" s="23" t="s">
        <v>81</v>
      </c>
      <c r="C323" s="23">
        <v>1100566489</v>
      </c>
      <c r="H323" s="24">
        <v>46121</v>
      </c>
      <c r="O323" s="23">
        <v>38840.44</v>
      </c>
      <c r="P323" s="23" t="s">
        <v>79</v>
      </c>
    </row>
    <row r="324" spans="2:28" x14ac:dyDescent="0.2">
      <c r="C324" s="23">
        <v>1100572598</v>
      </c>
      <c r="E324" s="23">
        <v>10</v>
      </c>
      <c r="F324" s="23" t="s">
        <v>1447</v>
      </c>
      <c r="G324" s="23" t="s">
        <v>1448</v>
      </c>
      <c r="H324" s="24">
        <v>46122</v>
      </c>
      <c r="I324" s="24">
        <v>46122</v>
      </c>
      <c r="J324" s="23" t="s">
        <v>1449</v>
      </c>
      <c r="K324" s="23" t="s">
        <v>1449</v>
      </c>
      <c r="L324" s="23">
        <v>1</v>
      </c>
      <c r="M324" s="23" t="s">
        <v>78</v>
      </c>
      <c r="N324" s="23" t="s">
        <v>78</v>
      </c>
      <c r="O324" s="23">
        <v>25825</v>
      </c>
      <c r="P324" s="23" t="s">
        <v>79</v>
      </c>
      <c r="Q324" s="23" t="s">
        <v>83</v>
      </c>
      <c r="R324" s="23">
        <v>11100299</v>
      </c>
      <c r="S324" s="24">
        <v>46115</v>
      </c>
      <c r="T324" s="24">
        <v>46021</v>
      </c>
      <c r="U324" s="24">
        <v>46122</v>
      </c>
      <c r="X324" s="24">
        <v>46014</v>
      </c>
      <c r="Y324" s="23">
        <v>1111</v>
      </c>
      <c r="Z324" s="23">
        <v>11100002</v>
      </c>
      <c r="AA324" s="23">
        <v>5012</v>
      </c>
      <c r="AB324" s="24">
        <v>46021</v>
      </c>
    </row>
    <row r="325" spans="2:28" x14ac:dyDescent="0.2">
      <c r="C325" s="23">
        <v>1100572598</v>
      </c>
      <c r="E325" s="23">
        <v>20</v>
      </c>
      <c r="F325" s="23" t="s">
        <v>82</v>
      </c>
      <c r="G325" s="23" t="s">
        <v>139</v>
      </c>
      <c r="H325" s="24">
        <v>46122</v>
      </c>
      <c r="I325" s="24">
        <v>46122</v>
      </c>
      <c r="J325" s="23" t="s">
        <v>1449</v>
      </c>
      <c r="K325" s="23" t="s">
        <v>1449</v>
      </c>
      <c r="L325" s="23">
        <v>1</v>
      </c>
      <c r="M325" s="23" t="s">
        <v>78</v>
      </c>
      <c r="N325" s="23" t="s">
        <v>78</v>
      </c>
      <c r="O325" s="23">
        <v>0.01</v>
      </c>
      <c r="P325" s="23" t="s">
        <v>79</v>
      </c>
      <c r="Q325" s="23" t="s">
        <v>83</v>
      </c>
      <c r="R325" s="23">
        <v>11100299</v>
      </c>
      <c r="S325" s="24" t="s">
        <v>80</v>
      </c>
      <c r="T325" s="24">
        <v>46021</v>
      </c>
      <c r="U325" s="24">
        <v>46122</v>
      </c>
      <c r="X325" s="24">
        <v>46014</v>
      </c>
      <c r="Y325" s="23">
        <v>1111</v>
      </c>
      <c r="Z325" s="23">
        <v>11100002</v>
      </c>
      <c r="AA325" s="23">
        <v>5012</v>
      </c>
      <c r="AB325" s="24">
        <v>46021</v>
      </c>
    </row>
    <row r="326" spans="2:28" x14ac:dyDescent="0.2">
      <c r="B326" s="23" t="s">
        <v>81</v>
      </c>
      <c r="C326" s="23">
        <v>1100572598</v>
      </c>
      <c r="H326" s="24">
        <v>46122</v>
      </c>
      <c r="O326" s="23">
        <v>25825.01</v>
      </c>
      <c r="P326" s="23" t="s">
        <v>79</v>
      </c>
    </row>
    <row r="327" spans="2:28" x14ac:dyDescent="0.2">
      <c r="C327" s="23">
        <v>1100574830</v>
      </c>
      <c r="E327" s="23">
        <v>10</v>
      </c>
      <c r="F327" s="23" t="s">
        <v>2358</v>
      </c>
      <c r="G327" s="23" t="s">
        <v>2359</v>
      </c>
      <c r="H327" s="24">
        <v>46122</v>
      </c>
      <c r="I327" s="24">
        <v>46122</v>
      </c>
      <c r="J327" s="23" t="s">
        <v>1401</v>
      </c>
      <c r="K327" s="23" t="s">
        <v>1401</v>
      </c>
      <c r="L327" s="23">
        <v>1</v>
      </c>
      <c r="M327" s="23" t="s">
        <v>78</v>
      </c>
      <c r="N327" s="23" t="s">
        <v>78</v>
      </c>
      <c r="O327" s="23">
        <v>3472</v>
      </c>
      <c r="P327" s="23" t="s">
        <v>79</v>
      </c>
      <c r="Q327" s="23" t="s">
        <v>83</v>
      </c>
      <c r="R327" s="23">
        <v>11100008</v>
      </c>
      <c r="S327" s="24">
        <v>46087</v>
      </c>
      <c r="T327" s="24">
        <v>46048</v>
      </c>
      <c r="U327" s="24">
        <v>46122</v>
      </c>
      <c r="X327" s="24">
        <v>46041</v>
      </c>
      <c r="Y327" s="23">
        <v>1111</v>
      </c>
      <c r="Z327" s="23">
        <v>11100002</v>
      </c>
      <c r="AA327" s="23">
        <v>3312</v>
      </c>
      <c r="AB327" s="24">
        <v>46048</v>
      </c>
    </row>
    <row r="328" spans="2:28" x14ac:dyDescent="0.2">
      <c r="C328" s="23">
        <v>1100574830</v>
      </c>
      <c r="E328" s="23">
        <v>20</v>
      </c>
      <c r="F328" s="23" t="s">
        <v>969</v>
      </c>
      <c r="G328" s="23" t="s">
        <v>2359</v>
      </c>
      <c r="H328" s="24">
        <v>46122</v>
      </c>
      <c r="I328" s="24">
        <v>46122</v>
      </c>
      <c r="J328" s="23" t="s">
        <v>1401</v>
      </c>
      <c r="K328" s="23" t="s">
        <v>1401</v>
      </c>
      <c r="L328" s="23">
        <v>2</v>
      </c>
      <c r="M328" s="23" t="s">
        <v>78</v>
      </c>
      <c r="N328" s="23" t="s">
        <v>78</v>
      </c>
      <c r="O328" s="23">
        <v>6440</v>
      </c>
      <c r="P328" s="23" t="s">
        <v>79</v>
      </c>
      <c r="Q328" s="23" t="s">
        <v>83</v>
      </c>
      <c r="R328" s="23">
        <v>11100008</v>
      </c>
      <c r="S328" s="24" t="s">
        <v>80</v>
      </c>
      <c r="T328" s="24">
        <v>46048</v>
      </c>
      <c r="U328" s="24">
        <v>46122</v>
      </c>
      <c r="X328" s="24">
        <v>46041</v>
      </c>
      <c r="Y328" s="23">
        <v>1111</v>
      </c>
      <c r="Z328" s="23">
        <v>11100002</v>
      </c>
      <c r="AA328" s="23">
        <v>3312</v>
      </c>
      <c r="AB328" s="24">
        <v>46048</v>
      </c>
    </row>
    <row r="329" spans="2:28" x14ac:dyDescent="0.2">
      <c r="C329" s="23">
        <v>1100574830</v>
      </c>
      <c r="E329" s="23">
        <v>30</v>
      </c>
      <c r="F329" s="23" t="s">
        <v>2360</v>
      </c>
      <c r="G329" s="23" t="s">
        <v>2361</v>
      </c>
      <c r="H329" s="24">
        <v>46122</v>
      </c>
      <c r="I329" s="24">
        <v>46122</v>
      </c>
      <c r="J329" s="23" t="s">
        <v>1401</v>
      </c>
      <c r="K329" s="23" t="s">
        <v>1401</v>
      </c>
      <c r="L329" s="23">
        <v>2</v>
      </c>
      <c r="M329" s="23" t="s">
        <v>78</v>
      </c>
      <c r="N329" s="23" t="s">
        <v>78</v>
      </c>
      <c r="O329" s="23">
        <v>8628</v>
      </c>
      <c r="P329" s="23" t="s">
        <v>79</v>
      </c>
      <c r="Q329" s="23" t="s">
        <v>83</v>
      </c>
      <c r="R329" s="23">
        <v>11100008</v>
      </c>
      <c r="S329" s="24" t="s">
        <v>80</v>
      </c>
      <c r="T329" s="24">
        <v>46048</v>
      </c>
      <c r="U329" s="24">
        <v>46122</v>
      </c>
      <c r="X329" s="24">
        <v>46041</v>
      </c>
      <c r="Y329" s="23">
        <v>1111</v>
      </c>
      <c r="Z329" s="23">
        <v>11100002</v>
      </c>
      <c r="AA329" s="23">
        <v>3312</v>
      </c>
      <c r="AB329" s="24">
        <v>46048</v>
      </c>
    </row>
    <row r="330" spans="2:28" x14ac:dyDescent="0.2">
      <c r="C330" s="23">
        <v>1100574830</v>
      </c>
      <c r="E330" s="23">
        <v>40</v>
      </c>
      <c r="F330" s="23" t="s">
        <v>2362</v>
      </c>
      <c r="G330" s="23" t="s">
        <v>553</v>
      </c>
      <c r="H330" s="24">
        <v>46122</v>
      </c>
      <c r="I330" s="24">
        <v>46122</v>
      </c>
      <c r="J330" s="23" t="s">
        <v>1401</v>
      </c>
      <c r="K330" s="23" t="s">
        <v>1401</v>
      </c>
      <c r="L330" s="23">
        <v>1</v>
      </c>
      <c r="M330" s="23" t="s">
        <v>78</v>
      </c>
      <c r="N330" s="23" t="s">
        <v>78</v>
      </c>
      <c r="O330" s="23">
        <v>4130</v>
      </c>
      <c r="P330" s="23" t="s">
        <v>79</v>
      </c>
      <c r="Q330" s="23" t="s">
        <v>83</v>
      </c>
      <c r="R330" s="23">
        <v>11100008</v>
      </c>
      <c r="S330" s="24" t="s">
        <v>80</v>
      </c>
      <c r="T330" s="24">
        <v>46048</v>
      </c>
      <c r="U330" s="24">
        <v>46122</v>
      </c>
      <c r="X330" s="24">
        <v>46041</v>
      </c>
      <c r="Y330" s="23">
        <v>1111</v>
      </c>
      <c r="Z330" s="23">
        <v>11100002</v>
      </c>
      <c r="AA330" s="23">
        <v>3312</v>
      </c>
      <c r="AB330" s="24">
        <v>46048</v>
      </c>
    </row>
    <row r="331" spans="2:28" x14ac:dyDescent="0.2">
      <c r="C331" s="23">
        <v>1100574830</v>
      </c>
      <c r="E331" s="23">
        <v>50</v>
      </c>
      <c r="F331" s="23" t="s">
        <v>2363</v>
      </c>
      <c r="G331" s="23" t="s">
        <v>2364</v>
      </c>
      <c r="H331" s="24">
        <v>46122</v>
      </c>
      <c r="I331" s="24">
        <v>46122</v>
      </c>
      <c r="J331" s="23" t="s">
        <v>1401</v>
      </c>
      <c r="K331" s="23" t="s">
        <v>1401</v>
      </c>
      <c r="L331" s="23">
        <v>3</v>
      </c>
      <c r="M331" s="23" t="s">
        <v>78</v>
      </c>
      <c r="N331" s="23" t="s">
        <v>78</v>
      </c>
      <c r="O331" s="23">
        <v>14613</v>
      </c>
      <c r="P331" s="23" t="s">
        <v>79</v>
      </c>
      <c r="Q331" s="23" t="s">
        <v>83</v>
      </c>
      <c r="R331" s="23">
        <v>11100008</v>
      </c>
      <c r="S331" s="24" t="s">
        <v>80</v>
      </c>
      <c r="T331" s="24">
        <v>46048</v>
      </c>
      <c r="U331" s="24">
        <v>46122</v>
      </c>
      <c r="X331" s="24">
        <v>46041</v>
      </c>
      <c r="Y331" s="23">
        <v>1111</v>
      </c>
      <c r="Z331" s="23">
        <v>11100002</v>
      </c>
      <c r="AA331" s="23">
        <v>3312</v>
      </c>
      <c r="AB331" s="24">
        <v>46048</v>
      </c>
    </row>
    <row r="332" spans="2:28" x14ac:dyDescent="0.2">
      <c r="C332" s="23">
        <v>1100574830</v>
      </c>
      <c r="E332" s="23">
        <v>60</v>
      </c>
      <c r="F332" s="23" t="s">
        <v>2365</v>
      </c>
      <c r="G332" s="23" t="s">
        <v>291</v>
      </c>
      <c r="H332" s="24">
        <v>46122</v>
      </c>
      <c r="I332" s="24">
        <v>46122</v>
      </c>
      <c r="J332" s="23" t="s">
        <v>1401</v>
      </c>
      <c r="K332" s="23" t="s">
        <v>1401</v>
      </c>
      <c r="L332" s="23">
        <v>1</v>
      </c>
      <c r="M332" s="23" t="s">
        <v>78</v>
      </c>
      <c r="N332" s="23" t="s">
        <v>78</v>
      </c>
      <c r="O332" s="23">
        <v>6236</v>
      </c>
      <c r="P332" s="23" t="s">
        <v>79</v>
      </c>
      <c r="Q332" s="23" t="s">
        <v>83</v>
      </c>
      <c r="R332" s="23">
        <v>11100008</v>
      </c>
      <c r="S332" s="24" t="s">
        <v>80</v>
      </c>
      <c r="T332" s="24">
        <v>46048</v>
      </c>
      <c r="U332" s="24">
        <v>46122</v>
      </c>
      <c r="X332" s="24">
        <v>46041</v>
      </c>
      <c r="Y332" s="23">
        <v>1111</v>
      </c>
      <c r="Z332" s="23">
        <v>11100002</v>
      </c>
      <c r="AA332" s="23">
        <v>3312</v>
      </c>
      <c r="AB332" s="24">
        <v>46048</v>
      </c>
    </row>
    <row r="333" spans="2:28" x14ac:dyDescent="0.2">
      <c r="C333" s="23">
        <v>1100574830</v>
      </c>
      <c r="E333" s="23">
        <v>61</v>
      </c>
      <c r="F333" s="23" t="s">
        <v>2365</v>
      </c>
      <c r="G333" s="23" t="s">
        <v>291</v>
      </c>
      <c r="H333" s="24">
        <v>46122</v>
      </c>
      <c r="I333" s="24">
        <v>46122</v>
      </c>
      <c r="J333" s="23" t="s">
        <v>1401</v>
      </c>
      <c r="K333" s="23" t="s">
        <v>1401</v>
      </c>
      <c r="L333" s="23">
        <v>1</v>
      </c>
      <c r="M333" s="23" t="s">
        <v>78</v>
      </c>
      <c r="N333" s="23" t="s">
        <v>78</v>
      </c>
      <c r="O333" s="23">
        <v>6236</v>
      </c>
      <c r="P333" s="23" t="s">
        <v>79</v>
      </c>
      <c r="Q333" s="23" t="s">
        <v>83</v>
      </c>
      <c r="R333" s="23">
        <v>11100008</v>
      </c>
      <c r="S333" s="24" t="s">
        <v>80</v>
      </c>
      <c r="T333" s="24">
        <v>46048</v>
      </c>
      <c r="U333" s="24">
        <v>46122</v>
      </c>
      <c r="X333" s="24">
        <v>46041</v>
      </c>
      <c r="Y333" s="23">
        <v>1111</v>
      </c>
      <c r="Z333" s="23">
        <v>11100002</v>
      </c>
      <c r="AA333" s="23">
        <v>3312</v>
      </c>
      <c r="AB333" s="24">
        <v>46048</v>
      </c>
    </row>
    <row r="334" spans="2:28" x14ac:dyDescent="0.2">
      <c r="C334" s="23">
        <v>1100574830</v>
      </c>
      <c r="E334" s="23">
        <v>70</v>
      </c>
      <c r="F334" s="23" t="s">
        <v>2366</v>
      </c>
      <c r="G334" s="23" t="s">
        <v>291</v>
      </c>
      <c r="H334" s="24">
        <v>46122</v>
      </c>
      <c r="I334" s="24">
        <v>46122</v>
      </c>
      <c r="J334" s="23" t="s">
        <v>1401</v>
      </c>
      <c r="K334" s="23" t="s">
        <v>1401</v>
      </c>
      <c r="L334" s="23">
        <v>1</v>
      </c>
      <c r="M334" s="23" t="s">
        <v>78</v>
      </c>
      <c r="N334" s="23" t="s">
        <v>78</v>
      </c>
      <c r="O334" s="23">
        <v>5048</v>
      </c>
      <c r="P334" s="23" t="s">
        <v>79</v>
      </c>
      <c r="Q334" s="23" t="s">
        <v>83</v>
      </c>
      <c r="R334" s="23">
        <v>11100008</v>
      </c>
      <c r="S334" s="24" t="s">
        <v>80</v>
      </c>
      <c r="T334" s="24">
        <v>46048</v>
      </c>
      <c r="U334" s="24">
        <v>46122</v>
      </c>
      <c r="X334" s="24">
        <v>46041</v>
      </c>
      <c r="Y334" s="23">
        <v>1111</v>
      </c>
      <c r="Z334" s="23">
        <v>11100002</v>
      </c>
      <c r="AA334" s="23">
        <v>3312</v>
      </c>
      <c r="AB334" s="24">
        <v>46048</v>
      </c>
    </row>
    <row r="335" spans="2:28" x14ac:dyDescent="0.2">
      <c r="C335" s="23">
        <v>1100574830</v>
      </c>
      <c r="E335" s="23">
        <v>80</v>
      </c>
      <c r="F335" s="23" t="s">
        <v>2367</v>
      </c>
      <c r="G335" s="23" t="s">
        <v>972</v>
      </c>
      <c r="H335" s="24">
        <v>46122</v>
      </c>
      <c r="I335" s="24">
        <v>46122</v>
      </c>
      <c r="J335" s="23" t="s">
        <v>1401</v>
      </c>
      <c r="K335" s="23" t="s">
        <v>1401</v>
      </c>
      <c r="L335" s="23">
        <v>3</v>
      </c>
      <c r="M335" s="23" t="s">
        <v>78</v>
      </c>
      <c r="N335" s="23" t="s">
        <v>78</v>
      </c>
      <c r="O335" s="23">
        <v>17517</v>
      </c>
      <c r="P335" s="23" t="s">
        <v>79</v>
      </c>
      <c r="Q335" s="23" t="s">
        <v>83</v>
      </c>
      <c r="R335" s="23">
        <v>11100008</v>
      </c>
      <c r="S335" s="24" t="s">
        <v>80</v>
      </c>
      <c r="T335" s="24">
        <v>46048</v>
      </c>
      <c r="U335" s="24">
        <v>46122</v>
      </c>
      <c r="X335" s="24">
        <v>46041</v>
      </c>
      <c r="Y335" s="23">
        <v>1111</v>
      </c>
      <c r="Z335" s="23">
        <v>11100002</v>
      </c>
      <c r="AA335" s="23">
        <v>3312</v>
      </c>
      <c r="AB335" s="24">
        <v>46048</v>
      </c>
    </row>
    <row r="336" spans="2:28" x14ac:dyDescent="0.2">
      <c r="B336" s="23" t="s">
        <v>81</v>
      </c>
      <c r="C336" s="23">
        <v>1100574830</v>
      </c>
      <c r="H336" s="24">
        <v>46122</v>
      </c>
      <c r="O336" s="23">
        <v>72320</v>
      </c>
      <c r="P336" s="23" t="s">
        <v>79</v>
      </c>
    </row>
    <row r="337" spans="2:28" x14ac:dyDescent="0.2">
      <c r="C337" s="23">
        <v>1100575011</v>
      </c>
      <c r="E337" s="23">
        <v>10</v>
      </c>
      <c r="F337" s="23" t="s">
        <v>2368</v>
      </c>
      <c r="G337" s="23" t="s">
        <v>291</v>
      </c>
      <c r="H337" s="24">
        <v>46122</v>
      </c>
      <c r="I337" s="24">
        <v>46122</v>
      </c>
      <c r="J337" s="23" t="s">
        <v>1401</v>
      </c>
      <c r="K337" s="23" t="s">
        <v>1401</v>
      </c>
      <c r="L337" s="23">
        <v>4</v>
      </c>
      <c r="M337" s="23" t="s">
        <v>78</v>
      </c>
      <c r="N337" s="23" t="s">
        <v>78</v>
      </c>
      <c r="O337" s="23">
        <v>19408</v>
      </c>
      <c r="P337" s="23" t="s">
        <v>79</v>
      </c>
      <c r="Q337" s="23" t="s">
        <v>83</v>
      </c>
      <c r="R337" s="23">
        <v>11100008</v>
      </c>
      <c r="S337" s="24">
        <v>46087</v>
      </c>
      <c r="T337" s="24">
        <v>46049</v>
      </c>
      <c r="U337" s="24">
        <v>46087</v>
      </c>
      <c r="X337" s="24">
        <v>46045</v>
      </c>
      <c r="Y337" s="23">
        <v>1111</v>
      </c>
      <c r="Z337" s="23">
        <v>11100002</v>
      </c>
      <c r="AA337" s="23">
        <v>3312</v>
      </c>
      <c r="AB337" s="24">
        <v>46049</v>
      </c>
    </row>
    <row r="338" spans="2:28" x14ac:dyDescent="0.2">
      <c r="B338" s="23" t="s">
        <v>81</v>
      </c>
      <c r="C338" s="23">
        <v>1100575011</v>
      </c>
      <c r="H338" s="24">
        <v>46122</v>
      </c>
      <c r="O338" s="23">
        <v>19408</v>
      </c>
      <c r="P338" s="23" t="s">
        <v>79</v>
      </c>
    </row>
    <row r="339" spans="2:28" x14ac:dyDescent="0.2">
      <c r="C339" s="23">
        <v>1100568066</v>
      </c>
      <c r="E339" s="23">
        <v>10</v>
      </c>
      <c r="F339" s="23" t="s">
        <v>1281</v>
      </c>
      <c r="G339" s="23" t="s">
        <v>86</v>
      </c>
      <c r="H339" s="24">
        <v>46125</v>
      </c>
      <c r="I339" s="24">
        <v>46125</v>
      </c>
      <c r="J339" s="23" t="s">
        <v>773</v>
      </c>
      <c r="K339" s="23" t="s">
        <v>773</v>
      </c>
      <c r="L339" s="23">
        <v>1</v>
      </c>
      <c r="M339" s="23" t="s">
        <v>78</v>
      </c>
      <c r="N339" s="23" t="s">
        <v>78</v>
      </c>
      <c r="O339" s="23">
        <v>36578</v>
      </c>
      <c r="P339" s="23" t="s">
        <v>79</v>
      </c>
      <c r="Q339" s="23" t="s">
        <v>83</v>
      </c>
      <c r="R339" s="23">
        <v>11100018</v>
      </c>
      <c r="S339" s="24">
        <v>46077</v>
      </c>
      <c r="T339" s="24">
        <v>45965</v>
      </c>
      <c r="U339" s="24">
        <v>46752</v>
      </c>
      <c r="X339" s="24">
        <v>45964</v>
      </c>
      <c r="Y339" s="23">
        <v>1111</v>
      </c>
      <c r="Z339" s="23">
        <v>11100002</v>
      </c>
      <c r="AA339" s="23">
        <v>3301</v>
      </c>
      <c r="AB339" s="24">
        <v>45965</v>
      </c>
    </row>
    <row r="340" spans="2:28" x14ac:dyDescent="0.2">
      <c r="C340" s="23">
        <v>1100568066</v>
      </c>
      <c r="E340" s="23">
        <v>20</v>
      </c>
      <c r="F340" s="23" t="s">
        <v>1282</v>
      </c>
      <c r="G340" s="23" t="s">
        <v>86</v>
      </c>
      <c r="H340" s="24">
        <v>46125</v>
      </c>
      <c r="I340" s="24">
        <v>46125</v>
      </c>
      <c r="J340" s="23" t="s">
        <v>773</v>
      </c>
      <c r="K340" s="23" t="s">
        <v>773</v>
      </c>
      <c r="L340" s="23">
        <v>1</v>
      </c>
      <c r="M340" s="23" t="s">
        <v>78</v>
      </c>
      <c r="N340" s="23" t="s">
        <v>78</v>
      </c>
      <c r="O340" s="23">
        <v>36029</v>
      </c>
      <c r="P340" s="23" t="s">
        <v>79</v>
      </c>
      <c r="Q340" s="23" t="s">
        <v>83</v>
      </c>
      <c r="R340" s="23">
        <v>11100018</v>
      </c>
      <c r="S340" s="24">
        <v>46077</v>
      </c>
      <c r="T340" s="24">
        <v>45965</v>
      </c>
      <c r="U340" s="24">
        <v>46752</v>
      </c>
      <c r="X340" s="24">
        <v>45964</v>
      </c>
      <c r="Y340" s="23">
        <v>1111</v>
      </c>
      <c r="Z340" s="23">
        <v>11100002</v>
      </c>
      <c r="AA340" s="23">
        <v>3301</v>
      </c>
      <c r="AB340" s="24">
        <v>45965</v>
      </c>
    </row>
    <row r="341" spans="2:28" x14ac:dyDescent="0.2">
      <c r="C341" s="23">
        <v>1100568066</v>
      </c>
      <c r="E341" s="23">
        <v>30</v>
      </c>
      <c r="F341" s="23" t="s">
        <v>1283</v>
      </c>
      <c r="G341" s="23" t="s">
        <v>1284</v>
      </c>
      <c r="H341" s="24">
        <v>46125</v>
      </c>
      <c r="I341" s="24">
        <v>46125</v>
      </c>
      <c r="J341" s="23" t="s">
        <v>773</v>
      </c>
      <c r="K341" s="23" t="s">
        <v>773</v>
      </c>
      <c r="L341" s="23">
        <v>1</v>
      </c>
      <c r="M341" s="23" t="s">
        <v>78</v>
      </c>
      <c r="N341" s="23" t="s">
        <v>78</v>
      </c>
      <c r="O341" s="23">
        <v>889.5</v>
      </c>
      <c r="P341" s="23" t="s">
        <v>79</v>
      </c>
      <c r="Q341" s="23" t="s">
        <v>83</v>
      </c>
      <c r="R341" s="23">
        <v>11100018</v>
      </c>
      <c r="S341" s="24">
        <v>46077</v>
      </c>
      <c r="T341" s="24">
        <v>45965</v>
      </c>
      <c r="U341" s="24">
        <v>46752</v>
      </c>
      <c r="X341" s="24">
        <v>45964</v>
      </c>
      <c r="Y341" s="23">
        <v>1111</v>
      </c>
      <c r="Z341" s="23">
        <v>11100002</v>
      </c>
      <c r="AA341" s="23">
        <v>3301</v>
      </c>
      <c r="AB341" s="24">
        <v>45965</v>
      </c>
    </row>
    <row r="342" spans="2:28" x14ac:dyDescent="0.2">
      <c r="C342" s="23">
        <v>1100568066</v>
      </c>
      <c r="E342" s="23">
        <v>40</v>
      </c>
      <c r="F342" s="23" t="s">
        <v>1285</v>
      </c>
      <c r="G342" s="23" t="s">
        <v>1286</v>
      </c>
      <c r="H342" s="24">
        <v>46125</v>
      </c>
      <c r="I342" s="24">
        <v>46125</v>
      </c>
      <c r="J342" s="23" t="s">
        <v>773</v>
      </c>
      <c r="K342" s="23" t="s">
        <v>773</v>
      </c>
      <c r="L342" s="23">
        <v>1</v>
      </c>
      <c r="M342" s="23" t="s">
        <v>78</v>
      </c>
      <c r="N342" s="23" t="s">
        <v>78</v>
      </c>
      <c r="O342" s="23">
        <v>889.5</v>
      </c>
      <c r="P342" s="23" t="s">
        <v>79</v>
      </c>
      <c r="Q342" s="23" t="s">
        <v>83</v>
      </c>
      <c r="R342" s="23">
        <v>11100018</v>
      </c>
      <c r="S342" s="24">
        <v>46077</v>
      </c>
      <c r="T342" s="24">
        <v>45965</v>
      </c>
      <c r="U342" s="24">
        <v>46752</v>
      </c>
      <c r="X342" s="24">
        <v>45964</v>
      </c>
      <c r="Y342" s="23">
        <v>1111</v>
      </c>
      <c r="Z342" s="23">
        <v>11100002</v>
      </c>
      <c r="AA342" s="23">
        <v>3301</v>
      </c>
      <c r="AB342" s="24">
        <v>45965</v>
      </c>
    </row>
    <row r="343" spans="2:28" x14ac:dyDescent="0.2">
      <c r="C343" s="23">
        <v>1100568066</v>
      </c>
      <c r="E343" s="23">
        <v>50</v>
      </c>
      <c r="F343" s="23" t="s">
        <v>1287</v>
      </c>
      <c r="G343" s="23" t="s">
        <v>86</v>
      </c>
      <c r="H343" s="24">
        <v>46125</v>
      </c>
      <c r="I343" s="24">
        <v>46125</v>
      </c>
      <c r="J343" s="23" t="s">
        <v>773</v>
      </c>
      <c r="K343" s="23" t="s">
        <v>773</v>
      </c>
      <c r="L343" s="23">
        <v>1</v>
      </c>
      <c r="M343" s="23" t="s">
        <v>78</v>
      </c>
      <c r="N343" s="23" t="s">
        <v>78</v>
      </c>
      <c r="O343" s="23">
        <v>36029</v>
      </c>
      <c r="P343" s="23" t="s">
        <v>79</v>
      </c>
      <c r="Q343" s="23" t="s">
        <v>83</v>
      </c>
      <c r="R343" s="23">
        <v>11100018</v>
      </c>
      <c r="S343" s="24">
        <v>46077</v>
      </c>
      <c r="T343" s="24">
        <v>45965</v>
      </c>
      <c r="U343" s="24">
        <v>46752</v>
      </c>
      <c r="X343" s="24">
        <v>45964</v>
      </c>
      <c r="Y343" s="23">
        <v>1111</v>
      </c>
      <c r="Z343" s="23">
        <v>11100002</v>
      </c>
      <c r="AA343" s="23">
        <v>3301</v>
      </c>
      <c r="AB343" s="24">
        <v>45965</v>
      </c>
    </row>
    <row r="344" spans="2:28" x14ac:dyDescent="0.2">
      <c r="C344" s="23">
        <v>1100568066</v>
      </c>
      <c r="E344" s="23">
        <v>60</v>
      </c>
      <c r="F344" s="23" t="s">
        <v>84</v>
      </c>
      <c r="G344" s="23" t="s">
        <v>123</v>
      </c>
      <c r="H344" s="24">
        <v>46125</v>
      </c>
      <c r="I344" s="24">
        <v>46125</v>
      </c>
      <c r="J344" s="23" t="s">
        <v>773</v>
      </c>
      <c r="K344" s="23" t="s">
        <v>773</v>
      </c>
      <c r="L344" s="23">
        <v>1</v>
      </c>
      <c r="M344" s="23" t="s">
        <v>78</v>
      </c>
      <c r="N344" s="23" t="s">
        <v>78</v>
      </c>
      <c r="O344" s="23">
        <v>0.01</v>
      </c>
      <c r="P344" s="23" t="s">
        <v>79</v>
      </c>
      <c r="Q344" s="23" t="s">
        <v>83</v>
      </c>
      <c r="R344" s="23">
        <v>11100018</v>
      </c>
      <c r="S344" s="24">
        <v>46077</v>
      </c>
      <c r="T344" s="24">
        <v>45965</v>
      </c>
      <c r="U344" s="24">
        <v>46752</v>
      </c>
      <c r="X344" s="24">
        <v>45964</v>
      </c>
      <c r="Y344" s="23">
        <v>1111</v>
      </c>
      <c r="Z344" s="23">
        <v>11100002</v>
      </c>
      <c r="AA344" s="23">
        <v>3301</v>
      </c>
      <c r="AB344" s="24">
        <v>45965</v>
      </c>
    </row>
    <row r="345" spans="2:28" x14ac:dyDescent="0.2">
      <c r="C345" s="23">
        <v>1100568066</v>
      </c>
      <c r="E345" s="23">
        <v>70</v>
      </c>
      <c r="F345" s="23" t="s">
        <v>288</v>
      </c>
      <c r="G345" s="23" t="s">
        <v>289</v>
      </c>
      <c r="H345" s="24">
        <v>46125</v>
      </c>
      <c r="I345" s="24">
        <v>46125</v>
      </c>
      <c r="J345" s="23" t="s">
        <v>773</v>
      </c>
      <c r="K345" s="23" t="s">
        <v>773</v>
      </c>
      <c r="L345" s="23">
        <v>1</v>
      </c>
      <c r="M345" s="23" t="s">
        <v>131</v>
      </c>
      <c r="N345" s="23" t="s">
        <v>131</v>
      </c>
      <c r="O345" s="23">
        <v>8435</v>
      </c>
      <c r="P345" s="23" t="s">
        <v>79</v>
      </c>
      <c r="Q345" s="23" t="s">
        <v>83</v>
      </c>
      <c r="R345" s="23">
        <v>11100018</v>
      </c>
      <c r="S345" s="24">
        <v>46077</v>
      </c>
      <c r="T345" s="24">
        <v>45965</v>
      </c>
      <c r="U345" s="24">
        <v>46752</v>
      </c>
      <c r="X345" s="24">
        <v>45964</v>
      </c>
      <c r="Y345" s="23">
        <v>1111</v>
      </c>
      <c r="Z345" s="23">
        <v>11100002</v>
      </c>
      <c r="AA345" s="23">
        <v>3301</v>
      </c>
      <c r="AB345" s="24">
        <v>45965</v>
      </c>
    </row>
    <row r="346" spans="2:28" x14ac:dyDescent="0.2">
      <c r="C346" s="23">
        <v>1100568066</v>
      </c>
      <c r="E346" s="23">
        <v>81</v>
      </c>
      <c r="F346" s="23" t="s">
        <v>2369</v>
      </c>
      <c r="G346" s="23" t="s">
        <v>1288</v>
      </c>
      <c r="H346" s="24">
        <v>46125</v>
      </c>
      <c r="I346" s="24">
        <v>46125</v>
      </c>
      <c r="J346" s="23" t="s">
        <v>773</v>
      </c>
      <c r="K346" s="23" t="s">
        <v>773</v>
      </c>
      <c r="L346" s="23">
        <v>1</v>
      </c>
      <c r="M346" s="23" t="s">
        <v>78</v>
      </c>
      <c r="N346" s="23" t="s">
        <v>78</v>
      </c>
      <c r="O346" s="23">
        <v>47223</v>
      </c>
      <c r="P346" s="23" t="s">
        <v>79</v>
      </c>
      <c r="Q346" s="23" t="s">
        <v>83</v>
      </c>
      <c r="R346" s="23">
        <v>11100018</v>
      </c>
      <c r="S346" s="24">
        <v>46227</v>
      </c>
      <c r="T346" s="24">
        <v>45965</v>
      </c>
      <c r="U346" s="24">
        <v>46125</v>
      </c>
      <c r="X346" s="24">
        <v>45964</v>
      </c>
      <c r="Y346" s="23">
        <v>1111</v>
      </c>
      <c r="Z346" s="23">
        <v>11100002</v>
      </c>
      <c r="AA346" s="23">
        <v>3301</v>
      </c>
      <c r="AB346" s="24">
        <v>45965</v>
      </c>
    </row>
    <row r="347" spans="2:28" x14ac:dyDescent="0.2">
      <c r="C347" s="23">
        <v>1100568066</v>
      </c>
      <c r="E347" s="23">
        <v>91</v>
      </c>
      <c r="F347" s="23" t="s">
        <v>2370</v>
      </c>
      <c r="G347" s="23" t="s">
        <v>1288</v>
      </c>
      <c r="H347" s="24">
        <v>46125</v>
      </c>
      <c r="I347" s="24">
        <v>46125</v>
      </c>
      <c r="J347" s="23" t="s">
        <v>773</v>
      </c>
      <c r="K347" s="23" t="s">
        <v>773</v>
      </c>
      <c r="L347" s="23">
        <v>1</v>
      </c>
      <c r="M347" s="23" t="s">
        <v>78</v>
      </c>
      <c r="N347" s="23" t="s">
        <v>78</v>
      </c>
      <c r="O347" s="23">
        <v>48596</v>
      </c>
      <c r="P347" s="23" t="s">
        <v>79</v>
      </c>
      <c r="Q347" s="23" t="s">
        <v>83</v>
      </c>
      <c r="R347" s="23">
        <v>11100018</v>
      </c>
      <c r="S347" s="24" t="s">
        <v>80</v>
      </c>
      <c r="T347" s="24">
        <v>45965</v>
      </c>
      <c r="U347" s="24">
        <v>46125</v>
      </c>
      <c r="X347" s="24">
        <v>45964</v>
      </c>
      <c r="Y347" s="23">
        <v>1111</v>
      </c>
      <c r="Z347" s="23">
        <v>11100002</v>
      </c>
      <c r="AA347" s="23">
        <v>3301</v>
      </c>
      <c r="AB347" s="24">
        <v>45965</v>
      </c>
    </row>
    <row r="348" spans="2:28" x14ac:dyDescent="0.2">
      <c r="B348" s="23" t="s">
        <v>81</v>
      </c>
      <c r="C348" s="23">
        <v>1100568066</v>
      </c>
      <c r="H348" s="24">
        <v>46125</v>
      </c>
      <c r="O348" s="23">
        <v>214669.01</v>
      </c>
      <c r="P348" s="23" t="s">
        <v>79</v>
      </c>
    </row>
    <row r="349" spans="2:28" x14ac:dyDescent="0.2">
      <c r="C349" s="23">
        <v>1100572914</v>
      </c>
      <c r="E349" s="23">
        <v>10</v>
      </c>
      <c r="F349" s="23" t="s">
        <v>1716</v>
      </c>
      <c r="G349" s="23" t="s">
        <v>1717</v>
      </c>
      <c r="H349" s="24">
        <v>46125</v>
      </c>
      <c r="I349" s="24">
        <v>46125</v>
      </c>
      <c r="J349" s="23" t="s">
        <v>849</v>
      </c>
      <c r="K349" s="23" t="s">
        <v>849</v>
      </c>
      <c r="L349" s="23">
        <v>2</v>
      </c>
      <c r="M349" s="23" t="s">
        <v>78</v>
      </c>
      <c r="N349" s="23" t="s">
        <v>78</v>
      </c>
      <c r="O349" s="23">
        <v>8856</v>
      </c>
      <c r="P349" s="23" t="s">
        <v>79</v>
      </c>
      <c r="Q349" s="23" t="s">
        <v>83</v>
      </c>
      <c r="R349" s="23">
        <v>11100299</v>
      </c>
      <c r="S349" s="24">
        <v>46153</v>
      </c>
      <c r="T349" s="24">
        <v>46028</v>
      </c>
      <c r="U349" s="24">
        <v>46153</v>
      </c>
      <c r="X349" s="24">
        <v>46007</v>
      </c>
      <c r="Y349" s="23">
        <v>1111</v>
      </c>
      <c r="Z349" s="23">
        <v>11100002</v>
      </c>
      <c r="AA349" s="23">
        <v>3506</v>
      </c>
      <c r="AB349" s="24">
        <v>46028</v>
      </c>
    </row>
    <row r="350" spans="2:28" x14ac:dyDescent="0.2">
      <c r="C350" s="23">
        <v>1100572914</v>
      </c>
      <c r="E350" s="23">
        <v>20</v>
      </c>
      <c r="F350" s="23" t="s">
        <v>84</v>
      </c>
      <c r="G350" s="23" t="s">
        <v>123</v>
      </c>
      <c r="H350" s="24">
        <v>46125</v>
      </c>
      <c r="I350" s="24">
        <v>46125</v>
      </c>
      <c r="J350" s="23" t="s">
        <v>849</v>
      </c>
      <c r="K350" s="23" t="s">
        <v>849</v>
      </c>
      <c r="L350" s="23">
        <v>1</v>
      </c>
      <c r="M350" s="23" t="s">
        <v>78</v>
      </c>
      <c r="N350" s="23" t="s">
        <v>78</v>
      </c>
      <c r="O350" s="23">
        <v>0.01</v>
      </c>
      <c r="P350" s="23" t="s">
        <v>79</v>
      </c>
      <c r="Q350" s="23" t="s">
        <v>83</v>
      </c>
      <c r="R350" s="23">
        <v>11100299</v>
      </c>
      <c r="S350" s="24" t="s">
        <v>80</v>
      </c>
      <c r="T350" s="24">
        <v>46028</v>
      </c>
      <c r="U350" s="24">
        <v>46153</v>
      </c>
      <c r="X350" s="24">
        <v>46007</v>
      </c>
      <c r="Y350" s="23">
        <v>1111</v>
      </c>
      <c r="Z350" s="23">
        <v>11100002</v>
      </c>
      <c r="AA350" s="23">
        <v>3506</v>
      </c>
      <c r="AB350" s="24">
        <v>46028</v>
      </c>
    </row>
    <row r="351" spans="2:28" x14ac:dyDescent="0.2">
      <c r="C351" s="23">
        <v>1100572914</v>
      </c>
      <c r="E351" s="23">
        <v>30</v>
      </c>
      <c r="F351" s="23" t="s">
        <v>82</v>
      </c>
      <c r="G351" s="23" t="s">
        <v>139</v>
      </c>
      <c r="H351" s="24">
        <v>46125</v>
      </c>
      <c r="I351" s="24">
        <v>46125</v>
      </c>
      <c r="J351" s="23" t="s">
        <v>849</v>
      </c>
      <c r="K351" s="23" t="s">
        <v>849</v>
      </c>
      <c r="L351" s="23">
        <v>1</v>
      </c>
      <c r="M351" s="23" t="s">
        <v>78</v>
      </c>
      <c r="N351" s="23" t="s">
        <v>78</v>
      </c>
      <c r="O351" s="23">
        <v>0.01</v>
      </c>
      <c r="P351" s="23" t="s">
        <v>79</v>
      </c>
      <c r="Q351" s="23" t="s">
        <v>83</v>
      </c>
      <c r="R351" s="23">
        <v>11100299</v>
      </c>
      <c r="S351" s="24" t="s">
        <v>80</v>
      </c>
      <c r="T351" s="24">
        <v>46028</v>
      </c>
      <c r="U351" s="24">
        <v>46153</v>
      </c>
      <c r="X351" s="24">
        <v>46007</v>
      </c>
      <c r="Y351" s="23">
        <v>1111</v>
      </c>
      <c r="Z351" s="23">
        <v>11100002</v>
      </c>
      <c r="AA351" s="23">
        <v>3506</v>
      </c>
      <c r="AB351" s="24">
        <v>46028</v>
      </c>
    </row>
    <row r="352" spans="2:28" x14ac:dyDescent="0.2">
      <c r="B352" s="23" t="s">
        <v>81</v>
      </c>
      <c r="C352" s="23">
        <v>1100572914</v>
      </c>
      <c r="H352" s="24">
        <v>46125</v>
      </c>
      <c r="O352" s="23">
        <v>8856.02</v>
      </c>
      <c r="P352" s="23" t="s">
        <v>79</v>
      </c>
    </row>
    <row r="353" spans="2:28" x14ac:dyDescent="0.2">
      <c r="C353" s="23">
        <v>1100557445</v>
      </c>
      <c r="E353" s="23">
        <v>10</v>
      </c>
      <c r="F353" s="23" t="s">
        <v>1301</v>
      </c>
      <c r="G353" s="23" t="s">
        <v>1302</v>
      </c>
      <c r="H353" s="24">
        <v>46126</v>
      </c>
      <c r="I353" s="24">
        <v>46126</v>
      </c>
      <c r="J353" s="23" t="s">
        <v>1047</v>
      </c>
      <c r="K353" s="23" t="s">
        <v>1047</v>
      </c>
      <c r="L353" s="23">
        <v>1</v>
      </c>
      <c r="M353" s="23" t="s">
        <v>78</v>
      </c>
      <c r="N353" s="23" t="s">
        <v>78</v>
      </c>
      <c r="O353" s="23">
        <v>14451.25</v>
      </c>
      <c r="P353" s="23" t="s">
        <v>79</v>
      </c>
      <c r="Q353" s="23" t="s">
        <v>83</v>
      </c>
      <c r="R353" s="23">
        <v>11100018</v>
      </c>
      <c r="S353" s="24" t="s">
        <v>80</v>
      </c>
      <c r="T353" s="24">
        <v>45862</v>
      </c>
      <c r="U353" s="24">
        <v>46752</v>
      </c>
      <c r="X353" s="24">
        <v>45859</v>
      </c>
      <c r="Y353" s="23">
        <v>1111</v>
      </c>
      <c r="Z353" s="23">
        <v>11100002</v>
      </c>
      <c r="AA353" s="23">
        <v>3901</v>
      </c>
      <c r="AB353" s="24">
        <v>45862</v>
      </c>
    </row>
    <row r="354" spans="2:28" x14ac:dyDescent="0.2">
      <c r="C354" s="23">
        <v>1100557445</v>
      </c>
      <c r="E354" s="23">
        <v>30</v>
      </c>
      <c r="F354" s="23" t="s">
        <v>288</v>
      </c>
      <c r="G354" s="23" t="s">
        <v>289</v>
      </c>
      <c r="H354" s="24">
        <v>46126</v>
      </c>
      <c r="I354" s="24">
        <v>46126</v>
      </c>
      <c r="J354" s="23" t="s">
        <v>1047</v>
      </c>
      <c r="K354" s="23" t="s">
        <v>1047</v>
      </c>
      <c r="L354" s="23">
        <v>1</v>
      </c>
      <c r="M354" s="23" t="s">
        <v>131</v>
      </c>
      <c r="N354" s="23" t="s">
        <v>131</v>
      </c>
      <c r="O354" s="23">
        <v>14451.25</v>
      </c>
      <c r="P354" s="23" t="s">
        <v>79</v>
      </c>
      <c r="Q354" s="23" t="s">
        <v>83</v>
      </c>
      <c r="R354" s="23">
        <v>11100018</v>
      </c>
      <c r="S354" s="24" t="s">
        <v>80</v>
      </c>
      <c r="T354" s="24">
        <v>45862</v>
      </c>
      <c r="U354" s="24">
        <v>46752</v>
      </c>
      <c r="X354" s="24">
        <v>45859</v>
      </c>
      <c r="Y354" s="23">
        <v>1111</v>
      </c>
      <c r="Z354" s="23">
        <v>11100002</v>
      </c>
      <c r="AA354" s="23">
        <v>3901</v>
      </c>
      <c r="AB354" s="24">
        <v>45862</v>
      </c>
    </row>
    <row r="355" spans="2:28" x14ac:dyDescent="0.2">
      <c r="B355" s="23" t="s">
        <v>81</v>
      </c>
      <c r="C355" s="23">
        <v>1100557445</v>
      </c>
      <c r="H355" s="24">
        <v>46126</v>
      </c>
      <c r="O355" s="23">
        <v>28902.5</v>
      </c>
      <c r="P355" s="23" t="s">
        <v>79</v>
      </c>
    </row>
    <row r="356" spans="2:28" x14ac:dyDescent="0.2">
      <c r="C356" s="23">
        <v>1100557469</v>
      </c>
      <c r="E356" s="23">
        <v>10</v>
      </c>
      <c r="F356" s="23" t="s">
        <v>1303</v>
      </c>
      <c r="G356" s="23" t="s">
        <v>1304</v>
      </c>
      <c r="H356" s="24">
        <v>46126</v>
      </c>
      <c r="I356" s="24">
        <v>46126</v>
      </c>
      <c r="J356" s="23" t="s">
        <v>1048</v>
      </c>
      <c r="K356" s="23" t="s">
        <v>1048</v>
      </c>
      <c r="L356" s="23">
        <v>2</v>
      </c>
      <c r="M356" s="23" t="s">
        <v>78</v>
      </c>
      <c r="N356" s="23" t="s">
        <v>78</v>
      </c>
      <c r="O356" s="23">
        <v>163182</v>
      </c>
      <c r="P356" s="23" t="s">
        <v>79</v>
      </c>
      <c r="Q356" s="23" t="s">
        <v>83</v>
      </c>
      <c r="R356" s="23">
        <v>11100018</v>
      </c>
      <c r="S356" s="24" t="s">
        <v>80</v>
      </c>
      <c r="T356" s="24">
        <v>45862</v>
      </c>
      <c r="U356" s="24">
        <v>46752</v>
      </c>
      <c r="X356" s="24">
        <v>45859</v>
      </c>
      <c r="Y356" s="23">
        <v>1111</v>
      </c>
      <c r="Z356" s="23">
        <v>11100002</v>
      </c>
      <c r="AA356" s="23">
        <v>3901</v>
      </c>
      <c r="AB356" s="24">
        <v>45862</v>
      </c>
    </row>
    <row r="357" spans="2:28" x14ac:dyDescent="0.2">
      <c r="C357" s="23">
        <v>1100557469</v>
      </c>
      <c r="E357" s="23">
        <v>20</v>
      </c>
      <c r="F357" s="23" t="s">
        <v>1305</v>
      </c>
      <c r="G357" s="23" t="s">
        <v>1306</v>
      </c>
      <c r="H357" s="24">
        <v>46126</v>
      </c>
      <c r="I357" s="24">
        <v>46126</v>
      </c>
      <c r="J357" s="23" t="s">
        <v>1048</v>
      </c>
      <c r="K357" s="23" t="s">
        <v>1048</v>
      </c>
      <c r="L357" s="23">
        <v>2</v>
      </c>
      <c r="M357" s="23" t="s">
        <v>78</v>
      </c>
      <c r="N357" s="23" t="s">
        <v>78</v>
      </c>
      <c r="O357" s="23">
        <v>35832</v>
      </c>
      <c r="P357" s="23" t="s">
        <v>79</v>
      </c>
      <c r="Q357" s="23" t="s">
        <v>83</v>
      </c>
      <c r="R357" s="23">
        <v>11100018</v>
      </c>
      <c r="S357" s="24" t="s">
        <v>80</v>
      </c>
      <c r="T357" s="24">
        <v>45862</v>
      </c>
      <c r="U357" s="24">
        <v>46752</v>
      </c>
      <c r="X357" s="24">
        <v>45859</v>
      </c>
      <c r="Y357" s="23">
        <v>1111</v>
      </c>
      <c r="Z357" s="23">
        <v>11100002</v>
      </c>
      <c r="AA357" s="23">
        <v>3901</v>
      </c>
      <c r="AB357" s="24">
        <v>45862</v>
      </c>
    </row>
    <row r="358" spans="2:28" x14ac:dyDescent="0.2">
      <c r="C358" s="23">
        <v>1100557469</v>
      </c>
      <c r="E358" s="23">
        <v>30</v>
      </c>
      <c r="F358" s="23" t="s">
        <v>1307</v>
      </c>
      <c r="G358" s="23" t="s">
        <v>1308</v>
      </c>
      <c r="H358" s="24">
        <v>46126</v>
      </c>
      <c r="I358" s="24">
        <v>46126</v>
      </c>
      <c r="J358" s="23" t="s">
        <v>1048</v>
      </c>
      <c r="K358" s="23" t="s">
        <v>1048</v>
      </c>
      <c r="L358" s="23">
        <v>2</v>
      </c>
      <c r="M358" s="23" t="s">
        <v>78</v>
      </c>
      <c r="N358" s="23" t="s">
        <v>78</v>
      </c>
      <c r="O358" s="23">
        <v>383056</v>
      </c>
      <c r="P358" s="23" t="s">
        <v>79</v>
      </c>
      <c r="Q358" s="23" t="s">
        <v>83</v>
      </c>
      <c r="R358" s="23">
        <v>11100018</v>
      </c>
      <c r="S358" s="24" t="s">
        <v>80</v>
      </c>
      <c r="T358" s="24">
        <v>45862</v>
      </c>
      <c r="U358" s="24">
        <v>46752</v>
      </c>
      <c r="X358" s="24">
        <v>45859</v>
      </c>
      <c r="Y358" s="23">
        <v>1111</v>
      </c>
      <c r="Z358" s="23">
        <v>11100002</v>
      </c>
      <c r="AA358" s="23">
        <v>3901</v>
      </c>
      <c r="AB358" s="24">
        <v>45862</v>
      </c>
    </row>
    <row r="359" spans="2:28" x14ac:dyDescent="0.2">
      <c r="C359" s="23">
        <v>1100557469</v>
      </c>
      <c r="E359" s="23">
        <v>40</v>
      </c>
      <c r="F359" s="23" t="s">
        <v>1309</v>
      </c>
      <c r="G359" s="23" t="s">
        <v>1310</v>
      </c>
      <c r="H359" s="24">
        <v>46126</v>
      </c>
      <c r="I359" s="24">
        <v>46126</v>
      </c>
      <c r="J359" s="23" t="s">
        <v>1048</v>
      </c>
      <c r="K359" s="23" t="s">
        <v>1048</v>
      </c>
      <c r="L359" s="23">
        <v>2</v>
      </c>
      <c r="M359" s="23" t="s">
        <v>78</v>
      </c>
      <c r="N359" s="23" t="s">
        <v>78</v>
      </c>
      <c r="O359" s="23">
        <v>17036</v>
      </c>
      <c r="P359" s="23" t="s">
        <v>79</v>
      </c>
      <c r="Q359" s="23" t="s">
        <v>83</v>
      </c>
      <c r="R359" s="23">
        <v>11100018</v>
      </c>
      <c r="S359" s="24" t="s">
        <v>80</v>
      </c>
      <c r="T359" s="24">
        <v>45862</v>
      </c>
      <c r="U359" s="24">
        <v>46752</v>
      </c>
      <c r="X359" s="24">
        <v>45859</v>
      </c>
      <c r="Y359" s="23">
        <v>1111</v>
      </c>
      <c r="Z359" s="23">
        <v>11100002</v>
      </c>
      <c r="AA359" s="23">
        <v>3901</v>
      </c>
      <c r="AB359" s="24">
        <v>45862</v>
      </c>
    </row>
    <row r="360" spans="2:28" x14ac:dyDescent="0.2">
      <c r="C360" s="23">
        <v>1100557469</v>
      </c>
      <c r="E360" s="23">
        <v>50</v>
      </c>
      <c r="F360" s="23" t="s">
        <v>1311</v>
      </c>
      <c r="G360" s="23" t="s">
        <v>1312</v>
      </c>
      <c r="H360" s="24">
        <v>46126</v>
      </c>
      <c r="I360" s="24">
        <v>46126</v>
      </c>
      <c r="J360" s="23" t="s">
        <v>1048</v>
      </c>
      <c r="K360" s="23" t="s">
        <v>1048</v>
      </c>
      <c r="L360" s="23">
        <v>2</v>
      </c>
      <c r="M360" s="23" t="s">
        <v>78</v>
      </c>
      <c r="N360" s="23" t="s">
        <v>78</v>
      </c>
      <c r="O360" s="23">
        <v>40418</v>
      </c>
      <c r="P360" s="23" t="s">
        <v>79</v>
      </c>
      <c r="Q360" s="23" t="s">
        <v>83</v>
      </c>
      <c r="R360" s="23">
        <v>11100018</v>
      </c>
      <c r="S360" s="24" t="s">
        <v>80</v>
      </c>
      <c r="T360" s="24">
        <v>45862</v>
      </c>
      <c r="U360" s="24">
        <v>46752</v>
      </c>
      <c r="X360" s="24">
        <v>45859</v>
      </c>
      <c r="Y360" s="23">
        <v>1111</v>
      </c>
      <c r="Z360" s="23">
        <v>11100002</v>
      </c>
      <c r="AA360" s="23">
        <v>3901</v>
      </c>
      <c r="AB360" s="24">
        <v>45862</v>
      </c>
    </row>
    <row r="361" spans="2:28" x14ac:dyDescent="0.2">
      <c r="C361" s="23">
        <v>1100557469</v>
      </c>
      <c r="E361" s="23">
        <v>60</v>
      </c>
      <c r="F361" s="23" t="s">
        <v>1313</v>
      </c>
      <c r="G361" s="23" t="s">
        <v>1314</v>
      </c>
      <c r="H361" s="24">
        <v>46126</v>
      </c>
      <c r="I361" s="24">
        <v>46126</v>
      </c>
      <c r="J361" s="23" t="s">
        <v>1048</v>
      </c>
      <c r="K361" s="23" t="s">
        <v>1048</v>
      </c>
      <c r="L361" s="23">
        <v>1</v>
      </c>
      <c r="M361" s="23" t="s">
        <v>78</v>
      </c>
      <c r="N361" s="23" t="s">
        <v>78</v>
      </c>
      <c r="O361" s="23">
        <v>75115</v>
      </c>
      <c r="P361" s="23" t="s">
        <v>79</v>
      </c>
      <c r="Q361" s="23" t="s">
        <v>83</v>
      </c>
      <c r="R361" s="23">
        <v>11100018</v>
      </c>
      <c r="S361" s="24" t="s">
        <v>80</v>
      </c>
      <c r="T361" s="24">
        <v>45862</v>
      </c>
      <c r="U361" s="24">
        <v>46752</v>
      </c>
      <c r="X361" s="24">
        <v>45859</v>
      </c>
      <c r="Y361" s="23">
        <v>1111</v>
      </c>
      <c r="Z361" s="23">
        <v>11100002</v>
      </c>
      <c r="AA361" s="23">
        <v>3901</v>
      </c>
      <c r="AB361" s="24">
        <v>45862</v>
      </c>
    </row>
    <row r="362" spans="2:28" x14ac:dyDescent="0.2">
      <c r="C362" s="23">
        <v>1100557469</v>
      </c>
      <c r="E362" s="23">
        <v>70</v>
      </c>
      <c r="F362" s="23" t="s">
        <v>209</v>
      </c>
      <c r="G362" s="23" t="s">
        <v>210</v>
      </c>
      <c r="H362" s="24">
        <v>46126</v>
      </c>
      <c r="I362" s="24">
        <v>46126</v>
      </c>
      <c r="J362" s="23" t="s">
        <v>1048</v>
      </c>
      <c r="K362" s="23" t="s">
        <v>1048</v>
      </c>
      <c r="L362" s="23">
        <v>1</v>
      </c>
      <c r="M362" s="23" t="s">
        <v>78</v>
      </c>
      <c r="N362" s="23" t="s">
        <v>78</v>
      </c>
      <c r="O362" s="23">
        <v>0</v>
      </c>
      <c r="P362" s="23" t="s">
        <v>79</v>
      </c>
      <c r="Q362" s="23" t="s">
        <v>83</v>
      </c>
      <c r="R362" s="23">
        <v>11100018</v>
      </c>
      <c r="S362" s="24" t="s">
        <v>80</v>
      </c>
      <c r="T362" s="24">
        <v>45862</v>
      </c>
      <c r="U362" s="24">
        <v>46752</v>
      </c>
      <c r="X362" s="24">
        <v>45859</v>
      </c>
      <c r="Y362" s="23">
        <v>1111</v>
      </c>
      <c r="Z362" s="23">
        <v>11100002</v>
      </c>
      <c r="AA362" s="23">
        <v>3901</v>
      </c>
      <c r="AB362" s="24">
        <v>45862</v>
      </c>
    </row>
    <row r="363" spans="2:28" x14ac:dyDescent="0.2">
      <c r="C363" s="23">
        <v>1100557469</v>
      </c>
      <c r="E363" s="23">
        <v>80</v>
      </c>
      <c r="F363" s="23" t="s">
        <v>84</v>
      </c>
      <c r="G363" s="23" t="s">
        <v>123</v>
      </c>
      <c r="H363" s="24">
        <v>46126</v>
      </c>
      <c r="I363" s="24">
        <v>46126</v>
      </c>
      <c r="J363" s="23" t="s">
        <v>1048</v>
      </c>
      <c r="K363" s="23" t="s">
        <v>1048</v>
      </c>
      <c r="L363" s="23">
        <v>1</v>
      </c>
      <c r="M363" s="23" t="s">
        <v>78</v>
      </c>
      <c r="N363" s="23" t="s">
        <v>78</v>
      </c>
      <c r="O363" s="23">
        <v>0.01</v>
      </c>
      <c r="P363" s="23" t="s">
        <v>79</v>
      </c>
      <c r="Q363" s="23" t="s">
        <v>83</v>
      </c>
      <c r="R363" s="23">
        <v>11100018</v>
      </c>
      <c r="S363" s="24" t="s">
        <v>80</v>
      </c>
      <c r="T363" s="24">
        <v>45862</v>
      </c>
      <c r="U363" s="24">
        <v>46752</v>
      </c>
      <c r="X363" s="24">
        <v>45859</v>
      </c>
      <c r="Y363" s="23">
        <v>1111</v>
      </c>
      <c r="Z363" s="23">
        <v>11100002</v>
      </c>
      <c r="AA363" s="23">
        <v>3901</v>
      </c>
      <c r="AB363" s="24">
        <v>45862</v>
      </c>
    </row>
    <row r="364" spans="2:28" x14ac:dyDescent="0.2">
      <c r="C364" s="23">
        <v>1100557469</v>
      </c>
      <c r="E364" s="23">
        <v>90</v>
      </c>
      <c r="F364" s="23" t="s">
        <v>288</v>
      </c>
      <c r="G364" s="23" t="s">
        <v>289</v>
      </c>
      <c r="H364" s="24">
        <v>46126</v>
      </c>
      <c r="I364" s="24">
        <v>46126</v>
      </c>
      <c r="J364" s="23" t="s">
        <v>1048</v>
      </c>
      <c r="K364" s="23" t="s">
        <v>1048</v>
      </c>
      <c r="L364" s="23">
        <v>1</v>
      </c>
      <c r="M364" s="23" t="s">
        <v>131</v>
      </c>
      <c r="N364" s="23" t="s">
        <v>131</v>
      </c>
      <c r="O364" s="23">
        <v>0.01</v>
      </c>
      <c r="P364" s="23" t="s">
        <v>79</v>
      </c>
      <c r="Q364" s="23" t="s">
        <v>83</v>
      </c>
      <c r="R364" s="23">
        <v>11100018</v>
      </c>
      <c r="S364" s="24" t="s">
        <v>80</v>
      </c>
      <c r="T364" s="24">
        <v>45862</v>
      </c>
      <c r="U364" s="24">
        <v>46752</v>
      </c>
      <c r="X364" s="24">
        <v>45859</v>
      </c>
      <c r="Y364" s="23">
        <v>1111</v>
      </c>
      <c r="Z364" s="23">
        <v>11100002</v>
      </c>
      <c r="AA364" s="23">
        <v>3901</v>
      </c>
      <c r="AB364" s="24">
        <v>45862</v>
      </c>
    </row>
    <row r="365" spans="2:28" x14ac:dyDescent="0.2">
      <c r="B365" s="23" t="s">
        <v>81</v>
      </c>
      <c r="C365" s="23">
        <v>1100557469</v>
      </c>
      <c r="H365" s="24">
        <v>46126</v>
      </c>
      <c r="O365" s="23">
        <v>714639.02</v>
      </c>
      <c r="P365" s="23" t="s">
        <v>79</v>
      </c>
    </row>
    <row r="366" spans="2:28" x14ac:dyDescent="0.2">
      <c r="C366" s="23">
        <v>1100563625</v>
      </c>
      <c r="E366" s="23">
        <v>10</v>
      </c>
      <c r="F366" s="23" t="s">
        <v>1273</v>
      </c>
      <c r="G366" s="23" t="s">
        <v>1274</v>
      </c>
      <c r="H366" s="24">
        <v>46127</v>
      </c>
      <c r="I366" s="24">
        <v>46127</v>
      </c>
      <c r="J366" s="23" t="s">
        <v>1275</v>
      </c>
      <c r="K366" s="23" t="s">
        <v>1275</v>
      </c>
      <c r="L366" s="23">
        <v>1</v>
      </c>
      <c r="M366" s="23" t="s">
        <v>78</v>
      </c>
      <c r="N366" s="23" t="s">
        <v>78</v>
      </c>
      <c r="O366" s="23">
        <v>83945</v>
      </c>
      <c r="P366" s="23" t="s">
        <v>79</v>
      </c>
      <c r="Q366" s="23" t="s">
        <v>83</v>
      </c>
      <c r="R366" s="23">
        <v>11100018</v>
      </c>
      <c r="S366" s="24" t="s">
        <v>80</v>
      </c>
      <c r="T366" s="24">
        <v>45919</v>
      </c>
      <c r="U366" s="24" t="s">
        <v>80</v>
      </c>
      <c r="X366" s="24">
        <v>45890</v>
      </c>
      <c r="Y366" s="23">
        <v>1111</v>
      </c>
      <c r="Z366" s="23">
        <v>11100303</v>
      </c>
      <c r="AA366" s="23">
        <v>320103</v>
      </c>
      <c r="AB366" s="24">
        <v>45919</v>
      </c>
    </row>
    <row r="367" spans="2:28" x14ac:dyDescent="0.2">
      <c r="C367" s="23">
        <v>1100563625</v>
      </c>
      <c r="E367" s="23">
        <v>20</v>
      </c>
      <c r="F367" s="23" t="s">
        <v>84</v>
      </c>
      <c r="G367" s="23" t="s">
        <v>123</v>
      </c>
      <c r="H367" s="24">
        <v>46127</v>
      </c>
      <c r="I367" s="24">
        <v>46127</v>
      </c>
      <c r="J367" s="23" t="s">
        <v>1275</v>
      </c>
      <c r="K367" s="23" t="s">
        <v>1275</v>
      </c>
      <c r="L367" s="23">
        <v>1</v>
      </c>
      <c r="M367" s="23" t="s">
        <v>78</v>
      </c>
      <c r="N367" s="23" t="s">
        <v>78</v>
      </c>
      <c r="O367" s="23">
        <v>0.01</v>
      </c>
      <c r="P367" s="23" t="s">
        <v>79</v>
      </c>
      <c r="Q367" s="23" t="s">
        <v>83</v>
      </c>
      <c r="R367" s="23">
        <v>11100018</v>
      </c>
      <c r="S367" s="24" t="s">
        <v>80</v>
      </c>
      <c r="T367" s="24">
        <v>45919</v>
      </c>
      <c r="U367" s="24" t="s">
        <v>80</v>
      </c>
      <c r="X367" s="24">
        <v>45890</v>
      </c>
      <c r="Y367" s="23">
        <v>1111</v>
      </c>
      <c r="Z367" s="23">
        <v>11100303</v>
      </c>
      <c r="AA367" s="23">
        <v>320103</v>
      </c>
      <c r="AB367" s="24">
        <v>45919</v>
      </c>
    </row>
    <row r="368" spans="2:28" x14ac:dyDescent="0.2">
      <c r="B368" s="23" t="s">
        <v>81</v>
      </c>
      <c r="C368" s="23">
        <v>1100563625</v>
      </c>
      <c r="H368" s="24">
        <v>46127</v>
      </c>
      <c r="O368" s="23">
        <v>83945.01</v>
      </c>
      <c r="P368" s="23" t="s">
        <v>79</v>
      </c>
    </row>
    <row r="369" spans="2:28" x14ac:dyDescent="0.2">
      <c r="C369" s="23">
        <v>1100570535</v>
      </c>
      <c r="E369" s="23">
        <v>10</v>
      </c>
      <c r="F369" s="23" t="s">
        <v>2371</v>
      </c>
      <c r="G369" s="23" t="s">
        <v>2372</v>
      </c>
      <c r="H369" s="24">
        <v>46127</v>
      </c>
      <c r="I369" s="24">
        <v>46127</v>
      </c>
      <c r="J369" s="23" t="s">
        <v>1419</v>
      </c>
      <c r="K369" s="23" t="s">
        <v>1419</v>
      </c>
      <c r="L369" s="23">
        <v>1</v>
      </c>
      <c r="M369" s="23" t="s">
        <v>78</v>
      </c>
      <c r="N369" s="23" t="s">
        <v>78</v>
      </c>
      <c r="O369" s="23">
        <v>18018</v>
      </c>
      <c r="P369" s="23" t="s">
        <v>79</v>
      </c>
      <c r="Q369" s="23" t="s">
        <v>83</v>
      </c>
      <c r="R369" s="23">
        <v>11100018</v>
      </c>
      <c r="S369" s="24" t="s">
        <v>80</v>
      </c>
      <c r="T369" s="24">
        <v>45995</v>
      </c>
      <c r="U369" s="24" t="s">
        <v>80</v>
      </c>
      <c r="X369" s="24">
        <v>45986</v>
      </c>
      <c r="Y369" s="23">
        <v>1111</v>
      </c>
      <c r="Z369" s="23">
        <v>11100305</v>
      </c>
      <c r="AA369" s="23">
        <v>5102</v>
      </c>
      <c r="AB369" s="24">
        <v>45995</v>
      </c>
    </row>
    <row r="370" spans="2:28" x14ac:dyDescent="0.2">
      <c r="C370" s="23">
        <v>1100570535</v>
      </c>
      <c r="E370" s="23">
        <v>20</v>
      </c>
      <c r="F370" s="23" t="s">
        <v>84</v>
      </c>
      <c r="G370" s="23" t="s">
        <v>123</v>
      </c>
      <c r="H370" s="24">
        <v>46127</v>
      </c>
      <c r="I370" s="24">
        <v>46127</v>
      </c>
      <c r="J370" s="23" t="s">
        <v>1419</v>
      </c>
      <c r="K370" s="23" t="s">
        <v>1419</v>
      </c>
      <c r="L370" s="23">
        <v>1</v>
      </c>
      <c r="M370" s="23" t="s">
        <v>78</v>
      </c>
      <c r="N370" s="23" t="s">
        <v>78</v>
      </c>
      <c r="O370" s="23">
        <v>0.01</v>
      </c>
      <c r="P370" s="23" t="s">
        <v>79</v>
      </c>
      <c r="Q370" s="23" t="s">
        <v>83</v>
      </c>
      <c r="R370" s="23">
        <v>11100018</v>
      </c>
      <c r="S370" s="24" t="s">
        <v>80</v>
      </c>
      <c r="T370" s="24">
        <v>45995</v>
      </c>
      <c r="U370" s="24" t="s">
        <v>80</v>
      </c>
      <c r="X370" s="24">
        <v>45986</v>
      </c>
      <c r="Y370" s="23">
        <v>1111</v>
      </c>
      <c r="Z370" s="23">
        <v>11100305</v>
      </c>
      <c r="AA370" s="23">
        <v>5102</v>
      </c>
      <c r="AB370" s="24">
        <v>45995</v>
      </c>
    </row>
    <row r="371" spans="2:28" x14ac:dyDescent="0.2">
      <c r="C371" s="23">
        <v>1100570535</v>
      </c>
      <c r="E371" s="23">
        <v>30</v>
      </c>
      <c r="F371" s="23" t="s">
        <v>82</v>
      </c>
      <c r="G371" s="23" t="s">
        <v>139</v>
      </c>
      <c r="H371" s="24">
        <v>46127</v>
      </c>
      <c r="I371" s="24">
        <v>46127</v>
      </c>
      <c r="J371" s="23" t="s">
        <v>1419</v>
      </c>
      <c r="K371" s="23" t="s">
        <v>1419</v>
      </c>
      <c r="L371" s="23">
        <v>1</v>
      </c>
      <c r="M371" s="23" t="s">
        <v>78</v>
      </c>
      <c r="N371" s="23" t="s">
        <v>78</v>
      </c>
      <c r="O371" s="23">
        <v>0.01</v>
      </c>
      <c r="P371" s="23" t="s">
        <v>79</v>
      </c>
      <c r="Q371" s="23" t="s">
        <v>83</v>
      </c>
      <c r="R371" s="23">
        <v>11100018</v>
      </c>
      <c r="S371" s="24" t="s">
        <v>80</v>
      </c>
      <c r="T371" s="24">
        <v>45995</v>
      </c>
      <c r="U371" s="24" t="s">
        <v>80</v>
      </c>
      <c r="X371" s="24">
        <v>45986</v>
      </c>
      <c r="Y371" s="23">
        <v>1111</v>
      </c>
      <c r="Z371" s="23">
        <v>11100305</v>
      </c>
      <c r="AA371" s="23">
        <v>5102</v>
      </c>
      <c r="AB371" s="24">
        <v>45995</v>
      </c>
    </row>
    <row r="372" spans="2:28" x14ac:dyDescent="0.2">
      <c r="B372" s="23" t="s">
        <v>81</v>
      </c>
      <c r="C372" s="23">
        <v>1100570535</v>
      </c>
      <c r="H372" s="24">
        <v>46127</v>
      </c>
      <c r="O372" s="23">
        <v>18018.02</v>
      </c>
      <c r="P372" s="23" t="s">
        <v>79</v>
      </c>
    </row>
    <row r="373" spans="2:28" x14ac:dyDescent="0.2">
      <c r="C373" s="23">
        <v>1100564591</v>
      </c>
      <c r="E373" s="23">
        <v>10</v>
      </c>
      <c r="F373" s="23" t="s">
        <v>1230</v>
      </c>
      <c r="G373" s="23" t="s">
        <v>1231</v>
      </c>
      <c r="H373" s="24">
        <v>46128</v>
      </c>
      <c r="I373" s="24">
        <v>46128</v>
      </c>
      <c r="J373" s="23" t="s">
        <v>219</v>
      </c>
      <c r="K373" s="23" t="s">
        <v>219</v>
      </c>
      <c r="L373" s="23">
        <v>1</v>
      </c>
      <c r="M373" s="23" t="s">
        <v>78</v>
      </c>
      <c r="N373" s="23" t="s">
        <v>78</v>
      </c>
      <c r="O373" s="23">
        <v>22625</v>
      </c>
      <c r="P373" s="23" t="s">
        <v>79</v>
      </c>
      <c r="Q373" s="23" t="s">
        <v>83</v>
      </c>
      <c r="R373" s="23">
        <v>11100018</v>
      </c>
      <c r="S373" s="24">
        <v>46052</v>
      </c>
      <c r="T373" s="24">
        <v>45929</v>
      </c>
      <c r="U373" s="24">
        <v>46752</v>
      </c>
      <c r="X373" s="24">
        <v>45861</v>
      </c>
      <c r="Y373" s="23">
        <v>1111</v>
      </c>
      <c r="Z373" s="23">
        <v>11100002</v>
      </c>
      <c r="AA373" s="23">
        <v>3901</v>
      </c>
      <c r="AB373" s="24">
        <v>45929</v>
      </c>
    </row>
    <row r="374" spans="2:28" x14ac:dyDescent="0.2">
      <c r="C374" s="23">
        <v>1100564591</v>
      </c>
      <c r="E374" s="23">
        <v>20</v>
      </c>
      <c r="F374" s="23" t="s">
        <v>1232</v>
      </c>
      <c r="G374" s="23" t="s">
        <v>1233</v>
      </c>
      <c r="H374" s="24">
        <v>46128</v>
      </c>
      <c r="I374" s="24">
        <v>46128</v>
      </c>
      <c r="J374" s="23" t="s">
        <v>219</v>
      </c>
      <c r="K374" s="23" t="s">
        <v>219</v>
      </c>
      <c r="L374" s="23">
        <v>1</v>
      </c>
      <c r="M374" s="23" t="s">
        <v>78</v>
      </c>
      <c r="N374" s="23" t="s">
        <v>78</v>
      </c>
      <c r="O374" s="23">
        <v>0.01</v>
      </c>
      <c r="P374" s="23" t="s">
        <v>79</v>
      </c>
      <c r="Q374" s="23" t="s">
        <v>83</v>
      </c>
      <c r="R374" s="23">
        <v>11100018</v>
      </c>
      <c r="S374" s="24">
        <v>46052</v>
      </c>
      <c r="T374" s="24">
        <v>45929</v>
      </c>
      <c r="U374" s="24">
        <v>46752</v>
      </c>
      <c r="X374" s="24">
        <v>45861</v>
      </c>
      <c r="Y374" s="23">
        <v>1111</v>
      </c>
      <c r="Z374" s="23">
        <v>11100002</v>
      </c>
      <c r="AA374" s="23">
        <v>3901</v>
      </c>
      <c r="AB374" s="24">
        <v>45929</v>
      </c>
    </row>
    <row r="375" spans="2:28" x14ac:dyDescent="0.2">
      <c r="C375" s="23">
        <v>1100564591</v>
      </c>
      <c r="E375" s="23">
        <v>30</v>
      </c>
      <c r="F375" s="23" t="s">
        <v>1234</v>
      </c>
      <c r="G375" s="23" t="s">
        <v>1235</v>
      </c>
      <c r="H375" s="24">
        <v>46128</v>
      </c>
      <c r="I375" s="24">
        <v>46128</v>
      </c>
      <c r="J375" s="23" t="s">
        <v>219</v>
      </c>
      <c r="K375" s="23" t="s">
        <v>219</v>
      </c>
      <c r="L375" s="23">
        <v>1000</v>
      </c>
      <c r="M375" s="23" t="s">
        <v>122</v>
      </c>
      <c r="N375" s="23" t="s">
        <v>122</v>
      </c>
      <c r="O375" s="23">
        <v>3120</v>
      </c>
      <c r="P375" s="23" t="s">
        <v>79</v>
      </c>
      <c r="Q375" s="23" t="s">
        <v>83</v>
      </c>
      <c r="R375" s="23">
        <v>11100018</v>
      </c>
      <c r="S375" s="24">
        <v>46052</v>
      </c>
      <c r="T375" s="24">
        <v>45929</v>
      </c>
      <c r="U375" s="24">
        <v>46752</v>
      </c>
      <c r="X375" s="24">
        <v>45861</v>
      </c>
      <c r="Y375" s="23">
        <v>1111</v>
      </c>
      <c r="Z375" s="23">
        <v>11100002</v>
      </c>
      <c r="AA375" s="23">
        <v>3901</v>
      </c>
      <c r="AB375" s="24">
        <v>45929</v>
      </c>
    </row>
    <row r="376" spans="2:28" x14ac:dyDescent="0.2">
      <c r="C376" s="23">
        <v>1100564591</v>
      </c>
      <c r="E376" s="23">
        <v>40</v>
      </c>
      <c r="F376" s="23" t="s">
        <v>84</v>
      </c>
      <c r="G376" s="23" t="s">
        <v>123</v>
      </c>
      <c r="H376" s="24">
        <v>46128</v>
      </c>
      <c r="I376" s="24">
        <v>46128</v>
      </c>
      <c r="J376" s="23" t="s">
        <v>219</v>
      </c>
      <c r="K376" s="23" t="s">
        <v>219</v>
      </c>
      <c r="L376" s="23">
        <v>1</v>
      </c>
      <c r="M376" s="23" t="s">
        <v>78</v>
      </c>
      <c r="N376" s="23" t="s">
        <v>78</v>
      </c>
      <c r="O376" s="23">
        <v>0.01</v>
      </c>
      <c r="P376" s="23" t="s">
        <v>79</v>
      </c>
      <c r="Q376" s="23" t="s">
        <v>83</v>
      </c>
      <c r="R376" s="23">
        <v>11100018</v>
      </c>
      <c r="S376" s="24" t="s">
        <v>80</v>
      </c>
      <c r="T376" s="24">
        <v>45929</v>
      </c>
      <c r="U376" s="24">
        <v>46752</v>
      </c>
      <c r="X376" s="24">
        <v>45861</v>
      </c>
      <c r="Y376" s="23">
        <v>1111</v>
      </c>
      <c r="Z376" s="23">
        <v>11100002</v>
      </c>
      <c r="AA376" s="23">
        <v>3901</v>
      </c>
      <c r="AB376" s="24">
        <v>45929</v>
      </c>
    </row>
    <row r="377" spans="2:28" x14ac:dyDescent="0.2">
      <c r="B377" s="23" t="s">
        <v>81</v>
      </c>
      <c r="C377" s="23">
        <v>1100564591</v>
      </c>
      <c r="H377" s="24">
        <v>46128</v>
      </c>
      <c r="O377" s="23">
        <v>25745.02</v>
      </c>
      <c r="P377" s="23" t="s">
        <v>79</v>
      </c>
    </row>
    <row r="378" spans="2:28" x14ac:dyDescent="0.2">
      <c r="C378" s="23">
        <v>1100102711</v>
      </c>
      <c r="E378" s="23">
        <v>750</v>
      </c>
      <c r="F378" s="23" t="s">
        <v>1189</v>
      </c>
      <c r="G378" s="23" t="s">
        <v>305</v>
      </c>
      <c r="H378" s="24">
        <v>46129</v>
      </c>
      <c r="I378" s="24">
        <v>46045</v>
      </c>
      <c r="J378" s="23" t="s">
        <v>571</v>
      </c>
      <c r="K378" s="23" t="s">
        <v>571</v>
      </c>
      <c r="L378" s="23">
        <v>1</v>
      </c>
      <c r="M378" s="23" t="s">
        <v>78</v>
      </c>
      <c r="N378" s="23" t="s">
        <v>78</v>
      </c>
      <c r="O378" s="23">
        <v>0</v>
      </c>
      <c r="P378" s="23" t="s">
        <v>79</v>
      </c>
      <c r="Q378" s="23" t="s">
        <v>83</v>
      </c>
      <c r="R378" s="23">
        <v>11100008</v>
      </c>
      <c r="S378" s="24" t="s">
        <v>80</v>
      </c>
      <c r="T378" s="24">
        <v>45904</v>
      </c>
      <c r="U378" s="24">
        <v>46751</v>
      </c>
      <c r="X378" s="24">
        <v>45904</v>
      </c>
      <c r="Y378" s="23">
        <v>1111</v>
      </c>
      <c r="Z378" s="23">
        <v>11400912</v>
      </c>
      <c r="AA378" s="23">
        <v>3261</v>
      </c>
      <c r="AB378" s="24">
        <v>45904</v>
      </c>
    </row>
    <row r="379" spans="2:28" x14ac:dyDescent="0.2">
      <c r="C379" s="23">
        <v>1100102711</v>
      </c>
      <c r="E379" s="23">
        <v>3100</v>
      </c>
      <c r="F379" s="23" t="s">
        <v>1190</v>
      </c>
      <c r="G379" s="23" t="s">
        <v>1191</v>
      </c>
      <c r="H379" s="24">
        <v>46129</v>
      </c>
      <c r="I379" s="24">
        <v>46129</v>
      </c>
      <c r="J379" s="23" t="s">
        <v>571</v>
      </c>
      <c r="K379" s="23" t="s">
        <v>571</v>
      </c>
      <c r="L379" s="23">
        <v>1</v>
      </c>
      <c r="M379" s="23" t="s">
        <v>78</v>
      </c>
      <c r="N379" s="23" t="s">
        <v>78</v>
      </c>
      <c r="O379" s="23">
        <v>36553</v>
      </c>
      <c r="P379" s="23" t="s">
        <v>79</v>
      </c>
      <c r="Q379" s="23" t="s">
        <v>119</v>
      </c>
      <c r="R379" s="23">
        <v>11100008</v>
      </c>
      <c r="S379" s="24" t="s">
        <v>80</v>
      </c>
      <c r="T379" s="24">
        <v>45904</v>
      </c>
      <c r="U379" s="24">
        <v>46751</v>
      </c>
      <c r="X379" s="24">
        <v>45904</v>
      </c>
      <c r="Y379" s="23">
        <v>1111</v>
      </c>
      <c r="Z379" s="23">
        <v>11400912</v>
      </c>
      <c r="AA379" s="23">
        <v>320103</v>
      </c>
      <c r="AB379" s="24">
        <v>45904</v>
      </c>
    </row>
    <row r="380" spans="2:28" x14ac:dyDescent="0.2">
      <c r="C380" s="23">
        <v>1100102711</v>
      </c>
      <c r="E380" s="23">
        <v>3600</v>
      </c>
      <c r="F380" s="23" t="s">
        <v>1192</v>
      </c>
      <c r="G380" s="23" t="s">
        <v>1193</v>
      </c>
      <c r="H380" s="24">
        <v>46129</v>
      </c>
      <c r="I380" s="24">
        <v>46129</v>
      </c>
      <c r="J380" s="23" t="s">
        <v>571</v>
      </c>
      <c r="K380" s="23" t="s">
        <v>571</v>
      </c>
      <c r="L380" s="23">
        <v>1</v>
      </c>
      <c r="M380" s="23" t="s">
        <v>78</v>
      </c>
      <c r="N380" s="23" t="s">
        <v>78</v>
      </c>
      <c r="O380" s="23">
        <v>36553</v>
      </c>
      <c r="P380" s="23" t="s">
        <v>79</v>
      </c>
      <c r="Q380" s="23" t="s">
        <v>119</v>
      </c>
      <c r="R380" s="23">
        <v>11100008</v>
      </c>
      <c r="S380" s="24" t="s">
        <v>80</v>
      </c>
      <c r="T380" s="24">
        <v>45904</v>
      </c>
      <c r="U380" s="24">
        <v>46751</v>
      </c>
      <c r="X380" s="24">
        <v>45904</v>
      </c>
      <c r="Y380" s="23">
        <v>1111</v>
      </c>
      <c r="Z380" s="23">
        <v>11400912</v>
      </c>
      <c r="AA380" s="23">
        <v>320103</v>
      </c>
      <c r="AB380" s="24">
        <v>45904</v>
      </c>
    </row>
    <row r="381" spans="2:28" x14ac:dyDescent="0.2">
      <c r="C381" s="23">
        <v>1100102711</v>
      </c>
      <c r="E381" s="23">
        <v>4100</v>
      </c>
      <c r="F381" s="23" t="s">
        <v>1194</v>
      </c>
      <c r="G381" s="23" t="s">
        <v>1195</v>
      </c>
      <c r="H381" s="24">
        <v>46129</v>
      </c>
      <c r="I381" s="24">
        <v>46199</v>
      </c>
      <c r="J381" s="23" t="s">
        <v>571</v>
      </c>
      <c r="K381" s="23" t="s">
        <v>571</v>
      </c>
      <c r="L381" s="23">
        <v>1</v>
      </c>
      <c r="M381" s="23" t="s">
        <v>78</v>
      </c>
      <c r="N381" s="23" t="s">
        <v>78</v>
      </c>
      <c r="O381" s="23">
        <v>36553</v>
      </c>
      <c r="P381" s="23" t="s">
        <v>79</v>
      </c>
      <c r="Q381" s="23" t="s">
        <v>119</v>
      </c>
      <c r="R381" s="23">
        <v>11100008</v>
      </c>
      <c r="S381" s="24" t="s">
        <v>80</v>
      </c>
      <c r="T381" s="24">
        <v>45904</v>
      </c>
      <c r="U381" s="24">
        <v>46751</v>
      </c>
      <c r="X381" s="24">
        <v>45904</v>
      </c>
      <c r="Y381" s="23">
        <v>1111</v>
      </c>
      <c r="Z381" s="23">
        <v>11400912</v>
      </c>
      <c r="AA381" s="23">
        <v>320103</v>
      </c>
      <c r="AB381" s="24">
        <v>45904</v>
      </c>
    </row>
    <row r="382" spans="2:28" x14ac:dyDescent="0.2">
      <c r="C382" s="23">
        <v>1100102711</v>
      </c>
      <c r="E382" s="23">
        <v>4600</v>
      </c>
      <c r="F382" s="23" t="s">
        <v>1196</v>
      </c>
      <c r="G382" s="23" t="s">
        <v>1197</v>
      </c>
      <c r="H382" s="24">
        <v>46129</v>
      </c>
      <c r="I382" s="24">
        <v>46199</v>
      </c>
      <c r="J382" s="23" t="s">
        <v>571</v>
      </c>
      <c r="K382" s="23" t="s">
        <v>571</v>
      </c>
      <c r="L382" s="23">
        <v>1</v>
      </c>
      <c r="M382" s="23" t="s">
        <v>78</v>
      </c>
      <c r="N382" s="23" t="s">
        <v>78</v>
      </c>
      <c r="O382" s="23">
        <v>36553</v>
      </c>
      <c r="P382" s="23" t="s">
        <v>79</v>
      </c>
      <c r="Q382" s="23" t="s">
        <v>119</v>
      </c>
      <c r="R382" s="23">
        <v>11100008</v>
      </c>
      <c r="S382" s="24" t="s">
        <v>80</v>
      </c>
      <c r="T382" s="24">
        <v>45904</v>
      </c>
      <c r="U382" s="24">
        <v>46751</v>
      </c>
      <c r="X382" s="24">
        <v>45904</v>
      </c>
      <c r="Y382" s="23">
        <v>1111</v>
      </c>
      <c r="Z382" s="23">
        <v>11400912</v>
      </c>
      <c r="AA382" s="23">
        <v>320103</v>
      </c>
      <c r="AB382" s="24">
        <v>45904</v>
      </c>
    </row>
    <row r="383" spans="2:28" x14ac:dyDescent="0.2">
      <c r="C383" s="23">
        <v>1100102711</v>
      </c>
      <c r="E383" s="23">
        <v>5100</v>
      </c>
      <c r="F383" s="23" t="s">
        <v>1198</v>
      </c>
      <c r="G383" s="23" t="s">
        <v>1199</v>
      </c>
      <c r="H383" s="24">
        <v>46129</v>
      </c>
      <c r="I383" s="24">
        <v>46240</v>
      </c>
      <c r="J383" s="23" t="s">
        <v>571</v>
      </c>
      <c r="K383" s="23" t="s">
        <v>571</v>
      </c>
      <c r="L383" s="23">
        <v>1</v>
      </c>
      <c r="M383" s="23" t="s">
        <v>78</v>
      </c>
      <c r="N383" s="23" t="s">
        <v>78</v>
      </c>
      <c r="O383" s="23">
        <v>36553</v>
      </c>
      <c r="P383" s="23" t="s">
        <v>79</v>
      </c>
      <c r="Q383" s="23" t="s">
        <v>119</v>
      </c>
      <c r="R383" s="23">
        <v>11100008</v>
      </c>
      <c r="S383" s="24" t="s">
        <v>80</v>
      </c>
      <c r="T383" s="24">
        <v>45904</v>
      </c>
      <c r="U383" s="24">
        <v>46751</v>
      </c>
      <c r="X383" s="24">
        <v>45904</v>
      </c>
      <c r="Y383" s="23">
        <v>1111</v>
      </c>
      <c r="Z383" s="23">
        <v>11400912</v>
      </c>
      <c r="AA383" s="23">
        <v>320103</v>
      </c>
      <c r="AB383" s="24">
        <v>45904</v>
      </c>
    </row>
    <row r="384" spans="2:28" x14ac:dyDescent="0.2">
      <c r="C384" s="23">
        <v>1100102711</v>
      </c>
      <c r="E384" s="23">
        <v>5600</v>
      </c>
      <c r="F384" s="23" t="s">
        <v>1200</v>
      </c>
      <c r="G384" s="23" t="s">
        <v>1201</v>
      </c>
      <c r="H384" s="24">
        <v>46129</v>
      </c>
      <c r="I384" s="24">
        <v>46240</v>
      </c>
      <c r="J384" s="23" t="s">
        <v>571</v>
      </c>
      <c r="K384" s="23" t="s">
        <v>571</v>
      </c>
      <c r="L384" s="23">
        <v>1</v>
      </c>
      <c r="M384" s="23" t="s">
        <v>78</v>
      </c>
      <c r="N384" s="23" t="s">
        <v>78</v>
      </c>
      <c r="O384" s="23">
        <v>36553</v>
      </c>
      <c r="P384" s="23" t="s">
        <v>79</v>
      </c>
      <c r="Q384" s="23" t="s">
        <v>119</v>
      </c>
      <c r="R384" s="23">
        <v>11100008</v>
      </c>
      <c r="S384" s="24" t="s">
        <v>80</v>
      </c>
      <c r="T384" s="24">
        <v>45904</v>
      </c>
      <c r="U384" s="24">
        <v>46751</v>
      </c>
      <c r="X384" s="24">
        <v>45904</v>
      </c>
      <c r="Y384" s="23">
        <v>1111</v>
      </c>
      <c r="Z384" s="23">
        <v>11400912</v>
      </c>
      <c r="AA384" s="23">
        <v>320103</v>
      </c>
      <c r="AB384" s="24">
        <v>45904</v>
      </c>
    </row>
    <row r="385" spans="2:28" x14ac:dyDescent="0.2">
      <c r="C385" s="23">
        <v>1100102711</v>
      </c>
      <c r="E385" s="23">
        <v>6100</v>
      </c>
      <c r="F385" s="23" t="s">
        <v>1202</v>
      </c>
      <c r="G385" s="23" t="s">
        <v>1203</v>
      </c>
      <c r="H385" s="24">
        <v>46129</v>
      </c>
      <c r="I385" s="24">
        <v>46240</v>
      </c>
      <c r="J385" s="23" t="s">
        <v>571</v>
      </c>
      <c r="K385" s="23" t="s">
        <v>571</v>
      </c>
      <c r="L385" s="23">
        <v>1</v>
      </c>
      <c r="M385" s="23" t="s">
        <v>78</v>
      </c>
      <c r="N385" s="23" t="s">
        <v>78</v>
      </c>
      <c r="O385" s="23">
        <v>36553</v>
      </c>
      <c r="P385" s="23" t="s">
        <v>79</v>
      </c>
      <c r="Q385" s="23" t="s">
        <v>119</v>
      </c>
      <c r="R385" s="23">
        <v>11100008</v>
      </c>
      <c r="S385" s="24" t="s">
        <v>80</v>
      </c>
      <c r="T385" s="24">
        <v>45904</v>
      </c>
      <c r="U385" s="24">
        <v>46751</v>
      </c>
      <c r="X385" s="24">
        <v>45904</v>
      </c>
      <c r="Y385" s="23">
        <v>1111</v>
      </c>
      <c r="Z385" s="23">
        <v>11400912</v>
      </c>
      <c r="AA385" s="23">
        <v>320103</v>
      </c>
      <c r="AB385" s="24">
        <v>45904</v>
      </c>
    </row>
    <row r="386" spans="2:28" x14ac:dyDescent="0.2">
      <c r="C386" s="23">
        <v>1100102711</v>
      </c>
      <c r="E386" s="23">
        <v>6600</v>
      </c>
      <c r="F386" s="23" t="s">
        <v>1204</v>
      </c>
      <c r="G386" s="23" t="s">
        <v>1205</v>
      </c>
      <c r="H386" s="24">
        <v>46129</v>
      </c>
      <c r="I386" s="24">
        <v>46240</v>
      </c>
      <c r="J386" s="23" t="s">
        <v>571</v>
      </c>
      <c r="K386" s="23" t="s">
        <v>571</v>
      </c>
      <c r="L386" s="23">
        <v>1</v>
      </c>
      <c r="M386" s="23" t="s">
        <v>78</v>
      </c>
      <c r="N386" s="23" t="s">
        <v>78</v>
      </c>
      <c r="O386" s="23">
        <v>36553</v>
      </c>
      <c r="P386" s="23" t="s">
        <v>79</v>
      </c>
      <c r="Q386" s="23" t="s">
        <v>119</v>
      </c>
      <c r="R386" s="23">
        <v>11100008</v>
      </c>
      <c r="S386" s="24" t="s">
        <v>80</v>
      </c>
      <c r="T386" s="24">
        <v>45904</v>
      </c>
      <c r="U386" s="24">
        <v>46751</v>
      </c>
      <c r="X386" s="24">
        <v>45904</v>
      </c>
      <c r="Y386" s="23">
        <v>1111</v>
      </c>
      <c r="Z386" s="23">
        <v>11400912</v>
      </c>
      <c r="AA386" s="23">
        <v>320103</v>
      </c>
      <c r="AB386" s="24">
        <v>45904</v>
      </c>
    </row>
    <row r="387" spans="2:28" x14ac:dyDescent="0.2">
      <c r="C387" s="23">
        <v>1100102711</v>
      </c>
      <c r="E387" s="23">
        <v>7100</v>
      </c>
      <c r="F387" s="23" t="s">
        <v>2373</v>
      </c>
      <c r="G387" s="23" t="s">
        <v>2374</v>
      </c>
      <c r="H387" s="24">
        <v>46129</v>
      </c>
      <c r="I387" s="24">
        <v>46240</v>
      </c>
      <c r="J387" s="23" t="s">
        <v>571</v>
      </c>
      <c r="K387" s="23" t="s">
        <v>571</v>
      </c>
      <c r="L387" s="23">
        <v>1</v>
      </c>
      <c r="M387" s="23" t="s">
        <v>78</v>
      </c>
      <c r="N387" s="23" t="s">
        <v>78</v>
      </c>
      <c r="O387" s="23">
        <v>36553</v>
      </c>
      <c r="P387" s="23" t="s">
        <v>79</v>
      </c>
      <c r="Q387" s="23" t="s">
        <v>83</v>
      </c>
      <c r="R387" s="23">
        <v>11100008</v>
      </c>
      <c r="S387" s="24">
        <v>46240</v>
      </c>
      <c r="T387" s="24">
        <v>45904</v>
      </c>
      <c r="U387" s="24">
        <v>46094</v>
      </c>
      <c r="X387" s="24">
        <v>45904</v>
      </c>
      <c r="Y387" s="23">
        <v>1111</v>
      </c>
      <c r="Z387" s="23">
        <v>11400912</v>
      </c>
      <c r="AA387" s="23">
        <v>3261</v>
      </c>
      <c r="AB387" s="24">
        <v>46063</v>
      </c>
    </row>
    <row r="388" spans="2:28" x14ac:dyDescent="0.2">
      <c r="B388" s="23" t="s">
        <v>81</v>
      </c>
      <c r="C388" s="23">
        <v>1100102711</v>
      </c>
      <c r="H388" s="24">
        <v>46129</v>
      </c>
      <c r="O388" s="23">
        <v>328977</v>
      </c>
      <c r="P388" s="23" t="s">
        <v>79</v>
      </c>
    </row>
    <row r="389" spans="2:28" x14ac:dyDescent="0.2">
      <c r="C389" s="23">
        <v>1100566386</v>
      </c>
      <c r="E389" s="23">
        <v>10</v>
      </c>
      <c r="F389" s="23" t="s">
        <v>87</v>
      </c>
      <c r="G389" s="23" t="s">
        <v>1226</v>
      </c>
      <c r="H389" s="24">
        <v>46129</v>
      </c>
      <c r="I389" s="24">
        <v>46129</v>
      </c>
      <c r="J389" s="23" t="s">
        <v>1051</v>
      </c>
      <c r="K389" s="23" t="s">
        <v>1051</v>
      </c>
      <c r="L389" s="23">
        <v>1</v>
      </c>
      <c r="M389" s="23" t="s">
        <v>78</v>
      </c>
      <c r="N389" s="23" t="s">
        <v>78</v>
      </c>
      <c r="O389" s="23">
        <v>53390</v>
      </c>
      <c r="P389" s="23" t="s">
        <v>79</v>
      </c>
      <c r="Q389" s="23" t="s">
        <v>83</v>
      </c>
      <c r="R389" s="23">
        <v>11100018</v>
      </c>
      <c r="S389" s="24" t="s">
        <v>80</v>
      </c>
      <c r="T389" s="24">
        <v>45947</v>
      </c>
      <c r="U389" s="24" t="s">
        <v>80</v>
      </c>
      <c r="X389" s="24" t="s">
        <v>80</v>
      </c>
      <c r="Y389" s="23">
        <v>1111</v>
      </c>
      <c r="Z389" s="23">
        <v>11100303</v>
      </c>
      <c r="AA389" s="23">
        <v>330103</v>
      </c>
      <c r="AB389" s="24" t="s">
        <v>80</v>
      </c>
    </row>
    <row r="390" spans="2:28" x14ac:dyDescent="0.2">
      <c r="C390" s="23">
        <v>1100566386</v>
      </c>
      <c r="E390" s="23">
        <v>20</v>
      </c>
      <c r="F390" s="23" t="s">
        <v>84</v>
      </c>
      <c r="G390" s="23" t="s">
        <v>123</v>
      </c>
      <c r="H390" s="24">
        <v>46129</v>
      </c>
      <c r="I390" s="24">
        <v>46129</v>
      </c>
      <c r="J390" s="23" t="s">
        <v>1051</v>
      </c>
      <c r="K390" s="23" t="s">
        <v>1051</v>
      </c>
      <c r="L390" s="23">
        <v>1</v>
      </c>
      <c r="M390" s="23" t="s">
        <v>78</v>
      </c>
      <c r="N390" s="23" t="s">
        <v>78</v>
      </c>
      <c r="O390" s="23">
        <v>0.01</v>
      </c>
      <c r="P390" s="23" t="s">
        <v>79</v>
      </c>
      <c r="Q390" s="23" t="s">
        <v>83</v>
      </c>
      <c r="R390" s="23">
        <v>11100018</v>
      </c>
      <c r="S390" s="24" t="s">
        <v>80</v>
      </c>
      <c r="T390" s="24">
        <v>45947</v>
      </c>
      <c r="U390" s="24" t="s">
        <v>80</v>
      </c>
      <c r="X390" s="24">
        <v>45945</v>
      </c>
      <c r="Y390" s="23">
        <v>1111</v>
      </c>
      <c r="Z390" s="23">
        <v>11100303</v>
      </c>
      <c r="AA390" s="23">
        <v>330103</v>
      </c>
      <c r="AB390" s="24">
        <v>45947</v>
      </c>
    </row>
    <row r="391" spans="2:28" x14ac:dyDescent="0.2">
      <c r="C391" s="23">
        <v>1100566386</v>
      </c>
      <c r="E391" s="23">
        <v>30</v>
      </c>
      <c r="F391" s="23" t="s">
        <v>82</v>
      </c>
      <c r="G391" s="23" t="s">
        <v>139</v>
      </c>
      <c r="H391" s="24">
        <v>46129</v>
      </c>
      <c r="I391" s="24">
        <v>46129</v>
      </c>
      <c r="J391" s="23" t="s">
        <v>1051</v>
      </c>
      <c r="K391" s="23" t="s">
        <v>1051</v>
      </c>
      <c r="L391" s="23">
        <v>1</v>
      </c>
      <c r="M391" s="23" t="s">
        <v>78</v>
      </c>
      <c r="N391" s="23" t="s">
        <v>78</v>
      </c>
      <c r="O391" s="23">
        <v>0.01</v>
      </c>
      <c r="P391" s="23" t="s">
        <v>79</v>
      </c>
      <c r="Q391" s="23" t="s">
        <v>83</v>
      </c>
      <c r="R391" s="23">
        <v>11100018</v>
      </c>
      <c r="S391" s="24" t="s">
        <v>80</v>
      </c>
      <c r="T391" s="24">
        <v>45947</v>
      </c>
      <c r="U391" s="24" t="s">
        <v>80</v>
      </c>
      <c r="X391" s="24">
        <v>45945</v>
      </c>
      <c r="Y391" s="23">
        <v>1111</v>
      </c>
      <c r="Z391" s="23">
        <v>11100303</v>
      </c>
      <c r="AA391" s="23">
        <v>330103</v>
      </c>
      <c r="AB391" s="24">
        <v>45947</v>
      </c>
    </row>
    <row r="392" spans="2:28" x14ac:dyDescent="0.2">
      <c r="B392" s="23" t="s">
        <v>81</v>
      </c>
      <c r="C392" s="23">
        <v>1100566386</v>
      </c>
      <c r="H392" s="24">
        <v>46129</v>
      </c>
      <c r="O392" s="23">
        <v>53390.02</v>
      </c>
      <c r="P392" s="23" t="s">
        <v>79</v>
      </c>
    </row>
    <row r="393" spans="2:28" x14ac:dyDescent="0.2">
      <c r="C393" s="23">
        <v>1100567351</v>
      </c>
      <c r="E393" s="23">
        <v>10</v>
      </c>
      <c r="F393" s="23" t="s">
        <v>1461</v>
      </c>
      <c r="G393" s="23" t="s">
        <v>1462</v>
      </c>
      <c r="H393" s="24">
        <v>46129</v>
      </c>
      <c r="I393" s="24">
        <v>46129</v>
      </c>
      <c r="J393" s="23" t="s">
        <v>1463</v>
      </c>
      <c r="K393" s="23" t="s">
        <v>1463</v>
      </c>
      <c r="L393" s="23">
        <v>1</v>
      </c>
      <c r="M393" s="23" t="s">
        <v>78</v>
      </c>
      <c r="N393" s="23" t="s">
        <v>78</v>
      </c>
      <c r="O393" s="23">
        <v>32200</v>
      </c>
      <c r="P393" s="23" t="s">
        <v>79</v>
      </c>
      <c r="Q393" s="23" t="s">
        <v>83</v>
      </c>
      <c r="R393" s="23">
        <v>11100008</v>
      </c>
      <c r="S393" s="24" t="s">
        <v>80</v>
      </c>
      <c r="T393" s="24">
        <v>45958</v>
      </c>
      <c r="U393" s="24" t="s">
        <v>80</v>
      </c>
      <c r="X393" s="24">
        <v>45952</v>
      </c>
      <c r="Y393" s="23">
        <v>1111</v>
      </c>
      <c r="Z393" s="23">
        <v>11100303</v>
      </c>
      <c r="AA393" s="23">
        <v>320103</v>
      </c>
      <c r="AB393" s="24">
        <v>45958</v>
      </c>
    </row>
    <row r="394" spans="2:28" x14ac:dyDescent="0.2">
      <c r="C394" s="23">
        <v>1100567351</v>
      </c>
      <c r="E394" s="23">
        <v>20</v>
      </c>
      <c r="F394" s="23" t="s">
        <v>680</v>
      </c>
      <c r="G394" s="23" t="s">
        <v>681</v>
      </c>
      <c r="H394" s="24">
        <v>46129</v>
      </c>
      <c r="I394" s="24">
        <v>46129</v>
      </c>
      <c r="J394" s="23" t="s">
        <v>1463</v>
      </c>
      <c r="K394" s="23" t="s">
        <v>1463</v>
      </c>
      <c r="L394" s="23">
        <v>7</v>
      </c>
      <c r="M394" s="23" t="s">
        <v>78</v>
      </c>
      <c r="N394" s="23" t="s">
        <v>78</v>
      </c>
      <c r="O394" s="23">
        <v>6454</v>
      </c>
      <c r="P394" s="23" t="s">
        <v>79</v>
      </c>
      <c r="Q394" s="23" t="s">
        <v>83</v>
      </c>
      <c r="R394" s="23">
        <v>11100008</v>
      </c>
      <c r="S394" s="24" t="s">
        <v>80</v>
      </c>
      <c r="T394" s="24">
        <v>45958</v>
      </c>
      <c r="U394" s="24" t="s">
        <v>80</v>
      </c>
      <c r="X394" s="24">
        <v>45952</v>
      </c>
      <c r="Y394" s="23">
        <v>1111</v>
      </c>
      <c r="Z394" s="23">
        <v>11100303</v>
      </c>
      <c r="AA394" s="23">
        <v>320103</v>
      </c>
      <c r="AB394" s="24">
        <v>45958</v>
      </c>
    </row>
    <row r="395" spans="2:28" x14ac:dyDescent="0.2">
      <c r="C395" s="23">
        <v>1100567351</v>
      </c>
      <c r="E395" s="23">
        <v>30</v>
      </c>
      <c r="F395" s="23" t="s">
        <v>84</v>
      </c>
      <c r="G395" s="23" t="s">
        <v>123</v>
      </c>
      <c r="H395" s="24">
        <v>46129</v>
      </c>
      <c r="I395" s="24">
        <v>46129</v>
      </c>
      <c r="J395" s="23" t="s">
        <v>1463</v>
      </c>
      <c r="K395" s="23" t="s">
        <v>1463</v>
      </c>
      <c r="L395" s="23">
        <v>1</v>
      </c>
      <c r="M395" s="23" t="s">
        <v>78</v>
      </c>
      <c r="N395" s="23" t="s">
        <v>78</v>
      </c>
      <c r="O395" s="23">
        <v>0.01</v>
      </c>
      <c r="P395" s="23" t="s">
        <v>79</v>
      </c>
      <c r="Q395" s="23" t="s">
        <v>83</v>
      </c>
      <c r="R395" s="23">
        <v>11100008</v>
      </c>
      <c r="S395" s="24" t="s">
        <v>80</v>
      </c>
      <c r="T395" s="24">
        <v>45958</v>
      </c>
      <c r="U395" s="24" t="s">
        <v>80</v>
      </c>
      <c r="X395" s="24">
        <v>45952</v>
      </c>
      <c r="Y395" s="23">
        <v>1111</v>
      </c>
      <c r="Z395" s="23">
        <v>11100303</v>
      </c>
      <c r="AA395" s="23">
        <v>320103</v>
      </c>
      <c r="AB395" s="24">
        <v>45958</v>
      </c>
    </row>
    <row r="396" spans="2:28" x14ac:dyDescent="0.2">
      <c r="B396" s="23" t="s">
        <v>81</v>
      </c>
      <c r="C396" s="23">
        <v>1100567351</v>
      </c>
      <c r="H396" s="24">
        <v>46129</v>
      </c>
      <c r="O396" s="23">
        <v>38654.01</v>
      </c>
      <c r="P396" s="23" t="s">
        <v>79</v>
      </c>
    </row>
    <row r="397" spans="2:28" x14ac:dyDescent="0.2">
      <c r="C397" s="23">
        <v>1100567363</v>
      </c>
      <c r="E397" s="23">
        <v>10</v>
      </c>
      <c r="F397" s="23" t="s">
        <v>1464</v>
      </c>
      <c r="G397" s="23" t="s">
        <v>547</v>
      </c>
      <c r="H397" s="24">
        <v>46129</v>
      </c>
      <c r="I397" s="24">
        <v>46129</v>
      </c>
      <c r="J397" s="23" t="s">
        <v>1411</v>
      </c>
      <c r="K397" s="23" t="s">
        <v>1411</v>
      </c>
      <c r="L397" s="23">
        <v>1</v>
      </c>
      <c r="M397" s="23" t="s">
        <v>78</v>
      </c>
      <c r="N397" s="23" t="s">
        <v>78</v>
      </c>
      <c r="O397" s="23">
        <v>33611</v>
      </c>
      <c r="P397" s="23" t="s">
        <v>79</v>
      </c>
      <c r="Q397" s="23" t="s">
        <v>83</v>
      </c>
      <c r="R397" s="23">
        <v>11100299</v>
      </c>
      <c r="S397" s="24">
        <v>46028</v>
      </c>
      <c r="T397" s="24">
        <v>45958</v>
      </c>
      <c r="U397" s="24">
        <v>46752</v>
      </c>
      <c r="X397" s="24">
        <v>45951</v>
      </c>
      <c r="Y397" s="23">
        <v>1111</v>
      </c>
      <c r="Z397" s="23">
        <v>11100305</v>
      </c>
      <c r="AA397" s="23">
        <v>330103</v>
      </c>
      <c r="AB397" s="24">
        <v>45958</v>
      </c>
    </row>
    <row r="398" spans="2:28" x14ac:dyDescent="0.2">
      <c r="C398" s="23">
        <v>1100567363</v>
      </c>
      <c r="E398" s="23">
        <v>20</v>
      </c>
      <c r="F398" s="23" t="s">
        <v>1465</v>
      </c>
      <c r="G398" s="23" t="s">
        <v>486</v>
      </c>
      <c r="H398" s="24">
        <v>46129</v>
      </c>
      <c r="I398" s="24">
        <v>46129</v>
      </c>
      <c r="J398" s="23" t="s">
        <v>1411</v>
      </c>
      <c r="K398" s="23" t="s">
        <v>1411</v>
      </c>
      <c r="L398" s="23">
        <v>2</v>
      </c>
      <c r="M398" s="23" t="s">
        <v>78</v>
      </c>
      <c r="N398" s="23" t="s">
        <v>78</v>
      </c>
      <c r="O398" s="23">
        <v>98325</v>
      </c>
      <c r="P398" s="23" t="s">
        <v>79</v>
      </c>
      <c r="Q398" s="23" t="s">
        <v>83</v>
      </c>
      <c r="R398" s="23">
        <v>11100299</v>
      </c>
      <c r="S398" s="24">
        <v>46028</v>
      </c>
      <c r="T398" s="24">
        <v>45958</v>
      </c>
      <c r="U398" s="24">
        <v>46752</v>
      </c>
      <c r="X398" s="24">
        <v>45951</v>
      </c>
      <c r="Y398" s="23">
        <v>1111</v>
      </c>
      <c r="Z398" s="23">
        <v>11100305</v>
      </c>
      <c r="AA398" s="23">
        <v>330103</v>
      </c>
      <c r="AB398" s="24">
        <v>45958</v>
      </c>
    </row>
    <row r="399" spans="2:28" x14ac:dyDescent="0.2">
      <c r="C399" s="23">
        <v>1100567363</v>
      </c>
      <c r="E399" s="23">
        <v>30</v>
      </c>
      <c r="F399" s="23" t="s">
        <v>1466</v>
      </c>
      <c r="G399" s="23" t="s">
        <v>1467</v>
      </c>
      <c r="H399" s="24">
        <v>46129</v>
      </c>
      <c r="I399" s="24">
        <v>46129</v>
      </c>
      <c r="J399" s="23" t="s">
        <v>1411</v>
      </c>
      <c r="K399" s="23" t="s">
        <v>1411</v>
      </c>
      <c r="L399" s="23">
        <v>1</v>
      </c>
      <c r="M399" s="23" t="s">
        <v>78</v>
      </c>
      <c r="N399" s="23" t="s">
        <v>78</v>
      </c>
      <c r="O399" s="23">
        <v>30903.5</v>
      </c>
      <c r="P399" s="23" t="s">
        <v>79</v>
      </c>
      <c r="Q399" s="23" t="s">
        <v>83</v>
      </c>
      <c r="R399" s="23">
        <v>11100299</v>
      </c>
      <c r="S399" s="24">
        <v>46028</v>
      </c>
      <c r="T399" s="24">
        <v>45958</v>
      </c>
      <c r="U399" s="24">
        <v>46752</v>
      </c>
      <c r="X399" s="24">
        <v>45951</v>
      </c>
      <c r="Y399" s="23">
        <v>1111</v>
      </c>
      <c r="Z399" s="23">
        <v>11100305</v>
      </c>
      <c r="AA399" s="23">
        <v>330103</v>
      </c>
      <c r="AB399" s="24">
        <v>45958</v>
      </c>
    </row>
    <row r="400" spans="2:28" x14ac:dyDescent="0.2">
      <c r="C400" s="23">
        <v>1100567363</v>
      </c>
      <c r="E400" s="23">
        <v>40</v>
      </c>
      <c r="F400" s="23" t="s">
        <v>1210</v>
      </c>
      <c r="G400" s="23" t="s">
        <v>1211</v>
      </c>
      <c r="H400" s="24">
        <v>46129</v>
      </c>
      <c r="I400" s="24">
        <v>46129</v>
      </c>
      <c r="J400" s="23" t="s">
        <v>1411</v>
      </c>
      <c r="K400" s="23" t="s">
        <v>1411</v>
      </c>
      <c r="L400" s="23">
        <v>1</v>
      </c>
      <c r="M400" s="23" t="s">
        <v>78</v>
      </c>
      <c r="N400" s="23" t="s">
        <v>78</v>
      </c>
      <c r="O400" s="23">
        <v>7837.5</v>
      </c>
      <c r="P400" s="23" t="s">
        <v>79</v>
      </c>
      <c r="Q400" s="23" t="s">
        <v>83</v>
      </c>
      <c r="R400" s="23">
        <v>11100299</v>
      </c>
      <c r="S400" s="24">
        <v>46028</v>
      </c>
      <c r="T400" s="24">
        <v>45958</v>
      </c>
      <c r="U400" s="24">
        <v>46752</v>
      </c>
      <c r="X400" s="24">
        <v>45951</v>
      </c>
      <c r="Y400" s="23">
        <v>1111</v>
      </c>
      <c r="Z400" s="23">
        <v>11100305</v>
      </c>
      <c r="AA400" s="23">
        <v>330103</v>
      </c>
      <c r="AB400" s="24">
        <v>45958</v>
      </c>
    </row>
    <row r="401" spans="2:28" x14ac:dyDescent="0.2">
      <c r="C401" s="23">
        <v>1100567363</v>
      </c>
      <c r="E401" s="23">
        <v>50</v>
      </c>
      <c r="F401" s="23" t="s">
        <v>1187</v>
      </c>
      <c r="G401" s="23" t="s">
        <v>1188</v>
      </c>
      <c r="H401" s="24">
        <v>46129</v>
      </c>
      <c r="I401" s="24">
        <v>46129</v>
      </c>
      <c r="J401" s="23" t="s">
        <v>1411</v>
      </c>
      <c r="K401" s="23" t="s">
        <v>1411</v>
      </c>
      <c r="L401" s="23">
        <v>1</v>
      </c>
      <c r="M401" s="23" t="s">
        <v>78</v>
      </c>
      <c r="N401" s="23" t="s">
        <v>78</v>
      </c>
      <c r="O401" s="23">
        <v>1596</v>
      </c>
      <c r="P401" s="23" t="s">
        <v>79</v>
      </c>
      <c r="Q401" s="23" t="s">
        <v>83</v>
      </c>
      <c r="R401" s="23">
        <v>11100299</v>
      </c>
      <c r="S401" s="24">
        <v>46028</v>
      </c>
      <c r="T401" s="24">
        <v>45958</v>
      </c>
      <c r="U401" s="24">
        <v>46752</v>
      </c>
      <c r="X401" s="24">
        <v>45951</v>
      </c>
      <c r="Y401" s="23">
        <v>1111</v>
      </c>
      <c r="Z401" s="23">
        <v>11100305</v>
      </c>
      <c r="AA401" s="23">
        <v>330103</v>
      </c>
      <c r="AB401" s="24">
        <v>45958</v>
      </c>
    </row>
    <row r="402" spans="2:28" x14ac:dyDescent="0.2">
      <c r="C402" s="23">
        <v>1100567363</v>
      </c>
      <c r="E402" s="23">
        <v>60</v>
      </c>
      <c r="F402" s="23" t="s">
        <v>84</v>
      </c>
      <c r="G402" s="23" t="s">
        <v>123</v>
      </c>
      <c r="H402" s="24">
        <v>46129</v>
      </c>
      <c r="I402" s="24">
        <v>46129</v>
      </c>
      <c r="J402" s="23" t="s">
        <v>1411</v>
      </c>
      <c r="K402" s="23" t="s">
        <v>1411</v>
      </c>
      <c r="L402" s="23">
        <v>1</v>
      </c>
      <c r="M402" s="23" t="s">
        <v>78</v>
      </c>
      <c r="N402" s="23" t="s">
        <v>78</v>
      </c>
      <c r="O402" s="23">
        <v>0.01</v>
      </c>
      <c r="P402" s="23" t="s">
        <v>79</v>
      </c>
      <c r="Q402" s="23" t="s">
        <v>83</v>
      </c>
      <c r="R402" s="23">
        <v>11100299</v>
      </c>
      <c r="S402" s="24">
        <v>46028</v>
      </c>
      <c r="T402" s="24">
        <v>45958</v>
      </c>
      <c r="U402" s="24">
        <v>46752</v>
      </c>
      <c r="X402" s="24">
        <v>45951</v>
      </c>
      <c r="Y402" s="23">
        <v>1111</v>
      </c>
      <c r="Z402" s="23">
        <v>11100305</v>
      </c>
      <c r="AA402" s="23">
        <v>330103</v>
      </c>
      <c r="AB402" s="24">
        <v>45958</v>
      </c>
    </row>
    <row r="403" spans="2:28" x14ac:dyDescent="0.2">
      <c r="C403" s="23">
        <v>1100567363</v>
      </c>
      <c r="E403" s="23">
        <v>70</v>
      </c>
      <c r="F403" s="23" t="s">
        <v>82</v>
      </c>
      <c r="G403" s="23" t="s">
        <v>139</v>
      </c>
      <c r="H403" s="24">
        <v>46129</v>
      </c>
      <c r="I403" s="24">
        <v>46129</v>
      </c>
      <c r="J403" s="23" t="s">
        <v>1411</v>
      </c>
      <c r="K403" s="23" t="s">
        <v>1411</v>
      </c>
      <c r="L403" s="23">
        <v>1</v>
      </c>
      <c r="M403" s="23" t="s">
        <v>78</v>
      </c>
      <c r="N403" s="23" t="s">
        <v>78</v>
      </c>
      <c r="O403" s="23">
        <v>0.01</v>
      </c>
      <c r="P403" s="23" t="s">
        <v>79</v>
      </c>
      <c r="Q403" s="23" t="s">
        <v>83</v>
      </c>
      <c r="R403" s="23">
        <v>11100299</v>
      </c>
      <c r="S403" s="24" t="s">
        <v>80</v>
      </c>
      <c r="T403" s="24">
        <v>45958</v>
      </c>
      <c r="U403" s="24">
        <v>46752</v>
      </c>
      <c r="X403" s="24">
        <v>45951</v>
      </c>
      <c r="Y403" s="23">
        <v>1111</v>
      </c>
      <c r="Z403" s="23">
        <v>11100305</v>
      </c>
      <c r="AA403" s="23">
        <v>330103</v>
      </c>
      <c r="AB403" s="24">
        <v>45958</v>
      </c>
    </row>
    <row r="404" spans="2:28" x14ac:dyDescent="0.2">
      <c r="B404" s="23" t="s">
        <v>81</v>
      </c>
      <c r="C404" s="23">
        <v>1100567363</v>
      </c>
      <c r="H404" s="24">
        <v>46129</v>
      </c>
      <c r="O404" s="23">
        <v>172273.02</v>
      </c>
      <c r="P404" s="23" t="s">
        <v>79</v>
      </c>
    </row>
    <row r="405" spans="2:28" x14ac:dyDescent="0.2">
      <c r="C405" s="23">
        <v>1100572440</v>
      </c>
      <c r="E405" s="23">
        <v>10</v>
      </c>
      <c r="F405" s="23" t="s">
        <v>976</v>
      </c>
      <c r="G405" s="23" t="s">
        <v>977</v>
      </c>
      <c r="H405" s="24">
        <v>46129</v>
      </c>
      <c r="I405" s="24">
        <v>46129</v>
      </c>
      <c r="J405" s="23" t="s">
        <v>157</v>
      </c>
      <c r="K405" s="23" t="s">
        <v>157</v>
      </c>
      <c r="L405" s="23">
        <v>1</v>
      </c>
      <c r="M405" s="23" t="s">
        <v>78</v>
      </c>
      <c r="N405" s="23" t="s">
        <v>78</v>
      </c>
      <c r="O405" s="23">
        <v>18296</v>
      </c>
      <c r="P405" s="23" t="s">
        <v>79</v>
      </c>
      <c r="Q405" s="23" t="s">
        <v>83</v>
      </c>
      <c r="R405" s="23">
        <v>11100299</v>
      </c>
      <c r="S405" s="24">
        <v>46087</v>
      </c>
      <c r="T405" s="24">
        <v>46020</v>
      </c>
      <c r="U405" s="24" t="s">
        <v>80</v>
      </c>
      <c r="X405" s="24">
        <v>46008</v>
      </c>
      <c r="Y405" s="23">
        <v>1111</v>
      </c>
      <c r="Z405" s="23">
        <v>11100002</v>
      </c>
      <c r="AA405" s="23">
        <v>5124</v>
      </c>
      <c r="AB405" s="24">
        <v>46020</v>
      </c>
    </row>
    <row r="406" spans="2:28" x14ac:dyDescent="0.2">
      <c r="B406" s="23" t="s">
        <v>81</v>
      </c>
      <c r="C406" s="23">
        <v>1100572440</v>
      </c>
      <c r="H406" s="24">
        <v>46129</v>
      </c>
      <c r="O406" s="23">
        <v>18296</v>
      </c>
      <c r="P406" s="23" t="s">
        <v>79</v>
      </c>
    </row>
    <row r="407" spans="2:28" x14ac:dyDescent="0.2">
      <c r="C407" s="23">
        <v>1100575914</v>
      </c>
      <c r="E407" s="23">
        <v>12</v>
      </c>
      <c r="F407" s="23" t="s">
        <v>2375</v>
      </c>
      <c r="G407" s="23" t="s">
        <v>292</v>
      </c>
      <c r="H407" s="24">
        <v>46129</v>
      </c>
      <c r="I407" s="24">
        <v>46129</v>
      </c>
      <c r="J407" s="23" t="s">
        <v>1071</v>
      </c>
      <c r="K407" s="23" t="s">
        <v>1071</v>
      </c>
      <c r="L407" s="23">
        <v>1</v>
      </c>
      <c r="M407" s="23" t="s">
        <v>78</v>
      </c>
      <c r="N407" s="23" t="s">
        <v>78</v>
      </c>
      <c r="O407" s="23">
        <v>29355</v>
      </c>
      <c r="P407" s="23" t="s">
        <v>79</v>
      </c>
      <c r="Q407" s="23" t="s">
        <v>83</v>
      </c>
      <c r="R407" s="23">
        <v>11100008</v>
      </c>
      <c r="S407" s="24" t="s">
        <v>80</v>
      </c>
      <c r="T407" s="24">
        <v>46057</v>
      </c>
      <c r="U407" s="24" t="s">
        <v>80</v>
      </c>
      <c r="X407" s="24">
        <v>46051</v>
      </c>
      <c r="Y407" s="23">
        <v>1111</v>
      </c>
      <c r="Z407" s="23">
        <v>11100002</v>
      </c>
      <c r="AA407" s="23">
        <v>3901</v>
      </c>
      <c r="AB407" s="24">
        <v>46057</v>
      </c>
    </row>
    <row r="408" spans="2:28" x14ac:dyDescent="0.2">
      <c r="C408" s="23">
        <v>1100575914</v>
      </c>
      <c r="E408" s="23">
        <v>20</v>
      </c>
      <c r="F408" s="23" t="s">
        <v>84</v>
      </c>
      <c r="G408" s="23" t="s">
        <v>123</v>
      </c>
      <c r="H408" s="24">
        <v>46129</v>
      </c>
      <c r="I408" s="24">
        <v>46129</v>
      </c>
      <c r="J408" s="23" t="s">
        <v>1071</v>
      </c>
      <c r="K408" s="23" t="s">
        <v>1071</v>
      </c>
      <c r="L408" s="23">
        <v>1</v>
      </c>
      <c r="M408" s="23" t="s">
        <v>78</v>
      </c>
      <c r="N408" s="23" t="s">
        <v>78</v>
      </c>
      <c r="O408" s="23">
        <v>0.01</v>
      </c>
      <c r="P408" s="23" t="s">
        <v>79</v>
      </c>
      <c r="Q408" s="23" t="s">
        <v>83</v>
      </c>
      <c r="R408" s="23">
        <v>11100008</v>
      </c>
      <c r="S408" s="24" t="s">
        <v>80</v>
      </c>
      <c r="T408" s="24">
        <v>46057</v>
      </c>
      <c r="U408" s="24" t="s">
        <v>80</v>
      </c>
      <c r="X408" s="24">
        <v>46051</v>
      </c>
      <c r="Y408" s="23">
        <v>1111</v>
      </c>
      <c r="Z408" s="23">
        <v>11100002</v>
      </c>
      <c r="AA408" s="23">
        <v>3901</v>
      </c>
      <c r="AB408" s="24">
        <v>46057</v>
      </c>
    </row>
    <row r="409" spans="2:28" x14ac:dyDescent="0.2">
      <c r="B409" s="23" t="s">
        <v>81</v>
      </c>
      <c r="C409" s="23">
        <v>1100575914</v>
      </c>
      <c r="H409" s="24">
        <v>46129</v>
      </c>
      <c r="O409" s="23">
        <v>29355.01</v>
      </c>
      <c r="P409" s="23" t="s">
        <v>79</v>
      </c>
    </row>
    <row r="410" spans="2:28" x14ac:dyDescent="0.2">
      <c r="C410" s="23">
        <v>1100576841</v>
      </c>
      <c r="E410" s="23">
        <v>20</v>
      </c>
      <c r="F410" s="23" t="s">
        <v>2376</v>
      </c>
      <c r="G410" s="23" t="s">
        <v>1269</v>
      </c>
      <c r="H410" s="24">
        <v>46129</v>
      </c>
      <c r="I410" s="24">
        <v>46129</v>
      </c>
      <c r="J410" s="23" t="s">
        <v>160</v>
      </c>
      <c r="K410" s="23" t="s">
        <v>160</v>
      </c>
      <c r="L410" s="23">
        <v>2</v>
      </c>
      <c r="M410" s="23" t="s">
        <v>78</v>
      </c>
      <c r="N410" s="23" t="s">
        <v>78</v>
      </c>
      <c r="O410" s="23">
        <v>21862</v>
      </c>
      <c r="P410" s="23" t="s">
        <v>79</v>
      </c>
      <c r="Q410" s="23" t="s">
        <v>83</v>
      </c>
      <c r="R410" s="23">
        <v>11100008</v>
      </c>
      <c r="S410" s="24">
        <v>46129</v>
      </c>
      <c r="T410" s="24">
        <v>46066</v>
      </c>
      <c r="U410" s="24" t="s">
        <v>80</v>
      </c>
      <c r="X410" s="24">
        <v>46065</v>
      </c>
      <c r="Y410" s="23">
        <v>1111</v>
      </c>
      <c r="Z410" s="23">
        <v>11100002</v>
      </c>
      <c r="AA410" s="23">
        <v>5112</v>
      </c>
      <c r="AB410" s="24">
        <v>46066</v>
      </c>
    </row>
    <row r="411" spans="2:28" x14ac:dyDescent="0.2">
      <c r="C411" s="23">
        <v>1100576841</v>
      </c>
      <c r="E411" s="23">
        <v>40</v>
      </c>
      <c r="F411" s="23" t="s">
        <v>82</v>
      </c>
      <c r="G411" s="23" t="s">
        <v>548</v>
      </c>
      <c r="H411" s="24">
        <v>46129</v>
      </c>
      <c r="I411" s="24">
        <v>46129</v>
      </c>
      <c r="J411" s="23" t="s">
        <v>160</v>
      </c>
      <c r="K411" s="23" t="s">
        <v>160</v>
      </c>
      <c r="L411" s="23">
        <v>1</v>
      </c>
      <c r="M411" s="23" t="s">
        <v>78</v>
      </c>
      <c r="N411" s="23" t="s">
        <v>78</v>
      </c>
      <c r="O411" s="23">
        <v>0</v>
      </c>
      <c r="P411" s="23" t="s">
        <v>79</v>
      </c>
      <c r="Q411" s="23" t="s">
        <v>83</v>
      </c>
      <c r="R411" s="23">
        <v>11100008</v>
      </c>
      <c r="S411" s="24" t="s">
        <v>80</v>
      </c>
      <c r="T411" s="24">
        <v>46066</v>
      </c>
      <c r="U411" s="24" t="s">
        <v>80</v>
      </c>
      <c r="X411" s="24">
        <v>46065</v>
      </c>
      <c r="Y411" s="23">
        <v>1111</v>
      </c>
      <c r="Z411" s="23">
        <v>11100002</v>
      </c>
      <c r="AA411" s="23">
        <v>5112</v>
      </c>
      <c r="AB411" s="24">
        <v>46066</v>
      </c>
    </row>
    <row r="412" spans="2:28" x14ac:dyDescent="0.2">
      <c r="B412" s="23" t="s">
        <v>81</v>
      </c>
      <c r="C412" s="23">
        <v>1100576841</v>
      </c>
      <c r="H412" s="24">
        <v>46129</v>
      </c>
      <c r="O412" s="23">
        <v>21862</v>
      </c>
      <c r="P412" s="23" t="s">
        <v>79</v>
      </c>
    </row>
    <row r="413" spans="2:28" x14ac:dyDescent="0.2">
      <c r="C413" s="23">
        <v>1100571974</v>
      </c>
      <c r="E413" s="23">
        <v>10</v>
      </c>
      <c r="F413" s="23" t="s">
        <v>1470</v>
      </c>
      <c r="G413" s="23" t="s">
        <v>307</v>
      </c>
      <c r="H413" s="24">
        <v>46132</v>
      </c>
      <c r="I413" s="24">
        <v>46132</v>
      </c>
      <c r="J413" s="23" t="s">
        <v>650</v>
      </c>
      <c r="K413" s="23" t="s">
        <v>650</v>
      </c>
      <c r="L413" s="23">
        <v>1</v>
      </c>
      <c r="M413" s="23" t="s">
        <v>78</v>
      </c>
      <c r="N413" s="23" t="s">
        <v>78</v>
      </c>
      <c r="O413" s="23">
        <v>44660</v>
      </c>
      <c r="P413" s="23" t="s">
        <v>79</v>
      </c>
      <c r="Q413" s="23" t="s">
        <v>83</v>
      </c>
      <c r="R413" s="23">
        <v>11100008</v>
      </c>
      <c r="S413" s="24">
        <v>46135</v>
      </c>
      <c r="T413" s="24">
        <v>46009</v>
      </c>
      <c r="U413" s="24">
        <v>46752</v>
      </c>
      <c r="X413" s="24">
        <v>45995</v>
      </c>
      <c r="Y413" s="23">
        <v>1111</v>
      </c>
      <c r="Z413" s="23">
        <v>11100002</v>
      </c>
      <c r="AA413" s="23">
        <v>5201</v>
      </c>
      <c r="AB413" s="24">
        <v>46009</v>
      </c>
    </row>
    <row r="414" spans="2:28" x14ac:dyDescent="0.2">
      <c r="C414" s="23">
        <v>1100571974</v>
      </c>
      <c r="E414" s="23">
        <v>20</v>
      </c>
      <c r="F414" s="23" t="s">
        <v>1471</v>
      </c>
      <c r="G414" s="23" t="s">
        <v>307</v>
      </c>
      <c r="H414" s="24">
        <v>46132</v>
      </c>
      <c r="I414" s="24">
        <v>46132</v>
      </c>
      <c r="J414" s="23" t="s">
        <v>650</v>
      </c>
      <c r="K414" s="23" t="s">
        <v>650</v>
      </c>
      <c r="L414" s="23">
        <v>1</v>
      </c>
      <c r="M414" s="23" t="s">
        <v>78</v>
      </c>
      <c r="N414" s="23" t="s">
        <v>78</v>
      </c>
      <c r="O414" s="23">
        <v>44660</v>
      </c>
      <c r="P414" s="23" t="s">
        <v>79</v>
      </c>
      <c r="Q414" s="23" t="s">
        <v>83</v>
      </c>
      <c r="R414" s="23">
        <v>11100008</v>
      </c>
      <c r="S414" s="24">
        <v>46135</v>
      </c>
      <c r="T414" s="24">
        <v>46009</v>
      </c>
      <c r="U414" s="24">
        <v>46752</v>
      </c>
      <c r="X414" s="24">
        <v>45995</v>
      </c>
      <c r="Y414" s="23">
        <v>1111</v>
      </c>
      <c r="Z414" s="23">
        <v>11100002</v>
      </c>
      <c r="AA414" s="23">
        <v>5201</v>
      </c>
      <c r="AB414" s="24">
        <v>46009</v>
      </c>
    </row>
    <row r="415" spans="2:28" x14ac:dyDescent="0.2">
      <c r="C415" s="23">
        <v>1100571974</v>
      </c>
      <c r="E415" s="23">
        <v>30</v>
      </c>
      <c r="F415" s="23" t="s">
        <v>84</v>
      </c>
      <c r="G415" s="23" t="s">
        <v>123</v>
      </c>
      <c r="H415" s="24">
        <v>46132</v>
      </c>
      <c r="I415" s="24">
        <v>46132</v>
      </c>
      <c r="J415" s="23" t="s">
        <v>650</v>
      </c>
      <c r="K415" s="23" t="s">
        <v>650</v>
      </c>
      <c r="L415" s="23">
        <v>1</v>
      </c>
      <c r="M415" s="23" t="s">
        <v>78</v>
      </c>
      <c r="N415" s="23" t="s">
        <v>78</v>
      </c>
      <c r="O415" s="23">
        <v>0.01</v>
      </c>
      <c r="P415" s="23" t="s">
        <v>79</v>
      </c>
      <c r="Q415" s="23" t="s">
        <v>83</v>
      </c>
      <c r="R415" s="23">
        <v>11100008</v>
      </c>
      <c r="S415" s="24" t="s">
        <v>80</v>
      </c>
      <c r="T415" s="24">
        <v>46009</v>
      </c>
      <c r="U415" s="24">
        <v>46752</v>
      </c>
      <c r="X415" s="24">
        <v>45995</v>
      </c>
      <c r="Y415" s="23">
        <v>1111</v>
      </c>
      <c r="Z415" s="23">
        <v>11100002</v>
      </c>
      <c r="AA415" s="23">
        <v>5201</v>
      </c>
      <c r="AB415" s="24">
        <v>46009</v>
      </c>
    </row>
    <row r="416" spans="2:28" x14ac:dyDescent="0.2">
      <c r="C416" s="23">
        <v>1100571974</v>
      </c>
      <c r="E416" s="23">
        <v>40</v>
      </c>
      <c r="F416" s="23" t="s">
        <v>82</v>
      </c>
      <c r="G416" s="23" t="s">
        <v>139</v>
      </c>
      <c r="H416" s="24">
        <v>46132</v>
      </c>
      <c r="I416" s="24">
        <v>46132</v>
      </c>
      <c r="J416" s="23" t="s">
        <v>650</v>
      </c>
      <c r="K416" s="23" t="s">
        <v>650</v>
      </c>
      <c r="L416" s="23">
        <v>1</v>
      </c>
      <c r="M416" s="23" t="s">
        <v>78</v>
      </c>
      <c r="N416" s="23" t="s">
        <v>78</v>
      </c>
      <c r="O416" s="23">
        <v>0.01</v>
      </c>
      <c r="P416" s="23" t="s">
        <v>79</v>
      </c>
      <c r="Q416" s="23" t="s">
        <v>83</v>
      </c>
      <c r="R416" s="23">
        <v>11100008</v>
      </c>
      <c r="S416" s="24" t="s">
        <v>80</v>
      </c>
      <c r="T416" s="24">
        <v>46009</v>
      </c>
      <c r="U416" s="24">
        <v>46752</v>
      </c>
      <c r="X416" s="24">
        <v>45995</v>
      </c>
      <c r="Y416" s="23">
        <v>1111</v>
      </c>
      <c r="Z416" s="23">
        <v>11100002</v>
      </c>
      <c r="AA416" s="23">
        <v>5201</v>
      </c>
      <c r="AB416" s="24">
        <v>46009</v>
      </c>
    </row>
    <row r="417" spans="2:28" x14ac:dyDescent="0.2">
      <c r="B417" s="23" t="s">
        <v>81</v>
      </c>
      <c r="C417" s="23">
        <v>1100571974</v>
      </c>
      <c r="H417" s="24">
        <v>46132</v>
      </c>
      <c r="O417" s="23">
        <v>89320.02</v>
      </c>
      <c r="P417" s="23" t="s">
        <v>79</v>
      </c>
    </row>
    <row r="418" spans="2:28" x14ac:dyDescent="0.2">
      <c r="C418" s="23">
        <v>1100574087</v>
      </c>
      <c r="E418" s="23">
        <v>10</v>
      </c>
      <c r="F418" s="23" t="s">
        <v>2379</v>
      </c>
      <c r="G418" s="23" t="s">
        <v>560</v>
      </c>
      <c r="H418" s="24">
        <v>46134</v>
      </c>
      <c r="I418" s="24">
        <v>46134</v>
      </c>
      <c r="J418" s="23" t="s">
        <v>157</v>
      </c>
      <c r="K418" s="23" t="s">
        <v>157</v>
      </c>
      <c r="L418" s="23">
        <v>1</v>
      </c>
      <c r="M418" s="23" t="s">
        <v>78</v>
      </c>
      <c r="N418" s="23" t="s">
        <v>78</v>
      </c>
      <c r="O418" s="23">
        <v>11045</v>
      </c>
      <c r="P418" s="23" t="s">
        <v>79</v>
      </c>
      <c r="Q418" s="23" t="s">
        <v>83</v>
      </c>
      <c r="R418" s="23">
        <v>11100008</v>
      </c>
      <c r="S418" s="24">
        <v>46134</v>
      </c>
      <c r="T418" s="24">
        <v>46038</v>
      </c>
      <c r="U418" s="24">
        <v>46134</v>
      </c>
      <c r="X418" s="24">
        <v>46035</v>
      </c>
      <c r="Y418" s="23">
        <v>1111</v>
      </c>
      <c r="Z418" s="23">
        <v>11100002</v>
      </c>
      <c r="AA418" s="23">
        <v>3312</v>
      </c>
      <c r="AB418" s="24">
        <v>46038</v>
      </c>
    </row>
    <row r="419" spans="2:28" x14ac:dyDescent="0.2">
      <c r="C419" s="23">
        <v>1100574087</v>
      </c>
      <c r="E419" s="23">
        <v>20</v>
      </c>
      <c r="F419" s="23" t="s">
        <v>84</v>
      </c>
      <c r="G419" s="23" t="s">
        <v>123</v>
      </c>
      <c r="H419" s="24">
        <v>46134</v>
      </c>
      <c r="I419" s="24">
        <v>46134</v>
      </c>
      <c r="J419" s="23" t="s">
        <v>157</v>
      </c>
      <c r="K419" s="23" t="s">
        <v>157</v>
      </c>
      <c r="L419" s="23">
        <v>1</v>
      </c>
      <c r="M419" s="23" t="s">
        <v>78</v>
      </c>
      <c r="N419" s="23" t="s">
        <v>78</v>
      </c>
      <c r="O419" s="23">
        <v>0.01</v>
      </c>
      <c r="P419" s="23" t="s">
        <v>79</v>
      </c>
      <c r="Q419" s="23" t="s">
        <v>83</v>
      </c>
      <c r="R419" s="23">
        <v>11100008</v>
      </c>
      <c r="S419" s="24" t="s">
        <v>80</v>
      </c>
      <c r="T419" s="24">
        <v>46038</v>
      </c>
      <c r="U419" s="24">
        <v>46134</v>
      </c>
      <c r="X419" s="24">
        <v>46035</v>
      </c>
      <c r="Y419" s="23">
        <v>1111</v>
      </c>
      <c r="Z419" s="23">
        <v>11100002</v>
      </c>
      <c r="AA419" s="23">
        <v>3312</v>
      </c>
      <c r="AB419" s="24">
        <v>46038</v>
      </c>
    </row>
    <row r="420" spans="2:28" x14ac:dyDescent="0.2">
      <c r="B420" s="23" t="s">
        <v>81</v>
      </c>
      <c r="C420" s="23">
        <v>1100574087</v>
      </c>
      <c r="H420" s="24">
        <v>46134</v>
      </c>
      <c r="O420" s="23">
        <v>11045.01</v>
      </c>
      <c r="P420" s="23" t="s">
        <v>79</v>
      </c>
    </row>
    <row r="421" spans="2:28" x14ac:dyDescent="0.2">
      <c r="C421" s="23">
        <v>1100572496</v>
      </c>
      <c r="E421" s="23">
        <v>10</v>
      </c>
      <c r="F421" s="23" t="s">
        <v>1473</v>
      </c>
      <c r="G421" s="23" t="s">
        <v>86</v>
      </c>
      <c r="H421" s="24">
        <v>46136</v>
      </c>
      <c r="I421" s="24">
        <v>46136</v>
      </c>
      <c r="J421" s="23" t="s">
        <v>296</v>
      </c>
      <c r="K421" s="23" t="s">
        <v>296</v>
      </c>
      <c r="L421" s="23">
        <v>1</v>
      </c>
      <c r="M421" s="23" t="s">
        <v>78</v>
      </c>
      <c r="N421" s="23" t="s">
        <v>78</v>
      </c>
      <c r="O421" s="23">
        <v>37070</v>
      </c>
      <c r="P421" s="23" t="s">
        <v>79</v>
      </c>
      <c r="Q421" s="23" t="s">
        <v>83</v>
      </c>
      <c r="R421" s="23">
        <v>11100299</v>
      </c>
      <c r="S421" s="24">
        <v>45747</v>
      </c>
      <c r="T421" s="24">
        <v>46020</v>
      </c>
      <c r="U421" s="24">
        <v>46136</v>
      </c>
      <c r="X421" s="24">
        <v>45999</v>
      </c>
      <c r="Y421" s="23">
        <v>1111</v>
      </c>
      <c r="Z421" s="23">
        <v>11100002</v>
      </c>
      <c r="AA421" s="23">
        <v>3901</v>
      </c>
      <c r="AB421" s="24">
        <v>46020</v>
      </c>
    </row>
    <row r="422" spans="2:28" x14ac:dyDescent="0.2">
      <c r="C422" s="23">
        <v>1100572496</v>
      </c>
      <c r="E422" s="23">
        <v>20</v>
      </c>
      <c r="F422" s="23" t="s">
        <v>84</v>
      </c>
      <c r="G422" s="23" t="s">
        <v>123</v>
      </c>
      <c r="H422" s="24">
        <v>46136</v>
      </c>
      <c r="I422" s="24">
        <v>46136</v>
      </c>
      <c r="J422" s="23" t="s">
        <v>296</v>
      </c>
      <c r="K422" s="23" t="s">
        <v>296</v>
      </c>
      <c r="L422" s="23">
        <v>1</v>
      </c>
      <c r="M422" s="23" t="s">
        <v>78</v>
      </c>
      <c r="N422" s="23" t="s">
        <v>78</v>
      </c>
      <c r="O422" s="23">
        <v>0.01</v>
      </c>
      <c r="P422" s="23" t="s">
        <v>79</v>
      </c>
      <c r="Q422" s="23" t="s">
        <v>83</v>
      </c>
      <c r="R422" s="23">
        <v>11100299</v>
      </c>
      <c r="S422" s="24" t="s">
        <v>80</v>
      </c>
      <c r="T422" s="24">
        <v>46020</v>
      </c>
      <c r="U422" s="24">
        <v>46136</v>
      </c>
      <c r="X422" s="24">
        <v>45999</v>
      </c>
      <c r="Y422" s="23">
        <v>1111</v>
      </c>
      <c r="Z422" s="23">
        <v>11100002</v>
      </c>
      <c r="AA422" s="23">
        <v>3901</v>
      </c>
      <c r="AB422" s="24">
        <v>46020</v>
      </c>
    </row>
    <row r="423" spans="2:28" x14ac:dyDescent="0.2">
      <c r="C423" s="23">
        <v>1100572496</v>
      </c>
      <c r="E423" s="23">
        <v>30</v>
      </c>
      <c r="F423" s="23" t="s">
        <v>82</v>
      </c>
      <c r="G423" s="23" t="s">
        <v>139</v>
      </c>
      <c r="H423" s="24">
        <v>46136</v>
      </c>
      <c r="I423" s="24">
        <v>46136</v>
      </c>
      <c r="J423" s="23" t="s">
        <v>296</v>
      </c>
      <c r="K423" s="23" t="s">
        <v>296</v>
      </c>
      <c r="L423" s="23">
        <v>1</v>
      </c>
      <c r="M423" s="23" t="s">
        <v>78</v>
      </c>
      <c r="N423" s="23" t="s">
        <v>78</v>
      </c>
      <c r="O423" s="23">
        <v>0.01</v>
      </c>
      <c r="P423" s="23" t="s">
        <v>79</v>
      </c>
      <c r="Q423" s="23" t="s">
        <v>83</v>
      </c>
      <c r="R423" s="23">
        <v>11100299</v>
      </c>
      <c r="S423" s="24" t="s">
        <v>80</v>
      </c>
      <c r="T423" s="24">
        <v>46020</v>
      </c>
      <c r="U423" s="24">
        <v>46136</v>
      </c>
      <c r="X423" s="24">
        <v>45999</v>
      </c>
      <c r="Y423" s="23">
        <v>1111</v>
      </c>
      <c r="Z423" s="23">
        <v>11100002</v>
      </c>
      <c r="AA423" s="23">
        <v>3901</v>
      </c>
      <c r="AB423" s="24">
        <v>46020</v>
      </c>
    </row>
    <row r="424" spans="2:28" x14ac:dyDescent="0.2">
      <c r="B424" s="23" t="s">
        <v>81</v>
      </c>
      <c r="C424" s="23">
        <v>1100572496</v>
      </c>
      <c r="H424" s="24">
        <v>46136</v>
      </c>
      <c r="O424" s="23">
        <v>37070.019999999997</v>
      </c>
      <c r="P424" s="23" t="s">
        <v>79</v>
      </c>
    </row>
    <row r="425" spans="2:28" x14ac:dyDescent="0.2">
      <c r="C425" s="23">
        <v>1100573196</v>
      </c>
      <c r="E425" s="23">
        <v>10</v>
      </c>
      <c r="F425" s="23" t="s">
        <v>2380</v>
      </c>
      <c r="G425" s="23" t="s">
        <v>2381</v>
      </c>
      <c r="H425" s="24">
        <v>46136</v>
      </c>
      <c r="I425" s="24">
        <v>46136</v>
      </c>
      <c r="J425" s="23" t="s">
        <v>499</v>
      </c>
      <c r="K425" s="23" t="s">
        <v>499</v>
      </c>
      <c r="L425" s="23">
        <v>1</v>
      </c>
      <c r="M425" s="23" t="s">
        <v>78</v>
      </c>
      <c r="N425" s="23" t="s">
        <v>78</v>
      </c>
      <c r="O425" s="23">
        <v>34561</v>
      </c>
      <c r="P425" s="23" t="s">
        <v>79</v>
      </c>
      <c r="Q425" s="23" t="s">
        <v>83</v>
      </c>
      <c r="R425" s="23">
        <v>11100018</v>
      </c>
      <c r="S425" s="24">
        <v>46057</v>
      </c>
      <c r="T425" s="24">
        <v>46030</v>
      </c>
      <c r="U425" s="24" t="s">
        <v>80</v>
      </c>
      <c r="X425" s="24">
        <v>46030</v>
      </c>
      <c r="Y425" s="23">
        <v>1111</v>
      </c>
      <c r="Z425" s="23">
        <v>11100305</v>
      </c>
      <c r="AA425" s="23">
        <v>330103</v>
      </c>
      <c r="AB425" s="24">
        <v>46030</v>
      </c>
    </row>
    <row r="426" spans="2:28" x14ac:dyDescent="0.2">
      <c r="C426" s="23">
        <v>1100573196</v>
      </c>
      <c r="E426" s="23">
        <v>20</v>
      </c>
      <c r="F426" s="23" t="s">
        <v>293</v>
      </c>
      <c r="G426" s="23" t="s">
        <v>294</v>
      </c>
      <c r="H426" s="24">
        <v>46136</v>
      </c>
      <c r="I426" s="24">
        <v>47118</v>
      </c>
      <c r="J426" s="23" t="s">
        <v>499</v>
      </c>
      <c r="K426" s="23" t="s">
        <v>499</v>
      </c>
      <c r="L426" s="23">
        <v>1</v>
      </c>
      <c r="M426" s="23" t="s">
        <v>78</v>
      </c>
      <c r="N426" s="23" t="s">
        <v>78</v>
      </c>
      <c r="O426" s="23">
        <v>8900</v>
      </c>
      <c r="P426" s="23" t="s">
        <v>79</v>
      </c>
      <c r="Q426" s="23" t="s">
        <v>83</v>
      </c>
      <c r="R426" s="23">
        <v>11100018</v>
      </c>
      <c r="S426" s="24">
        <v>46057</v>
      </c>
      <c r="T426" s="24">
        <v>46030</v>
      </c>
      <c r="U426" s="24" t="s">
        <v>80</v>
      </c>
      <c r="X426" s="24">
        <v>46030</v>
      </c>
      <c r="Y426" s="23">
        <v>1111</v>
      </c>
      <c r="Z426" s="23">
        <v>11100305</v>
      </c>
      <c r="AA426" s="23">
        <v>330103</v>
      </c>
      <c r="AB426" s="24">
        <v>46030</v>
      </c>
    </row>
    <row r="427" spans="2:28" x14ac:dyDescent="0.2">
      <c r="C427" s="23">
        <v>1100573196</v>
      </c>
      <c r="E427" s="23">
        <v>30</v>
      </c>
      <c r="F427" s="23" t="s">
        <v>84</v>
      </c>
      <c r="G427" s="23" t="s">
        <v>123</v>
      </c>
      <c r="H427" s="24">
        <v>46136</v>
      </c>
      <c r="I427" s="24">
        <v>46136</v>
      </c>
      <c r="J427" s="23" t="s">
        <v>499</v>
      </c>
      <c r="K427" s="23" t="s">
        <v>499</v>
      </c>
      <c r="L427" s="23">
        <v>1</v>
      </c>
      <c r="M427" s="23" t="s">
        <v>78</v>
      </c>
      <c r="N427" s="23" t="s">
        <v>78</v>
      </c>
      <c r="O427" s="23">
        <v>0.01</v>
      </c>
      <c r="P427" s="23" t="s">
        <v>79</v>
      </c>
      <c r="Q427" s="23" t="s">
        <v>83</v>
      </c>
      <c r="R427" s="23">
        <v>11100018</v>
      </c>
      <c r="S427" s="24">
        <v>46057</v>
      </c>
      <c r="T427" s="24">
        <v>46030</v>
      </c>
      <c r="U427" s="24" t="s">
        <v>80</v>
      </c>
      <c r="X427" s="24">
        <v>46030</v>
      </c>
      <c r="Y427" s="23">
        <v>1111</v>
      </c>
      <c r="Z427" s="23">
        <v>11100305</v>
      </c>
      <c r="AA427" s="23">
        <v>330103</v>
      </c>
      <c r="AB427" s="24">
        <v>46030</v>
      </c>
    </row>
    <row r="428" spans="2:28" x14ac:dyDescent="0.2">
      <c r="C428" s="23">
        <v>1100573196</v>
      </c>
      <c r="E428" s="23">
        <v>40</v>
      </c>
      <c r="F428" s="23" t="s">
        <v>82</v>
      </c>
      <c r="G428" s="23" t="s">
        <v>139</v>
      </c>
      <c r="H428" s="24">
        <v>46136</v>
      </c>
      <c r="I428" s="24">
        <v>46136</v>
      </c>
      <c r="J428" s="23" t="s">
        <v>499</v>
      </c>
      <c r="K428" s="23" t="s">
        <v>499</v>
      </c>
      <c r="L428" s="23">
        <v>1</v>
      </c>
      <c r="M428" s="23" t="s">
        <v>78</v>
      </c>
      <c r="N428" s="23" t="s">
        <v>78</v>
      </c>
      <c r="O428" s="23">
        <v>0.01</v>
      </c>
      <c r="P428" s="23" t="s">
        <v>79</v>
      </c>
      <c r="Q428" s="23" t="s">
        <v>83</v>
      </c>
      <c r="R428" s="23">
        <v>11100018</v>
      </c>
      <c r="S428" s="24" t="s">
        <v>80</v>
      </c>
      <c r="T428" s="24">
        <v>46030</v>
      </c>
      <c r="U428" s="24" t="s">
        <v>80</v>
      </c>
      <c r="X428" s="24">
        <v>46030</v>
      </c>
      <c r="Y428" s="23">
        <v>1111</v>
      </c>
      <c r="Z428" s="23">
        <v>11100305</v>
      </c>
      <c r="AA428" s="23">
        <v>330103</v>
      </c>
      <c r="AB428" s="24">
        <v>46030</v>
      </c>
    </row>
    <row r="429" spans="2:28" x14ac:dyDescent="0.2">
      <c r="B429" s="23" t="s">
        <v>81</v>
      </c>
      <c r="C429" s="23">
        <v>1100573196</v>
      </c>
      <c r="H429" s="24">
        <v>46136</v>
      </c>
      <c r="O429" s="23">
        <v>43461.02</v>
      </c>
      <c r="P429" s="23" t="s">
        <v>79</v>
      </c>
    </row>
    <row r="430" spans="2:28" x14ac:dyDescent="0.2">
      <c r="C430" s="23">
        <v>1100576530</v>
      </c>
      <c r="E430" s="23">
        <v>10</v>
      </c>
      <c r="F430" s="23" t="s">
        <v>2382</v>
      </c>
      <c r="G430" s="23" t="s">
        <v>292</v>
      </c>
      <c r="H430" s="24">
        <v>46136</v>
      </c>
      <c r="I430" s="24">
        <v>46136</v>
      </c>
      <c r="J430" s="23" t="s">
        <v>2383</v>
      </c>
      <c r="K430" s="23" t="s">
        <v>2383</v>
      </c>
      <c r="L430" s="23">
        <v>1</v>
      </c>
      <c r="M430" s="23" t="s">
        <v>78</v>
      </c>
      <c r="N430" s="23" t="s">
        <v>78</v>
      </c>
      <c r="O430" s="23">
        <v>30786</v>
      </c>
      <c r="P430" s="23" t="s">
        <v>79</v>
      </c>
      <c r="Q430" s="23" t="s">
        <v>83</v>
      </c>
      <c r="R430" s="23">
        <v>11100018</v>
      </c>
      <c r="S430" s="24">
        <v>46136</v>
      </c>
      <c r="T430" s="24">
        <v>46064</v>
      </c>
      <c r="U430" s="24" t="s">
        <v>80</v>
      </c>
      <c r="X430" s="24">
        <v>46059</v>
      </c>
      <c r="Y430" s="23">
        <v>1111</v>
      </c>
      <c r="Z430" s="23">
        <v>11100002</v>
      </c>
      <c r="AA430" s="23">
        <v>3901</v>
      </c>
      <c r="AB430" s="24">
        <v>46064</v>
      </c>
    </row>
    <row r="431" spans="2:28" x14ac:dyDescent="0.2">
      <c r="C431" s="23">
        <v>1100576530</v>
      </c>
      <c r="E431" s="23">
        <v>20</v>
      </c>
      <c r="F431" s="23" t="s">
        <v>88</v>
      </c>
      <c r="G431" s="23" t="s">
        <v>158</v>
      </c>
      <c r="H431" s="24">
        <v>46136</v>
      </c>
      <c r="I431" s="24">
        <v>46136</v>
      </c>
      <c r="J431" s="23" t="s">
        <v>2383</v>
      </c>
      <c r="K431" s="23" t="s">
        <v>2383</v>
      </c>
      <c r="L431" s="23">
        <v>1</v>
      </c>
      <c r="M431" s="23" t="s">
        <v>78</v>
      </c>
      <c r="N431" s="23" t="s">
        <v>78</v>
      </c>
      <c r="O431" s="23">
        <v>0.01</v>
      </c>
      <c r="P431" s="23" t="s">
        <v>79</v>
      </c>
      <c r="Q431" s="23" t="s">
        <v>83</v>
      </c>
      <c r="R431" s="23">
        <v>11100018</v>
      </c>
      <c r="S431" s="24" t="s">
        <v>80</v>
      </c>
      <c r="T431" s="24">
        <v>46064</v>
      </c>
      <c r="U431" s="24" t="s">
        <v>80</v>
      </c>
      <c r="X431" s="24">
        <v>46059</v>
      </c>
      <c r="Y431" s="23">
        <v>1111</v>
      </c>
      <c r="Z431" s="23">
        <v>11100002</v>
      </c>
      <c r="AA431" s="23">
        <v>3901</v>
      </c>
      <c r="AB431" s="24">
        <v>46064</v>
      </c>
    </row>
    <row r="432" spans="2:28" x14ac:dyDescent="0.2">
      <c r="C432" s="23">
        <v>1100576530</v>
      </c>
      <c r="E432" s="23">
        <v>30</v>
      </c>
      <c r="F432" s="23" t="s">
        <v>84</v>
      </c>
      <c r="G432" s="23" t="s">
        <v>123</v>
      </c>
      <c r="H432" s="24">
        <v>46136</v>
      </c>
      <c r="I432" s="24">
        <v>46136</v>
      </c>
      <c r="J432" s="23" t="s">
        <v>2383</v>
      </c>
      <c r="K432" s="23" t="s">
        <v>2383</v>
      </c>
      <c r="L432" s="23">
        <v>1</v>
      </c>
      <c r="M432" s="23" t="s">
        <v>78</v>
      </c>
      <c r="N432" s="23" t="s">
        <v>78</v>
      </c>
      <c r="O432" s="23">
        <v>0.01</v>
      </c>
      <c r="P432" s="23" t="s">
        <v>79</v>
      </c>
      <c r="Q432" s="23" t="s">
        <v>83</v>
      </c>
      <c r="R432" s="23">
        <v>11100018</v>
      </c>
      <c r="S432" s="24" t="s">
        <v>80</v>
      </c>
      <c r="T432" s="24">
        <v>46064</v>
      </c>
      <c r="U432" s="24" t="s">
        <v>80</v>
      </c>
      <c r="X432" s="24">
        <v>46059</v>
      </c>
      <c r="Y432" s="23">
        <v>1111</v>
      </c>
      <c r="Z432" s="23">
        <v>11100002</v>
      </c>
      <c r="AA432" s="23">
        <v>3901</v>
      </c>
      <c r="AB432" s="24">
        <v>46064</v>
      </c>
    </row>
    <row r="433" spans="2:28" x14ac:dyDescent="0.2">
      <c r="B433" s="23" t="s">
        <v>81</v>
      </c>
      <c r="C433" s="23">
        <v>1100576530</v>
      </c>
      <c r="H433" s="24">
        <v>46136</v>
      </c>
      <c r="O433" s="23">
        <v>30786.02</v>
      </c>
      <c r="P433" s="23" t="s">
        <v>79</v>
      </c>
    </row>
    <row r="434" spans="2:28" x14ac:dyDescent="0.2">
      <c r="C434" s="23">
        <v>1100576898</v>
      </c>
      <c r="E434" s="23">
        <v>10</v>
      </c>
      <c r="F434" s="23" t="s">
        <v>2384</v>
      </c>
      <c r="G434" s="23" t="s">
        <v>2385</v>
      </c>
      <c r="H434" s="24">
        <v>46136</v>
      </c>
      <c r="I434" s="24">
        <v>46136</v>
      </c>
      <c r="J434" s="23" t="s">
        <v>2386</v>
      </c>
      <c r="K434" s="23" t="s">
        <v>2386</v>
      </c>
      <c r="L434" s="23">
        <v>1</v>
      </c>
      <c r="M434" s="23" t="s">
        <v>78</v>
      </c>
      <c r="N434" s="23" t="s">
        <v>78</v>
      </c>
      <c r="O434" s="23">
        <v>14600</v>
      </c>
      <c r="P434" s="23" t="s">
        <v>79</v>
      </c>
      <c r="Q434" s="23" t="s">
        <v>83</v>
      </c>
      <c r="R434" s="23">
        <v>11100008</v>
      </c>
      <c r="S434" s="24">
        <v>46153</v>
      </c>
      <c r="T434" s="24">
        <v>46069</v>
      </c>
      <c r="U434" s="24" t="s">
        <v>80</v>
      </c>
      <c r="X434" s="24">
        <v>46059</v>
      </c>
      <c r="Y434" s="23">
        <v>1111</v>
      </c>
      <c r="Z434" s="23">
        <v>11100002</v>
      </c>
      <c r="AA434" s="23">
        <v>5112</v>
      </c>
      <c r="AB434" s="24">
        <v>46069</v>
      </c>
    </row>
    <row r="435" spans="2:28" x14ac:dyDescent="0.2">
      <c r="C435" s="23">
        <v>1100576898</v>
      </c>
      <c r="E435" s="23">
        <v>20</v>
      </c>
      <c r="F435" s="23" t="s">
        <v>84</v>
      </c>
      <c r="G435" s="23" t="s">
        <v>123</v>
      </c>
      <c r="H435" s="24">
        <v>46136</v>
      </c>
      <c r="I435" s="24">
        <v>46136</v>
      </c>
      <c r="J435" s="23" t="s">
        <v>2386</v>
      </c>
      <c r="K435" s="23" t="s">
        <v>2386</v>
      </c>
      <c r="L435" s="23">
        <v>1</v>
      </c>
      <c r="M435" s="23" t="s">
        <v>78</v>
      </c>
      <c r="N435" s="23" t="s">
        <v>78</v>
      </c>
      <c r="O435" s="23">
        <v>0.01</v>
      </c>
      <c r="P435" s="23" t="s">
        <v>79</v>
      </c>
      <c r="Q435" s="23" t="s">
        <v>83</v>
      </c>
      <c r="R435" s="23">
        <v>11100008</v>
      </c>
      <c r="S435" s="24" t="s">
        <v>80</v>
      </c>
      <c r="T435" s="24">
        <v>46069</v>
      </c>
      <c r="U435" s="24" t="s">
        <v>80</v>
      </c>
      <c r="X435" s="24">
        <v>46059</v>
      </c>
      <c r="Y435" s="23">
        <v>1111</v>
      </c>
      <c r="Z435" s="23">
        <v>11100002</v>
      </c>
      <c r="AA435" s="23">
        <v>5112</v>
      </c>
      <c r="AB435" s="24">
        <v>46069</v>
      </c>
    </row>
    <row r="436" spans="2:28" x14ac:dyDescent="0.2">
      <c r="C436" s="23">
        <v>1100576898</v>
      </c>
      <c r="E436" s="23">
        <v>30</v>
      </c>
      <c r="F436" s="23" t="s">
        <v>82</v>
      </c>
      <c r="G436" s="23" t="s">
        <v>139</v>
      </c>
      <c r="H436" s="24">
        <v>46136</v>
      </c>
      <c r="I436" s="24">
        <v>46136</v>
      </c>
      <c r="J436" s="23" t="s">
        <v>2386</v>
      </c>
      <c r="K436" s="23" t="s">
        <v>2386</v>
      </c>
      <c r="L436" s="23">
        <v>1</v>
      </c>
      <c r="M436" s="23" t="s">
        <v>78</v>
      </c>
      <c r="N436" s="23" t="s">
        <v>78</v>
      </c>
      <c r="O436" s="23">
        <v>0.01</v>
      </c>
      <c r="P436" s="23" t="s">
        <v>79</v>
      </c>
      <c r="Q436" s="23" t="s">
        <v>83</v>
      </c>
      <c r="R436" s="23">
        <v>11100008</v>
      </c>
      <c r="S436" s="24" t="s">
        <v>80</v>
      </c>
      <c r="T436" s="24">
        <v>46069</v>
      </c>
      <c r="U436" s="24" t="s">
        <v>80</v>
      </c>
      <c r="X436" s="24">
        <v>46059</v>
      </c>
      <c r="Y436" s="23">
        <v>1111</v>
      </c>
      <c r="Z436" s="23">
        <v>11100002</v>
      </c>
      <c r="AA436" s="23">
        <v>5112</v>
      </c>
      <c r="AB436" s="24">
        <v>46069</v>
      </c>
    </row>
    <row r="437" spans="2:28" x14ac:dyDescent="0.2">
      <c r="B437" s="23" t="s">
        <v>81</v>
      </c>
      <c r="C437" s="23">
        <v>1100576898</v>
      </c>
      <c r="H437" s="24">
        <v>46136</v>
      </c>
      <c r="O437" s="23">
        <v>14600.02</v>
      </c>
      <c r="P437" s="23" t="s">
        <v>79</v>
      </c>
    </row>
    <row r="438" spans="2:28" x14ac:dyDescent="0.2">
      <c r="C438" s="23">
        <v>1100577711</v>
      </c>
      <c r="E438" s="23">
        <v>10</v>
      </c>
      <c r="F438" s="23" t="s">
        <v>2387</v>
      </c>
      <c r="G438" s="23" t="s">
        <v>553</v>
      </c>
      <c r="H438" s="24">
        <v>46136</v>
      </c>
      <c r="I438" s="24">
        <v>46136</v>
      </c>
      <c r="J438" s="23" t="s">
        <v>2388</v>
      </c>
      <c r="K438" s="23" t="s">
        <v>2388</v>
      </c>
      <c r="L438" s="23">
        <v>2</v>
      </c>
      <c r="M438" s="23" t="s">
        <v>78</v>
      </c>
      <c r="N438" s="23" t="s">
        <v>78</v>
      </c>
      <c r="O438" s="23">
        <v>15224</v>
      </c>
      <c r="P438" s="23" t="s">
        <v>79</v>
      </c>
      <c r="Q438" s="23" t="s">
        <v>83</v>
      </c>
      <c r="R438" s="23">
        <v>11100176</v>
      </c>
      <c r="S438" s="24">
        <v>46136</v>
      </c>
      <c r="T438" s="24">
        <v>46076</v>
      </c>
      <c r="U438" s="24">
        <v>46136</v>
      </c>
      <c r="X438" s="24">
        <v>46062</v>
      </c>
      <c r="Y438" s="23">
        <v>1111</v>
      </c>
      <c r="Z438" s="23">
        <v>11100002</v>
      </c>
      <c r="AA438" s="23">
        <v>3312</v>
      </c>
      <c r="AB438" s="24">
        <v>46076</v>
      </c>
    </row>
    <row r="439" spans="2:28" x14ac:dyDescent="0.2">
      <c r="B439" s="23" t="s">
        <v>81</v>
      </c>
      <c r="C439" s="23">
        <v>1100577711</v>
      </c>
      <c r="H439" s="24">
        <v>46136</v>
      </c>
      <c r="O439" s="23">
        <v>15224</v>
      </c>
      <c r="P439" s="23" t="s">
        <v>79</v>
      </c>
    </row>
    <row r="440" spans="2:28" x14ac:dyDescent="0.2">
      <c r="C440" s="23">
        <v>1100571797</v>
      </c>
      <c r="E440" s="23">
        <v>10</v>
      </c>
      <c r="F440" s="23" t="s">
        <v>87</v>
      </c>
      <c r="G440" s="23" t="s">
        <v>1559</v>
      </c>
      <c r="H440" s="24">
        <v>46138</v>
      </c>
      <c r="I440" s="24">
        <v>46138</v>
      </c>
      <c r="J440" s="23" t="s">
        <v>685</v>
      </c>
      <c r="K440" s="23" t="s">
        <v>685</v>
      </c>
      <c r="L440" s="23">
        <v>1</v>
      </c>
      <c r="M440" s="23" t="s">
        <v>78</v>
      </c>
      <c r="N440" s="23" t="s">
        <v>78</v>
      </c>
      <c r="O440" s="23">
        <v>18030</v>
      </c>
      <c r="P440" s="23" t="s">
        <v>79</v>
      </c>
      <c r="Q440" s="23" t="s">
        <v>83</v>
      </c>
      <c r="R440" s="23">
        <v>11100018</v>
      </c>
      <c r="S440" s="24" t="s">
        <v>80</v>
      </c>
      <c r="T440" s="24">
        <v>46008</v>
      </c>
      <c r="U440" s="24">
        <v>46752</v>
      </c>
      <c r="X440" s="24" t="s">
        <v>80</v>
      </c>
      <c r="Y440" s="23">
        <v>1111</v>
      </c>
      <c r="Z440" s="23">
        <v>11100303</v>
      </c>
      <c r="AA440" s="23">
        <v>501203</v>
      </c>
      <c r="AB440" s="24" t="s">
        <v>80</v>
      </c>
    </row>
    <row r="441" spans="2:28" x14ac:dyDescent="0.2">
      <c r="C441" s="23">
        <v>1100571797</v>
      </c>
      <c r="E441" s="23">
        <v>30</v>
      </c>
      <c r="F441" s="23" t="s">
        <v>84</v>
      </c>
      <c r="G441" s="23" t="s">
        <v>123</v>
      </c>
      <c r="H441" s="24">
        <v>46138</v>
      </c>
      <c r="I441" s="24">
        <v>46138</v>
      </c>
      <c r="J441" s="23" t="s">
        <v>685</v>
      </c>
      <c r="K441" s="23" t="s">
        <v>685</v>
      </c>
      <c r="L441" s="23">
        <v>1</v>
      </c>
      <c r="M441" s="23" t="s">
        <v>78</v>
      </c>
      <c r="N441" s="23" t="s">
        <v>78</v>
      </c>
      <c r="O441" s="23">
        <v>0.01</v>
      </c>
      <c r="P441" s="23" t="s">
        <v>79</v>
      </c>
      <c r="Q441" s="23" t="s">
        <v>83</v>
      </c>
      <c r="R441" s="23">
        <v>11100018</v>
      </c>
      <c r="S441" s="24" t="s">
        <v>80</v>
      </c>
      <c r="T441" s="24">
        <v>46008</v>
      </c>
      <c r="U441" s="24">
        <v>46752</v>
      </c>
      <c r="X441" s="24">
        <v>46000</v>
      </c>
      <c r="Y441" s="23">
        <v>1111</v>
      </c>
      <c r="Z441" s="23">
        <v>11100303</v>
      </c>
      <c r="AA441" s="23">
        <v>501203</v>
      </c>
      <c r="AB441" s="24">
        <v>46008</v>
      </c>
    </row>
    <row r="442" spans="2:28" x14ac:dyDescent="0.2">
      <c r="C442" s="23">
        <v>1100571797</v>
      </c>
      <c r="E442" s="23">
        <v>70</v>
      </c>
      <c r="F442" s="23" t="s">
        <v>87</v>
      </c>
      <c r="G442" s="23" t="s">
        <v>2389</v>
      </c>
      <c r="H442" s="24">
        <v>46138</v>
      </c>
      <c r="I442" s="24">
        <v>46138</v>
      </c>
      <c r="J442" s="23" t="s">
        <v>685</v>
      </c>
      <c r="K442" s="23" t="s">
        <v>685</v>
      </c>
      <c r="L442" s="23">
        <v>1</v>
      </c>
      <c r="M442" s="23" t="s">
        <v>78</v>
      </c>
      <c r="N442" s="23" t="s">
        <v>78</v>
      </c>
      <c r="O442" s="23">
        <v>6500</v>
      </c>
      <c r="P442" s="23" t="s">
        <v>79</v>
      </c>
      <c r="Q442" s="23" t="s">
        <v>83</v>
      </c>
      <c r="R442" s="23">
        <v>11100018</v>
      </c>
      <c r="S442" s="24" t="s">
        <v>80</v>
      </c>
      <c r="T442" s="24">
        <v>46008</v>
      </c>
      <c r="U442" s="24">
        <v>46752</v>
      </c>
      <c r="X442" s="24" t="s">
        <v>80</v>
      </c>
      <c r="Y442" s="23">
        <v>1111</v>
      </c>
      <c r="Z442" s="23">
        <v>11100303</v>
      </c>
      <c r="AA442" s="23">
        <v>501203</v>
      </c>
      <c r="AB442" s="24" t="s">
        <v>80</v>
      </c>
    </row>
    <row r="443" spans="2:28" x14ac:dyDescent="0.2">
      <c r="B443" s="23" t="s">
        <v>81</v>
      </c>
      <c r="C443" s="23">
        <v>1100571797</v>
      </c>
      <c r="H443" s="24">
        <v>46138</v>
      </c>
      <c r="O443" s="23">
        <v>24530.01</v>
      </c>
      <c r="P443" s="23" t="s">
        <v>79</v>
      </c>
    </row>
    <row r="444" spans="2:28" x14ac:dyDescent="0.2">
      <c r="C444" s="23">
        <v>1100562049</v>
      </c>
      <c r="E444" s="23">
        <v>11</v>
      </c>
      <c r="F444" s="23" t="s">
        <v>1375</v>
      </c>
      <c r="G444" s="23" t="s">
        <v>86</v>
      </c>
      <c r="H444" s="24">
        <v>46140</v>
      </c>
      <c r="I444" s="24">
        <v>46140</v>
      </c>
      <c r="J444" s="23" t="s">
        <v>147</v>
      </c>
      <c r="K444" s="23" t="s">
        <v>147</v>
      </c>
      <c r="L444" s="23">
        <v>1</v>
      </c>
      <c r="M444" s="23" t="s">
        <v>78</v>
      </c>
      <c r="N444" s="23" t="s">
        <v>78</v>
      </c>
      <c r="O444" s="23">
        <v>43838</v>
      </c>
      <c r="P444" s="23" t="s">
        <v>79</v>
      </c>
      <c r="Q444" s="23" t="s">
        <v>83</v>
      </c>
      <c r="R444" s="23">
        <v>11100018</v>
      </c>
      <c r="S444" s="24" t="s">
        <v>80</v>
      </c>
      <c r="T444" s="24">
        <v>45908</v>
      </c>
      <c r="U444" s="24">
        <v>46752</v>
      </c>
      <c r="X444" s="24">
        <v>45891</v>
      </c>
      <c r="Y444" s="23">
        <v>1111</v>
      </c>
      <c r="Z444" s="23">
        <v>11100002</v>
      </c>
      <c r="AA444" s="23">
        <v>3301</v>
      </c>
      <c r="AB444" s="24">
        <v>45908</v>
      </c>
    </row>
    <row r="445" spans="2:28" x14ac:dyDescent="0.2">
      <c r="C445" s="23">
        <v>1100562049</v>
      </c>
      <c r="E445" s="23">
        <v>20</v>
      </c>
      <c r="F445" s="23" t="s">
        <v>2390</v>
      </c>
      <c r="G445" s="23" t="s">
        <v>2391</v>
      </c>
      <c r="H445" s="24">
        <v>46140</v>
      </c>
      <c r="I445" s="24">
        <v>46140</v>
      </c>
      <c r="J445" s="23" t="s">
        <v>147</v>
      </c>
      <c r="K445" s="23" t="s">
        <v>147</v>
      </c>
      <c r="L445" s="23">
        <v>1</v>
      </c>
      <c r="M445" s="23" t="s">
        <v>78</v>
      </c>
      <c r="N445" s="23" t="s">
        <v>78</v>
      </c>
      <c r="O445" s="23">
        <v>1853</v>
      </c>
      <c r="P445" s="23" t="s">
        <v>79</v>
      </c>
      <c r="Q445" s="23" t="s">
        <v>83</v>
      </c>
      <c r="R445" s="23">
        <v>11100018</v>
      </c>
      <c r="S445" s="24">
        <v>45973</v>
      </c>
      <c r="T445" s="24">
        <v>45908</v>
      </c>
      <c r="U445" s="24">
        <v>46752</v>
      </c>
      <c r="X445" s="24">
        <v>45891</v>
      </c>
      <c r="Y445" s="23">
        <v>1111</v>
      </c>
      <c r="Z445" s="23">
        <v>11100002</v>
      </c>
      <c r="AA445" s="23">
        <v>3301</v>
      </c>
      <c r="AB445" s="24">
        <v>45908</v>
      </c>
    </row>
    <row r="446" spans="2:28" x14ac:dyDescent="0.2">
      <c r="C446" s="23">
        <v>1100562049</v>
      </c>
      <c r="E446" s="23">
        <v>30</v>
      </c>
      <c r="F446" s="23" t="s">
        <v>2392</v>
      </c>
      <c r="G446" s="23" t="s">
        <v>2393</v>
      </c>
      <c r="H446" s="24">
        <v>46140</v>
      </c>
      <c r="I446" s="24">
        <v>46140</v>
      </c>
      <c r="J446" s="23" t="s">
        <v>147</v>
      </c>
      <c r="K446" s="23" t="s">
        <v>147</v>
      </c>
      <c r="L446" s="23">
        <v>1</v>
      </c>
      <c r="M446" s="23" t="s">
        <v>78</v>
      </c>
      <c r="N446" s="23" t="s">
        <v>78</v>
      </c>
      <c r="O446" s="23">
        <v>1853</v>
      </c>
      <c r="P446" s="23" t="s">
        <v>79</v>
      </c>
      <c r="Q446" s="23" t="s">
        <v>83</v>
      </c>
      <c r="R446" s="23">
        <v>11100018</v>
      </c>
      <c r="S446" s="24">
        <v>45973</v>
      </c>
      <c r="T446" s="24">
        <v>45908</v>
      </c>
      <c r="U446" s="24">
        <v>46752</v>
      </c>
      <c r="X446" s="24">
        <v>45891</v>
      </c>
      <c r="Y446" s="23">
        <v>1111</v>
      </c>
      <c r="Z446" s="23">
        <v>11100002</v>
      </c>
      <c r="AA446" s="23">
        <v>3301</v>
      </c>
      <c r="AB446" s="24">
        <v>45908</v>
      </c>
    </row>
    <row r="447" spans="2:28" x14ac:dyDescent="0.2">
      <c r="C447" s="23">
        <v>1100562049</v>
      </c>
      <c r="E447" s="23">
        <v>60</v>
      </c>
      <c r="F447" s="23" t="s">
        <v>1376</v>
      </c>
      <c r="G447" s="23" t="s">
        <v>86</v>
      </c>
      <c r="H447" s="24">
        <v>46140</v>
      </c>
      <c r="I447" s="24">
        <v>46140</v>
      </c>
      <c r="J447" s="23" t="s">
        <v>147</v>
      </c>
      <c r="K447" s="23" t="s">
        <v>147</v>
      </c>
      <c r="L447" s="23">
        <v>1</v>
      </c>
      <c r="M447" s="23" t="s">
        <v>78</v>
      </c>
      <c r="N447" s="23" t="s">
        <v>78</v>
      </c>
      <c r="O447" s="23">
        <v>41819</v>
      </c>
      <c r="P447" s="23" t="s">
        <v>79</v>
      </c>
      <c r="Q447" s="23" t="s">
        <v>83</v>
      </c>
      <c r="R447" s="23">
        <v>11100018</v>
      </c>
      <c r="S447" s="24">
        <v>45973</v>
      </c>
      <c r="T447" s="24">
        <v>45908</v>
      </c>
      <c r="U447" s="24">
        <v>46752</v>
      </c>
      <c r="X447" s="24">
        <v>45891</v>
      </c>
      <c r="Y447" s="23">
        <v>1111</v>
      </c>
      <c r="Z447" s="23">
        <v>11100002</v>
      </c>
      <c r="AA447" s="23">
        <v>3301</v>
      </c>
      <c r="AB447" s="24">
        <v>45908</v>
      </c>
    </row>
    <row r="448" spans="2:28" x14ac:dyDescent="0.2">
      <c r="C448" s="23">
        <v>1100562049</v>
      </c>
      <c r="E448" s="23">
        <v>70</v>
      </c>
      <c r="F448" s="23" t="s">
        <v>2394</v>
      </c>
      <c r="G448" s="23" t="s">
        <v>2395</v>
      </c>
      <c r="H448" s="24">
        <v>46140</v>
      </c>
      <c r="I448" s="24">
        <v>46140</v>
      </c>
      <c r="J448" s="23" t="s">
        <v>147</v>
      </c>
      <c r="K448" s="23" t="s">
        <v>147</v>
      </c>
      <c r="L448" s="23">
        <v>1</v>
      </c>
      <c r="M448" s="23" t="s">
        <v>78</v>
      </c>
      <c r="N448" s="23" t="s">
        <v>78</v>
      </c>
      <c r="O448" s="23">
        <v>1448.5</v>
      </c>
      <c r="P448" s="23" t="s">
        <v>79</v>
      </c>
      <c r="Q448" s="23" t="s">
        <v>83</v>
      </c>
      <c r="R448" s="23">
        <v>11100018</v>
      </c>
      <c r="S448" s="24">
        <v>45973</v>
      </c>
      <c r="T448" s="24">
        <v>45908</v>
      </c>
      <c r="U448" s="24">
        <v>46752</v>
      </c>
      <c r="X448" s="24">
        <v>45891</v>
      </c>
      <c r="Y448" s="23">
        <v>1111</v>
      </c>
      <c r="Z448" s="23">
        <v>11100002</v>
      </c>
      <c r="AA448" s="23">
        <v>3301</v>
      </c>
      <c r="AB448" s="24">
        <v>45908</v>
      </c>
    </row>
    <row r="449" spans="3:28" x14ac:dyDescent="0.2">
      <c r="C449" s="23">
        <v>1100562049</v>
      </c>
      <c r="E449" s="23">
        <v>80</v>
      </c>
      <c r="F449" s="23" t="s">
        <v>2396</v>
      </c>
      <c r="G449" s="23" t="s">
        <v>2397</v>
      </c>
      <c r="H449" s="24">
        <v>46140</v>
      </c>
      <c r="I449" s="24">
        <v>46140</v>
      </c>
      <c r="J449" s="23" t="s">
        <v>147</v>
      </c>
      <c r="K449" s="23" t="s">
        <v>147</v>
      </c>
      <c r="L449" s="23">
        <v>1</v>
      </c>
      <c r="M449" s="23" t="s">
        <v>78</v>
      </c>
      <c r="N449" s="23" t="s">
        <v>78</v>
      </c>
      <c r="O449" s="23">
        <v>1448.5</v>
      </c>
      <c r="P449" s="23" t="s">
        <v>79</v>
      </c>
      <c r="Q449" s="23" t="s">
        <v>83</v>
      </c>
      <c r="R449" s="23">
        <v>11100018</v>
      </c>
      <c r="S449" s="24">
        <v>45973</v>
      </c>
      <c r="T449" s="24">
        <v>45908</v>
      </c>
      <c r="U449" s="24">
        <v>46752</v>
      </c>
      <c r="X449" s="24">
        <v>45891</v>
      </c>
      <c r="Y449" s="23">
        <v>1111</v>
      </c>
      <c r="Z449" s="23">
        <v>11100002</v>
      </c>
      <c r="AA449" s="23">
        <v>3301</v>
      </c>
      <c r="AB449" s="24">
        <v>45908</v>
      </c>
    </row>
    <row r="450" spans="3:28" x14ac:dyDescent="0.2">
      <c r="C450" s="23">
        <v>1100562049</v>
      </c>
      <c r="E450" s="23">
        <v>81</v>
      </c>
      <c r="F450" s="23" t="s">
        <v>1377</v>
      </c>
      <c r="G450" s="23" t="s">
        <v>86</v>
      </c>
      <c r="H450" s="24">
        <v>46140</v>
      </c>
      <c r="I450" s="24">
        <v>46140</v>
      </c>
      <c r="J450" s="23" t="s">
        <v>147</v>
      </c>
      <c r="K450" s="23" t="s">
        <v>147</v>
      </c>
      <c r="L450" s="23">
        <v>1</v>
      </c>
      <c r="M450" s="23" t="s">
        <v>78</v>
      </c>
      <c r="N450" s="23" t="s">
        <v>78</v>
      </c>
      <c r="O450" s="23">
        <v>42007</v>
      </c>
      <c r="P450" s="23" t="s">
        <v>79</v>
      </c>
      <c r="Q450" s="23" t="s">
        <v>83</v>
      </c>
      <c r="R450" s="23">
        <v>11100018</v>
      </c>
      <c r="S450" s="24" t="s">
        <v>80</v>
      </c>
      <c r="T450" s="24">
        <v>45908</v>
      </c>
      <c r="U450" s="24">
        <v>46752</v>
      </c>
      <c r="X450" s="24">
        <v>45891</v>
      </c>
      <c r="Y450" s="23">
        <v>1111</v>
      </c>
      <c r="Z450" s="23">
        <v>11100002</v>
      </c>
      <c r="AA450" s="23">
        <v>3301</v>
      </c>
      <c r="AB450" s="24">
        <v>45908</v>
      </c>
    </row>
    <row r="451" spans="3:28" x14ac:dyDescent="0.2">
      <c r="C451" s="23">
        <v>1100562049</v>
      </c>
      <c r="E451" s="23">
        <v>82</v>
      </c>
      <c r="F451" s="23" t="s">
        <v>2394</v>
      </c>
      <c r="G451" s="23" t="s">
        <v>2395</v>
      </c>
      <c r="H451" s="24">
        <v>46140</v>
      </c>
      <c r="I451" s="24">
        <v>46140</v>
      </c>
      <c r="J451" s="23" t="s">
        <v>147</v>
      </c>
      <c r="K451" s="23" t="s">
        <v>147</v>
      </c>
      <c r="L451" s="23">
        <v>1</v>
      </c>
      <c r="M451" s="23" t="s">
        <v>78</v>
      </c>
      <c r="N451" s="23" t="s">
        <v>78</v>
      </c>
      <c r="O451" s="23">
        <v>1400.5</v>
      </c>
      <c r="P451" s="23" t="s">
        <v>79</v>
      </c>
      <c r="Q451" s="23" t="s">
        <v>83</v>
      </c>
      <c r="R451" s="23">
        <v>11100018</v>
      </c>
      <c r="S451" s="24" t="s">
        <v>80</v>
      </c>
      <c r="T451" s="24">
        <v>45908</v>
      </c>
      <c r="U451" s="24">
        <v>46752</v>
      </c>
      <c r="X451" s="24">
        <v>45891</v>
      </c>
      <c r="Y451" s="23">
        <v>1111</v>
      </c>
      <c r="Z451" s="23">
        <v>11100002</v>
      </c>
      <c r="AA451" s="23">
        <v>3301</v>
      </c>
      <c r="AB451" s="24">
        <v>45908</v>
      </c>
    </row>
    <row r="452" spans="3:28" x14ac:dyDescent="0.2">
      <c r="C452" s="23">
        <v>1100562049</v>
      </c>
      <c r="E452" s="23">
        <v>83</v>
      </c>
      <c r="F452" s="23" t="s">
        <v>2398</v>
      </c>
      <c r="G452" s="23" t="s">
        <v>2399</v>
      </c>
      <c r="H452" s="24">
        <v>46140</v>
      </c>
      <c r="I452" s="24">
        <v>46140</v>
      </c>
      <c r="J452" s="23" t="s">
        <v>147</v>
      </c>
      <c r="K452" s="23" t="s">
        <v>147</v>
      </c>
      <c r="L452" s="23">
        <v>1</v>
      </c>
      <c r="M452" s="23" t="s">
        <v>78</v>
      </c>
      <c r="N452" s="23" t="s">
        <v>78</v>
      </c>
      <c r="O452" s="23">
        <v>1400.5</v>
      </c>
      <c r="P452" s="23" t="s">
        <v>79</v>
      </c>
      <c r="Q452" s="23" t="s">
        <v>83</v>
      </c>
      <c r="R452" s="23">
        <v>11100018</v>
      </c>
      <c r="S452" s="24" t="s">
        <v>80</v>
      </c>
      <c r="T452" s="24">
        <v>45908</v>
      </c>
      <c r="U452" s="24">
        <v>46752</v>
      </c>
      <c r="X452" s="24">
        <v>45891</v>
      </c>
      <c r="Y452" s="23">
        <v>1111</v>
      </c>
      <c r="Z452" s="23">
        <v>11100002</v>
      </c>
      <c r="AA452" s="23">
        <v>3301</v>
      </c>
      <c r="AB452" s="24">
        <v>45908</v>
      </c>
    </row>
    <row r="453" spans="3:28" x14ac:dyDescent="0.2">
      <c r="C453" s="23">
        <v>1100562049</v>
      </c>
      <c r="E453" s="23">
        <v>84</v>
      </c>
      <c r="F453" s="23" t="s">
        <v>1378</v>
      </c>
      <c r="G453" s="23" t="s">
        <v>86</v>
      </c>
      <c r="H453" s="24">
        <v>46140</v>
      </c>
      <c r="I453" s="24">
        <v>46140</v>
      </c>
      <c r="J453" s="23" t="s">
        <v>147</v>
      </c>
      <c r="K453" s="23" t="s">
        <v>147</v>
      </c>
      <c r="L453" s="23">
        <v>1</v>
      </c>
      <c r="M453" s="23" t="s">
        <v>78</v>
      </c>
      <c r="N453" s="23" t="s">
        <v>78</v>
      </c>
      <c r="O453" s="23">
        <v>41840</v>
      </c>
      <c r="P453" s="23" t="s">
        <v>79</v>
      </c>
      <c r="Q453" s="23" t="s">
        <v>83</v>
      </c>
      <c r="R453" s="23">
        <v>11100018</v>
      </c>
      <c r="S453" s="24" t="s">
        <v>80</v>
      </c>
      <c r="T453" s="24">
        <v>45908</v>
      </c>
      <c r="U453" s="24">
        <v>46752</v>
      </c>
      <c r="X453" s="24">
        <v>45891</v>
      </c>
      <c r="Y453" s="23">
        <v>1111</v>
      </c>
      <c r="Z453" s="23">
        <v>11100002</v>
      </c>
      <c r="AA453" s="23">
        <v>3301</v>
      </c>
      <c r="AB453" s="24">
        <v>45908</v>
      </c>
    </row>
    <row r="454" spans="3:28" x14ac:dyDescent="0.2">
      <c r="C454" s="23">
        <v>1100562049</v>
      </c>
      <c r="E454" s="23">
        <v>85</v>
      </c>
      <c r="F454" s="23" t="s">
        <v>2400</v>
      </c>
      <c r="G454" s="23" t="s">
        <v>2401</v>
      </c>
      <c r="H454" s="24">
        <v>46140</v>
      </c>
      <c r="I454" s="24">
        <v>46140</v>
      </c>
      <c r="J454" s="23" t="s">
        <v>147</v>
      </c>
      <c r="K454" s="23" t="s">
        <v>147</v>
      </c>
      <c r="L454" s="23">
        <v>1</v>
      </c>
      <c r="M454" s="23" t="s">
        <v>78</v>
      </c>
      <c r="N454" s="23" t="s">
        <v>78</v>
      </c>
      <c r="O454" s="23">
        <v>1591</v>
      </c>
      <c r="P454" s="23" t="s">
        <v>79</v>
      </c>
      <c r="Q454" s="23" t="s">
        <v>83</v>
      </c>
      <c r="R454" s="23">
        <v>11100018</v>
      </c>
      <c r="S454" s="24" t="s">
        <v>80</v>
      </c>
      <c r="T454" s="24">
        <v>45908</v>
      </c>
      <c r="U454" s="24">
        <v>46034</v>
      </c>
      <c r="X454" s="24">
        <v>45891</v>
      </c>
      <c r="Y454" s="23">
        <v>1111</v>
      </c>
      <c r="Z454" s="23">
        <v>11100002</v>
      </c>
      <c r="AA454" s="23">
        <v>3301</v>
      </c>
      <c r="AB454" s="24">
        <v>45908</v>
      </c>
    </row>
    <row r="455" spans="3:28" x14ac:dyDescent="0.2">
      <c r="C455" s="23">
        <v>1100562049</v>
      </c>
      <c r="E455" s="23">
        <v>86</v>
      </c>
      <c r="F455" s="23" t="s">
        <v>2402</v>
      </c>
      <c r="G455" s="23" t="s">
        <v>2403</v>
      </c>
      <c r="H455" s="24">
        <v>46140</v>
      </c>
      <c r="I455" s="24">
        <v>46140</v>
      </c>
      <c r="J455" s="23" t="s">
        <v>147</v>
      </c>
      <c r="K455" s="23" t="s">
        <v>147</v>
      </c>
      <c r="L455" s="23">
        <v>1</v>
      </c>
      <c r="M455" s="23" t="s">
        <v>78</v>
      </c>
      <c r="N455" s="23" t="s">
        <v>78</v>
      </c>
      <c r="O455" s="23">
        <v>1591</v>
      </c>
      <c r="P455" s="23" t="s">
        <v>79</v>
      </c>
      <c r="Q455" s="23" t="s">
        <v>83</v>
      </c>
      <c r="R455" s="23">
        <v>11100018</v>
      </c>
      <c r="S455" s="24" t="s">
        <v>80</v>
      </c>
      <c r="T455" s="24">
        <v>45908</v>
      </c>
      <c r="U455" s="24">
        <v>46752</v>
      </c>
      <c r="X455" s="24">
        <v>45891</v>
      </c>
      <c r="Y455" s="23">
        <v>1111</v>
      </c>
      <c r="Z455" s="23">
        <v>11100002</v>
      </c>
      <c r="AA455" s="23">
        <v>3301</v>
      </c>
      <c r="AB455" s="24">
        <v>45908</v>
      </c>
    </row>
    <row r="456" spans="3:28" x14ac:dyDescent="0.2">
      <c r="C456" s="23">
        <v>1100562049</v>
      </c>
      <c r="E456" s="23">
        <v>87</v>
      </c>
      <c r="F456" s="23" t="s">
        <v>2404</v>
      </c>
      <c r="G456" s="23" t="s">
        <v>2405</v>
      </c>
      <c r="H456" s="24">
        <v>46140</v>
      </c>
      <c r="I456" s="24">
        <v>46140</v>
      </c>
      <c r="J456" s="23" t="s">
        <v>147</v>
      </c>
      <c r="K456" s="23" t="s">
        <v>147</v>
      </c>
      <c r="L456" s="23">
        <v>1</v>
      </c>
      <c r="M456" s="23" t="s">
        <v>78</v>
      </c>
      <c r="N456" s="23" t="s">
        <v>78</v>
      </c>
      <c r="O456" s="23">
        <v>1349</v>
      </c>
      <c r="P456" s="23" t="s">
        <v>79</v>
      </c>
      <c r="Q456" s="23" t="s">
        <v>83</v>
      </c>
      <c r="R456" s="23">
        <v>11100018</v>
      </c>
      <c r="S456" s="24" t="s">
        <v>80</v>
      </c>
      <c r="T456" s="24">
        <v>45908</v>
      </c>
      <c r="U456" s="24">
        <v>46752</v>
      </c>
      <c r="X456" s="24">
        <v>45891</v>
      </c>
      <c r="Y456" s="23">
        <v>1111</v>
      </c>
      <c r="Z456" s="23">
        <v>11100002</v>
      </c>
      <c r="AA456" s="23">
        <v>3301</v>
      </c>
      <c r="AB456" s="24">
        <v>45908</v>
      </c>
    </row>
    <row r="457" spans="3:28" x14ac:dyDescent="0.2">
      <c r="C457" s="23">
        <v>1100562049</v>
      </c>
      <c r="E457" s="23">
        <v>88</v>
      </c>
      <c r="F457" s="23" t="s">
        <v>2406</v>
      </c>
      <c r="G457" s="23" t="s">
        <v>2407</v>
      </c>
      <c r="H457" s="24">
        <v>46140</v>
      </c>
      <c r="I457" s="24">
        <v>46140</v>
      </c>
      <c r="J457" s="23" t="s">
        <v>147</v>
      </c>
      <c r="K457" s="23" t="s">
        <v>147</v>
      </c>
      <c r="L457" s="23">
        <v>1</v>
      </c>
      <c r="M457" s="23" t="s">
        <v>78</v>
      </c>
      <c r="N457" s="23" t="s">
        <v>78</v>
      </c>
      <c r="O457" s="23">
        <v>1349</v>
      </c>
      <c r="P457" s="23" t="s">
        <v>79</v>
      </c>
      <c r="Q457" s="23" t="s">
        <v>83</v>
      </c>
      <c r="R457" s="23">
        <v>11100018</v>
      </c>
      <c r="S457" s="24" t="s">
        <v>80</v>
      </c>
      <c r="T457" s="24">
        <v>45908</v>
      </c>
      <c r="U457" s="24">
        <v>46752</v>
      </c>
      <c r="X457" s="24">
        <v>45891</v>
      </c>
      <c r="Y457" s="23">
        <v>1111</v>
      </c>
      <c r="Z457" s="23">
        <v>11100002</v>
      </c>
      <c r="AA457" s="23">
        <v>3301</v>
      </c>
      <c r="AB457" s="24">
        <v>45908</v>
      </c>
    </row>
    <row r="458" spans="3:28" x14ac:dyDescent="0.2">
      <c r="C458" s="23">
        <v>1100562049</v>
      </c>
      <c r="E458" s="23">
        <v>89</v>
      </c>
      <c r="F458" s="23" t="s">
        <v>1379</v>
      </c>
      <c r="G458" s="23" t="s">
        <v>86</v>
      </c>
      <c r="H458" s="24">
        <v>46140</v>
      </c>
      <c r="I458" s="24">
        <v>46140</v>
      </c>
      <c r="J458" s="23" t="s">
        <v>147</v>
      </c>
      <c r="K458" s="23" t="s">
        <v>147</v>
      </c>
      <c r="L458" s="23">
        <v>1</v>
      </c>
      <c r="M458" s="23" t="s">
        <v>78</v>
      </c>
      <c r="N458" s="23" t="s">
        <v>78</v>
      </c>
      <c r="O458" s="23">
        <v>42811</v>
      </c>
      <c r="P458" s="23" t="s">
        <v>79</v>
      </c>
      <c r="Q458" s="23" t="s">
        <v>83</v>
      </c>
      <c r="R458" s="23">
        <v>11100018</v>
      </c>
      <c r="S458" s="24" t="s">
        <v>80</v>
      </c>
      <c r="T458" s="24">
        <v>45908</v>
      </c>
      <c r="U458" s="24">
        <v>46752</v>
      </c>
      <c r="X458" s="24">
        <v>45891</v>
      </c>
      <c r="Y458" s="23">
        <v>1111</v>
      </c>
      <c r="Z458" s="23">
        <v>11100002</v>
      </c>
      <c r="AA458" s="23">
        <v>3301</v>
      </c>
      <c r="AB458" s="24">
        <v>45908</v>
      </c>
    </row>
    <row r="459" spans="3:28" x14ac:dyDescent="0.2">
      <c r="C459" s="23">
        <v>1100562049</v>
      </c>
      <c r="E459" s="23">
        <v>91</v>
      </c>
      <c r="F459" s="23" t="s">
        <v>2408</v>
      </c>
      <c r="G459" s="23" t="s">
        <v>2409</v>
      </c>
      <c r="H459" s="24">
        <v>46140</v>
      </c>
      <c r="I459" s="24">
        <v>46140</v>
      </c>
      <c r="J459" s="23" t="s">
        <v>147</v>
      </c>
      <c r="K459" s="23" t="s">
        <v>147</v>
      </c>
      <c r="L459" s="23">
        <v>1</v>
      </c>
      <c r="M459" s="23" t="s">
        <v>78</v>
      </c>
      <c r="N459" s="23" t="s">
        <v>78</v>
      </c>
      <c r="O459" s="23">
        <v>1692</v>
      </c>
      <c r="P459" s="23" t="s">
        <v>79</v>
      </c>
      <c r="Q459" s="23" t="s">
        <v>83</v>
      </c>
      <c r="R459" s="23">
        <v>11100018</v>
      </c>
      <c r="S459" s="24" t="s">
        <v>80</v>
      </c>
      <c r="T459" s="24">
        <v>45908</v>
      </c>
      <c r="U459" s="24">
        <v>46752</v>
      </c>
      <c r="X459" s="24">
        <v>45891</v>
      </c>
      <c r="Y459" s="23">
        <v>1111</v>
      </c>
      <c r="Z459" s="23">
        <v>11100002</v>
      </c>
      <c r="AA459" s="23">
        <v>3301</v>
      </c>
      <c r="AB459" s="24">
        <v>45908</v>
      </c>
    </row>
    <row r="460" spans="3:28" x14ac:dyDescent="0.2">
      <c r="C460" s="23">
        <v>1100562049</v>
      </c>
      <c r="E460" s="23">
        <v>92</v>
      </c>
      <c r="F460" s="23" t="s">
        <v>2410</v>
      </c>
      <c r="G460" s="23" t="s">
        <v>2411</v>
      </c>
      <c r="H460" s="24">
        <v>46140</v>
      </c>
      <c r="I460" s="24">
        <v>46140</v>
      </c>
      <c r="J460" s="23" t="s">
        <v>147</v>
      </c>
      <c r="K460" s="23" t="s">
        <v>147</v>
      </c>
      <c r="L460" s="23">
        <v>1</v>
      </c>
      <c r="M460" s="23" t="s">
        <v>78</v>
      </c>
      <c r="N460" s="23" t="s">
        <v>78</v>
      </c>
      <c r="O460" s="23">
        <v>1692</v>
      </c>
      <c r="P460" s="23" t="s">
        <v>79</v>
      </c>
      <c r="Q460" s="23" t="s">
        <v>83</v>
      </c>
      <c r="R460" s="23">
        <v>11100018</v>
      </c>
      <c r="S460" s="24" t="s">
        <v>80</v>
      </c>
      <c r="T460" s="24">
        <v>45908</v>
      </c>
      <c r="U460" s="24">
        <v>46752</v>
      </c>
      <c r="X460" s="24">
        <v>45891</v>
      </c>
      <c r="Y460" s="23">
        <v>1111</v>
      </c>
      <c r="Z460" s="23">
        <v>11100002</v>
      </c>
      <c r="AA460" s="23">
        <v>3301</v>
      </c>
      <c r="AB460" s="24">
        <v>45908</v>
      </c>
    </row>
    <row r="461" spans="3:28" x14ac:dyDescent="0.2">
      <c r="C461" s="23">
        <v>1100562049</v>
      </c>
      <c r="E461" s="23">
        <v>93</v>
      </c>
      <c r="F461" s="23" t="s">
        <v>1380</v>
      </c>
      <c r="G461" s="23" t="s">
        <v>292</v>
      </c>
      <c r="H461" s="24">
        <v>46140</v>
      </c>
      <c r="I461" s="24">
        <v>46140</v>
      </c>
      <c r="J461" s="23" t="s">
        <v>147</v>
      </c>
      <c r="K461" s="23" t="s">
        <v>147</v>
      </c>
      <c r="L461" s="23">
        <v>1</v>
      </c>
      <c r="M461" s="23" t="s">
        <v>78</v>
      </c>
      <c r="N461" s="23" t="s">
        <v>78</v>
      </c>
      <c r="O461" s="23">
        <v>37398</v>
      </c>
      <c r="P461" s="23" t="s">
        <v>79</v>
      </c>
      <c r="Q461" s="23" t="s">
        <v>83</v>
      </c>
      <c r="R461" s="23">
        <v>11100018</v>
      </c>
      <c r="S461" s="24" t="s">
        <v>80</v>
      </c>
      <c r="T461" s="24">
        <v>45908</v>
      </c>
      <c r="U461" s="24">
        <v>46752</v>
      </c>
      <c r="X461" s="24">
        <v>45891</v>
      </c>
      <c r="Y461" s="23">
        <v>1111</v>
      </c>
      <c r="Z461" s="23">
        <v>11100002</v>
      </c>
      <c r="AA461" s="23">
        <v>3301</v>
      </c>
      <c r="AB461" s="24">
        <v>45908</v>
      </c>
    </row>
    <row r="462" spans="3:28" x14ac:dyDescent="0.2">
      <c r="C462" s="23">
        <v>1100562049</v>
      </c>
      <c r="E462" s="23">
        <v>94</v>
      </c>
      <c r="F462" s="23" t="s">
        <v>2412</v>
      </c>
      <c r="G462" s="23" t="s">
        <v>2413</v>
      </c>
      <c r="H462" s="24">
        <v>46140</v>
      </c>
      <c r="I462" s="24">
        <v>46140</v>
      </c>
      <c r="J462" s="23" t="s">
        <v>147</v>
      </c>
      <c r="K462" s="23" t="s">
        <v>147</v>
      </c>
      <c r="L462" s="23">
        <v>1</v>
      </c>
      <c r="M462" s="23" t="s">
        <v>78</v>
      </c>
      <c r="N462" s="23" t="s">
        <v>78</v>
      </c>
      <c r="O462" s="23">
        <v>1448.5</v>
      </c>
      <c r="P462" s="23" t="s">
        <v>79</v>
      </c>
      <c r="Q462" s="23" t="s">
        <v>83</v>
      </c>
      <c r="R462" s="23">
        <v>11100018</v>
      </c>
      <c r="S462" s="24" t="s">
        <v>80</v>
      </c>
      <c r="T462" s="24">
        <v>45908</v>
      </c>
      <c r="U462" s="24">
        <v>46752</v>
      </c>
      <c r="X462" s="24">
        <v>45891</v>
      </c>
      <c r="Y462" s="23">
        <v>1111</v>
      </c>
      <c r="Z462" s="23">
        <v>11100002</v>
      </c>
      <c r="AA462" s="23">
        <v>3301</v>
      </c>
      <c r="AB462" s="24">
        <v>45908</v>
      </c>
    </row>
    <row r="463" spans="3:28" x14ac:dyDescent="0.2">
      <c r="C463" s="23">
        <v>1100562049</v>
      </c>
      <c r="E463" s="23">
        <v>95</v>
      </c>
      <c r="F463" s="23" t="s">
        <v>2414</v>
      </c>
      <c r="G463" s="23" t="s">
        <v>2415</v>
      </c>
      <c r="H463" s="24">
        <v>46140</v>
      </c>
      <c r="I463" s="24">
        <v>46140</v>
      </c>
      <c r="J463" s="23" t="s">
        <v>147</v>
      </c>
      <c r="K463" s="23" t="s">
        <v>147</v>
      </c>
      <c r="L463" s="23">
        <v>1</v>
      </c>
      <c r="M463" s="23" t="s">
        <v>78</v>
      </c>
      <c r="N463" s="23" t="s">
        <v>78</v>
      </c>
      <c r="O463" s="23">
        <v>1448.5</v>
      </c>
      <c r="P463" s="23" t="s">
        <v>79</v>
      </c>
      <c r="Q463" s="23" t="s">
        <v>83</v>
      </c>
      <c r="R463" s="23">
        <v>11100018</v>
      </c>
      <c r="S463" s="24" t="s">
        <v>80</v>
      </c>
      <c r="T463" s="24">
        <v>45908</v>
      </c>
      <c r="U463" s="24">
        <v>46752</v>
      </c>
      <c r="X463" s="24">
        <v>45891</v>
      </c>
      <c r="Y463" s="23">
        <v>1111</v>
      </c>
      <c r="Z463" s="23">
        <v>11100002</v>
      </c>
      <c r="AA463" s="23">
        <v>3301</v>
      </c>
      <c r="AB463" s="24">
        <v>45908</v>
      </c>
    </row>
    <row r="464" spans="3:28" x14ac:dyDescent="0.2">
      <c r="C464" s="23">
        <v>1100562049</v>
      </c>
      <c r="E464" s="23">
        <v>96</v>
      </c>
      <c r="F464" s="23" t="s">
        <v>2416</v>
      </c>
      <c r="G464" s="23" t="s">
        <v>2417</v>
      </c>
      <c r="H464" s="24">
        <v>46140</v>
      </c>
      <c r="I464" s="24">
        <v>46140</v>
      </c>
      <c r="J464" s="23" t="s">
        <v>147</v>
      </c>
      <c r="K464" s="23" t="s">
        <v>147</v>
      </c>
      <c r="L464" s="23">
        <v>1</v>
      </c>
      <c r="M464" s="23" t="s">
        <v>78</v>
      </c>
      <c r="N464" s="23" t="s">
        <v>78</v>
      </c>
      <c r="O464" s="23">
        <v>1349</v>
      </c>
      <c r="P464" s="23" t="s">
        <v>79</v>
      </c>
      <c r="Q464" s="23" t="s">
        <v>83</v>
      </c>
      <c r="R464" s="23">
        <v>11100018</v>
      </c>
      <c r="S464" s="24" t="s">
        <v>80</v>
      </c>
      <c r="T464" s="24">
        <v>45908</v>
      </c>
      <c r="U464" s="24">
        <v>46752</v>
      </c>
      <c r="X464" s="24">
        <v>45891</v>
      </c>
      <c r="Y464" s="23">
        <v>1111</v>
      </c>
      <c r="Z464" s="23">
        <v>11100002</v>
      </c>
      <c r="AA464" s="23">
        <v>3301</v>
      </c>
      <c r="AB464" s="24">
        <v>45908</v>
      </c>
    </row>
    <row r="465" spans="2:28" x14ac:dyDescent="0.2">
      <c r="C465" s="23">
        <v>1100562049</v>
      </c>
      <c r="E465" s="23">
        <v>97</v>
      </c>
      <c r="F465" s="23" t="s">
        <v>2418</v>
      </c>
      <c r="G465" s="23" t="s">
        <v>2419</v>
      </c>
      <c r="H465" s="24">
        <v>46140</v>
      </c>
      <c r="I465" s="24">
        <v>46140</v>
      </c>
      <c r="J465" s="23" t="s">
        <v>147</v>
      </c>
      <c r="K465" s="23" t="s">
        <v>147</v>
      </c>
      <c r="L465" s="23">
        <v>1</v>
      </c>
      <c r="M465" s="23" t="s">
        <v>78</v>
      </c>
      <c r="N465" s="23" t="s">
        <v>78</v>
      </c>
      <c r="O465" s="23">
        <v>1349</v>
      </c>
      <c r="P465" s="23" t="s">
        <v>79</v>
      </c>
      <c r="Q465" s="23" t="s">
        <v>83</v>
      </c>
      <c r="R465" s="23">
        <v>11100018</v>
      </c>
      <c r="S465" s="24" t="s">
        <v>80</v>
      </c>
      <c r="T465" s="24">
        <v>45908</v>
      </c>
      <c r="U465" s="24">
        <v>46752</v>
      </c>
      <c r="X465" s="24">
        <v>45891</v>
      </c>
      <c r="Y465" s="23">
        <v>1111</v>
      </c>
      <c r="Z465" s="23">
        <v>11100002</v>
      </c>
      <c r="AA465" s="23">
        <v>3301</v>
      </c>
      <c r="AB465" s="24">
        <v>45908</v>
      </c>
    </row>
    <row r="466" spans="2:28" x14ac:dyDescent="0.2">
      <c r="C466" s="23">
        <v>1100562049</v>
      </c>
      <c r="E466" s="23">
        <v>110</v>
      </c>
      <c r="F466" s="23" t="s">
        <v>1381</v>
      </c>
      <c r="G466" s="23" t="s">
        <v>1382</v>
      </c>
      <c r="H466" s="24">
        <v>46140</v>
      </c>
      <c r="I466" s="24">
        <v>46140</v>
      </c>
      <c r="J466" s="23" t="s">
        <v>147</v>
      </c>
      <c r="K466" s="23" t="s">
        <v>147</v>
      </c>
      <c r="L466" s="23">
        <v>1</v>
      </c>
      <c r="M466" s="23" t="s">
        <v>78</v>
      </c>
      <c r="N466" s="23" t="s">
        <v>78</v>
      </c>
      <c r="O466" s="23">
        <v>37363</v>
      </c>
      <c r="P466" s="23" t="s">
        <v>79</v>
      </c>
      <c r="Q466" s="23" t="s">
        <v>83</v>
      </c>
      <c r="R466" s="23">
        <v>11100018</v>
      </c>
      <c r="S466" s="24">
        <v>45973</v>
      </c>
      <c r="T466" s="24">
        <v>45908</v>
      </c>
      <c r="U466" s="24">
        <v>46752</v>
      </c>
      <c r="X466" s="24">
        <v>45891</v>
      </c>
      <c r="Y466" s="23">
        <v>1111</v>
      </c>
      <c r="Z466" s="23">
        <v>11100002</v>
      </c>
      <c r="AA466" s="23">
        <v>3301</v>
      </c>
      <c r="AB466" s="24">
        <v>45908</v>
      </c>
    </row>
    <row r="467" spans="2:28" x14ac:dyDescent="0.2">
      <c r="C467" s="23">
        <v>1100562049</v>
      </c>
      <c r="E467" s="23">
        <v>120</v>
      </c>
      <c r="F467" s="23" t="s">
        <v>2420</v>
      </c>
      <c r="G467" s="23" t="s">
        <v>2421</v>
      </c>
      <c r="H467" s="24">
        <v>46140</v>
      </c>
      <c r="I467" s="24">
        <v>46140</v>
      </c>
      <c r="J467" s="23" t="s">
        <v>147</v>
      </c>
      <c r="K467" s="23" t="s">
        <v>147</v>
      </c>
      <c r="L467" s="23">
        <v>1</v>
      </c>
      <c r="M467" s="23" t="s">
        <v>78</v>
      </c>
      <c r="N467" s="23" t="s">
        <v>78</v>
      </c>
      <c r="O467" s="23">
        <v>1448.5</v>
      </c>
      <c r="P467" s="23" t="s">
        <v>79</v>
      </c>
      <c r="Q467" s="23" t="s">
        <v>83</v>
      </c>
      <c r="R467" s="23">
        <v>11100018</v>
      </c>
      <c r="S467" s="24">
        <v>45973</v>
      </c>
      <c r="T467" s="24">
        <v>45908</v>
      </c>
      <c r="U467" s="24">
        <v>46752</v>
      </c>
      <c r="X467" s="24">
        <v>45891</v>
      </c>
      <c r="Y467" s="23">
        <v>1111</v>
      </c>
      <c r="Z467" s="23">
        <v>11100002</v>
      </c>
      <c r="AA467" s="23">
        <v>3301</v>
      </c>
      <c r="AB467" s="24">
        <v>45908</v>
      </c>
    </row>
    <row r="468" spans="2:28" x14ac:dyDescent="0.2">
      <c r="C468" s="23">
        <v>1100562049</v>
      </c>
      <c r="E468" s="23">
        <v>130</v>
      </c>
      <c r="F468" s="23" t="s">
        <v>2422</v>
      </c>
      <c r="G468" s="23" t="s">
        <v>2423</v>
      </c>
      <c r="H468" s="24">
        <v>46140</v>
      </c>
      <c r="I468" s="24">
        <v>46140</v>
      </c>
      <c r="J468" s="23" t="s">
        <v>147</v>
      </c>
      <c r="K468" s="23" t="s">
        <v>147</v>
      </c>
      <c r="L468" s="23">
        <v>1</v>
      </c>
      <c r="M468" s="23" t="s">
        <v>78</v>
      </c>
      <c r="N468" s="23" t="s">
        <v>78</v>
      </c>
      <c r="O468" s="23">
        <v>1448.5</v>
      </c>
      <c r="P468" s="23" t="s">
        <v>79</v>
      </c>
      <c r="Q468" s="23" t="s">
        <v>83</v>
      </c>
      <c r="R468" s="23">
        <v>11100018</v>
      </c>
      <c r="S468" s="24">
        <v>45973</v>
      </c>
      <c r="T468" s="24">
        <v>45908</v>
      </c>
      <c r="U468" s="24">
        <v>46752</v>
      </c>
      <c r="X468" s="24">
        <v>45891</v>
      </c>
      <c r="Y468" s="23">
        <v>1111</v>
      </c>
      <c r="Z468" s="23">
        <v>11100002</v>
      </c>
      <c r="AA468" s="23">
        <v>3301</v>
      </c>
      <c r="AB468" s="24">
        <v>45908</v>
      </c>
    </row>
    <row r="469" spans="2:28" x14ac:dyDescent="0.2">
      <c r="C469" s="23">
        <v>1100562049</v>
      </c>
      <c r="E469" s="23">
        <v>160</v>
      </c>
      <c r="F469" s="23" t="s">
        <v>293</v>
      </c>
      <c r="G469" s="23" t="s">
        <v>294</v>
      </c>
      <c r="H469" s="24">
        <v>46140</v>
      </c>
      <c r="I469" s="24">
        <v>46752</v>
      </c>
      <c r="J469" s="23" t="s">
        <v>147</v>
      </c>
      <c r="K469" s="23" t="s">
        <v>147</v>
      </c>
      <c r="L469" s="23">
        <v>1</v>
      </c>
      <c r="M469" s="23" t="s">
        <v>78</v>
      </c>
      <c r="N469" s="23" t="s">
        <v>78</v>
      </c>
      <c r="O469" s="23">
        <v>5764</v>
      </c>
      <c r="P469" s="23" t="s">
        <v>79</v>
      </c>
      <c r="Q469" s="23" t="s">
        <v>83</v>
      </c>
      <c r="R469" s="23">
        <v>11100018</v>
      </c>
      <c r="S469" s="24">
        <v>45973</v>
      </c>
      <c r="T469" s="24">
        <v>45908</v>
      </c>
      <c r="U469" s="24">
        <v>46752</v>
      </c>
      <c r="X469" s="24">
        <v>45891</v>
      </c>
      <c r="Y469" s="23">
        <v>1111</v>
      </c>
      <c r="Z469" s="23">
        <v>11100002</v>
      </c>
      <c r="AA469" s="23">
        <v>3301</v>
      </c>
      <c r="AB469" s="24">
        <v>45908</v>
      </c>
    </row>
    <row r="470" spans="2:28" x14ac:dyDescent="0.2">
      <c r="C470" s="23">
        <v>1100562049</v>
      </c>
      <c r="E470" s="23">
        <v>170</v>
      </c>
      <c r="F470" s="23" t="s">
        <v>84</v>
      </c>
      <c r="G470" s="23" t="s">
        <v>123</v>
      </c>
      <c r="H470" s="24">
        <v>46140</v>
      </c>
      <c r="I470" s="24">
        <v>46140</v>
      </c>
      <c r="J470" s="23" t="s">
        <v>147</v>
      </c>
      <c r="K470" s="23" t="s">
        <v>147</v>
      </c>
      <c r="L470" s="23">
        <v>1</v>
      </c>
      <c r="M470" s="23" t="s">
        <v>78</v>
      </c>
      <c r="N470" s="23" t="s">
        <v>78</v>
      </c>
      <c r="O470" s="23">
        <v>0.01</v>
      </c>
      <c r="P470" s="23" t="s">
        <v>79</v>
      </c>
      <c r="Q470" s="23" t="s">
        <v>83</v>
      </c>
      <c r="R470" s="23">
        <v>11100018</v>
      </c>
      <c r="S470" s="24">
        <v>45973</v>
      </c>
      <c r="T470" s="24">
        <v>45908</v>
      </c>
      <c r="U470" s="24">
        <v>46752</v>
      </c>
      <c r="X470" s="24">
        <v>45891</v>
      </c>
      <c r="Y470" s="23">
        <v>1111</v>
      </c>
      <c r="Z470" s="23">
        <v>11100002</v>
      </c>
      <c r="AA470" s="23">
        <v>3301</v>
      </c>
      <c r="AB470" s="24">
        <v>45908</v>
      </c>
    </row>
    <row r="471" spans="2:28" x14ac:dyDescent="0.2">
      <c r="C471" s="23">
        <v>1100562049</v>
      </c>
      <c r="E471" s="23">
        <v>180</v>
      </c>
      <c r="F471" s="23" t="s">
        <v>88</v>
      </c>
      <c r="G471" s="23" t="s">
        <v>158</v>
      </c>
      <c r="H471" s="24">
        <v>46140</v>
      </c>
      <c r="I471" s="24">
        <v>46138</v>
      </c>
      <c r="J471" s="23" t="s">
        <v>147</v>
      </c>
      <c r="K471" s="23" t="s">
        <v>147</v>
      </c>
      <c r="L471" s="23">
        <v>1</v>
      </c>
      <c r="M471" s="23" t="s">
        <v>78</v>
      </c>
      <c r="N471" s="23" t="s">
        <v>78</v>
      </c>
      <c r="O471" s="23">
        <v>0.01</v>
      </c>
      <c r="P471" s="23" t="s">
        <v>79</v>
      </c>
      <c r="Q471" s="23" t="s">
        <v>83</v>
      </c>
      <c r="R471" s="23">
        <v>11100018</v>
      </c>
      <c r="S471" s="24">
        <v>45973</v>
      </c>
      <c r="T471" s="24">
        <v>45908</v>
      </c>
      <c r="U471" s="24">
        <v>46752</v>
      </c>
      <c r="X471" s="24">
        <v>45891</v>
      </c>
      <c r="Y471" s="23">
        <v>1111</v>
      </c>
      <c r="Z471" s="23">
        <v>11100002</v>
      </c>
      <c r="AA471" s="23">
        <v>3301</v>
      </c>
      <c r="AB471" s="24">
        <v>45908</v>
      </c>
    </row>
    <row r="472" spans="2:28" x14ac:dyDescent="0.2">
      <c r="B472" s="23" t="s">
        <v>81</v>
      </c>
      <c r="C472" s="23">
        <v>1100562049</v>
      </c>
      <c r="H472" s="24">
        <v>46140</v>
      </c>
      <c r="O472" s="23">
        <v>320000.02</v>
      </c>
      <c r="P472" s="23" t="s">
        <v>79</v>
      </c>
    </row>
    <row r="473" spans="2:28" x14ac:dyDescent="0.2">
      <c r="C473" s="23">
        <v>1100102698</v>
      </c>
      <c r="E473" s="23">
        <v>750</v>
      </c>
      <c r="F473" s="23" t="s">
        <v>1346</v>
      </c>
      <c r="G473" s="23" t="s">
        <v>305</v>
      </c>
      <c r="H473" s="24">
        <v>46142</v>
      </c>
      <c r="I473" s="24">
        <v>46142</v>
      </c>
      <c r="J473" s="23" t="s">
        <v>1056</v>
      </c>
      <c r="K473" s="23" t="s">
        <v>1056</v>
      </c>
      <c r="L473" s="23">
        <v>1</v>
      </c>
      <c r="M473" s="23" t="s">
        <v>78</v>
      </c>
      <c r="N473" s="23" t="s">
        <v>78</v>
      </c>
      <c r="O473" s="23">
        <v>0</v>
      </c>
      <c r="P473" s="23" t="s">
        <v>79</v>
      </c>
      <c r="Q473" s="23" t="s">
        <v>119</v>
      </c>
      <c r="R473" s="23">
        <v>11100018</v>
      </c>
      <c r="S473" s="24" t="s">
        <v>80</v>
      </c>
      <c r="T473" s="24">
        <v>45882</v>
      </c>
      <c r="U473" s="24">
        <v>46751</v>
      </c>
      <c r="X473" s="24">
        <v>45882</v>
      </c>
      <c r="Y473" s="23">
        <v>1111</v>
      </c>
      <c r="Z473" s="23">
        <v>11400912</v>
      </c>
      <c r="AA473" s="23">
        <v>360103</v>
      </c>
      <c r="AB473" s="24">
        <v>45882</v>
      </c>
    </row>
    <row r="474" spans="2:28" x14ac:dyDescent="0.2">
      <c r="C474" s="23">
        <v>1100102698</v>
      </c>
      <c r="E474" s="23">
        <v>1400</v>
      </c>
      <c r="F474" s="23" t="s">
        <v>1347</v>
      </c>
      <c r="G474" s="23" t="s">
        <v>1348</v>
      </c>
      <c r="H474" s="24">
        <v>46142</v>
      </c>
      <c r="I474" s="24">
        <v>46142</v>
      </c>
      <c r="J474" s="23" t="s">
        <v>1056</v>
      </c>
      <c r="K474" s="23" t="s">
        <v>1056</v>
      </c>
      <c r="L474" s="23">
        <v>1</v>
      </c>
      <c r="M474" s="23" t="s">
        <v>78</v>
      </c>
      <c r="N474" s="23" t="s">
        <v>78</v>
      </c>
      <c r="O474" s="23">
        <v>29006</v>
      </c>
      <c r="P474" s="23" t="s">
        <v>79</v>
      </c>
      <c r="Q474" s="23" t="s">
        <v>119</v>
      </c>
      <c r="R474" s="23">
        <v>11100018</v>
      </c>
      <c r="S474" s="24">
        <v>46051</v>
      </c>
      <c r="T474" s="24">
        <v>45882</v>
      </c>
      <c r="U474" s="24">
        <v>46751</v>
      </c>
      <c r="X474" s="24">
        <v>45882</v>
      </c>
      <c r="Y474" s="23">
        <v>1111</v>
      </c>
      <c r="Z474" s="23">
        <v>11400912</v>
      </c>
      <c r="AA474" s="23">
        <v>360103</v>
      </c>
      <c r="AB474" s="24">
        <v>45882</v>
      </c>
    </row>
    <row r="475" spans="2:28" x14ac:dyDescent="0.2">
      <c r="C475" s="23">
        <v>1100102698</v>
      </c>
      <c r="E475" s="23">
        <v>1500</v>
      </c>
      <c r="F475" s="23" t="s">
        <v>1349</v>
      </c>
      <c r="G475" s="23" t="s">
        <v>1350</v>
      </c>
      <c r="H475" s="24">
        <v>46142</v>
      </c>
      <c r="I475" s="24">
        <v>46142</v>
      </c>
      <c r="J475" s="23" t="s">
        <v>1056</v>
      </c>
      <c r="K475" s="23" t="s">
        <v>1056</v>
      </c>
      <c r="L475" s="23">
        <v>1</v>
      </c>
      <c r="M475" s="23" t="s">
        <v>78</v>
      </c>
      <c r="N475" s="23" t="s">
        <v>78</v>
      </c>
      <c r="O475" s="23">
        <v>29006</v>
      </c>
      <c r="P475" s="23" t="s">
        <v>79</v>
      </c>
      <c r="Q475" s="23" t="s">
        <v>119</v>
      </c>
      <c r="R475" s="23">
        <v>11100018</v>
      </c>
      <c r="S475" s="24">
        <v>46051</v>
      </c>
      <c r="T475" s="24">
        <v>45882</v>
      </c>
      <c r="U475" s="24">
        <v>46751</v>
      </c>
      <c r="X475" s="24">
        <v>45882</v>
      </c>
      <c r="Y475" s="23">
        <v>1111</v>
      </c>
      <c r="Z475" s="23">
        <v>11400912</v>
      </c>
      <c r="AA475" s="23">
        <v>360103</v>
      </c>
      <c r="AB475" s="24">
        <v>45882</v>
      </c>
    </row>
    <row r="476" spans="2:28" x14ac:dyDescent="0.2">
      <c r="C476" s="23">
        <v>1100102698</v>
      </c>
      <c r="E476" s="23">
        <v>1600</v>
      </c>
      <c r="F476" s="23" t="s">
        <v>1351</v>
      </c>
      <c r="G476" s="23" t="s">
        <v>1352</v>
      </c>
      <c r="H476" s="24">
        <v>46142</v>
      </c>
      <c r="I476" s="24">
        <v>46142</v>
      </c>
      <c r="J476" s="23" t="s">
        <v>1056</v>
      </c>
      <c r="K476" s="23" t="s">
        <v>1056</v>
      </c>
      <c r="L476" s="23">
        <v>1</v>
      </c>
      <c r="M476" s="23" t="s">
        <v>78</v>
      </c>
      <c r="N476" s="23" t="s">
        <v>78</v>
      </c>
      <c r="O476" s="23">
        <v>29006</v>
      </c>
      <c r="P476" s="23" t="s">
        <v>79</v>
      </c>
      <c r="Q476" s="23" t="s">
        <v>119</v>
      </c>
      <c r="R476" s="23">
        <v>11100018</v>
      </c>
      <c r="S476" s="24">
        <v>46051</v>
      </c>
      <c r="T476" s="24">
        <v>45882</v>
      </c>
      <c r="U476" s="24">
        <v>46751</v>
      </c>
      <c r="X476" s="24">
        <v>45882</v>
      </c>
      <c r="Y476" s="23">
        <v>1111</v>
      </c>
      <c r="Z476" s="23">
        <v>11400912</v>
      </c>
      <c r="AA476" s="23">
        <v>360103</v>
      </c>
      <c r="AB476" s="24">
        <v>45882</v>
      </c>
    </row>
    <row r="477" spans="2:28" x14ac:dyDescent="0.2">
      <c r="C477" s="23">
        <v>1100102698</v>
      </c>
      <c r="E477" s="23">
        <v>1700</v>
      </c>
      <c r="F477" s="23" t="s">
        <v>1353</v>
      </c>
      <c r="G477" s="23" t="s">
        <v>1354</v>
      </c>
      <c r="H477" s="24">
        <v>46142</v>
      </c>
      <c r="I477" s="24">
        <v>46142</v>
      </c>
      <c r="J477" s="23" t="s">
        <v>1056</v>
      </c>
      <c r="K477" s="23" t="s">
        <v>1056</v>
      </c>
      <c r="L477" s="23">
        <v>1</v>
      </c>
      <c r="M477" s="23" t="s">
        <v>78</v>
      </c>
      <c r="N477" s="23" t="s">
        <v>78</v>
      </c>
      <c r="O477" s="23">
        <v>29006</v>
      </c>
      <c r="P477" s="23" t="s">
        <v>79</v>
      </c>
      <c r="Q477" s="23" t="s">
        <v>119</v>
      </c>
      <c r="R477" s="23">
        <v>11100018</v>
      </c>
      <c r="S477" s="24" t="s">
        <v>80</v>
      </c>
      <c r="T477" s="24">
        <v>45882</v>
      </c>
      <c r="U477" s="24">
        <v>46751</v>
      </c>
      <c r="X477" s="24">
        <v>45882</v>
      </c>
      <c r="Y477" s="23">
        <v>1111</v>
      </c>
      <c r="Z477" s="23">
        <v>11400912</v>
      </c>
      <c r="AA477" s="23">
        <v>360103</v>
      </c>
      <c r="AB477" s="24">
        <v>45882</v>
      </c>
    </row>
    <row r="478" spans="2:28" x14ac:dyDescent="0.2">
      <c r="C478" s="23">
        <v>1100102698</v>
      </c>
      <c r="E478" s="23">
        <v>1800</v>
      </c>
      <c r="F478" s="23" t="s">
        <v>1355</v>
      </c>
      <c r="G478" s="23" t="s">
        <v>1356</v>
      </c>
      <c r="H478" s="24">
        <v>46142</v>
      </c>
      <c r="I478" s="24">
        <v>46142</v>
      </c>
      <c r="J478" s="23" t="s">
        <v>1056</v>
      </c>
      <c r="K478" s="23" t="s">
        <v>1056</v>
      </c>
      <c r="L478" s="23">
        <v>1</v>
      </c>
      <c r="M478" s="23" t="s">
        <v>78</v>
      </c>
      <c r="N478" s="23" t="s">
        <v>78</v>
      </c>
      <c r="O478" s="23">
        <v>29006</v>
      </c>
      <c r="P478" s="23" t="s">
        <v>79</v>
      </c>
      <c r="Q478" s="23" t="s">
        <v>119</v>
      </c>
      <c r="R478" s="23">
        <v>11100018</v>
      </c>
      <c r="S478" s="24" t="s">
        <v>80</v>
      </c>
      <c r="T478" s="24">
        <v>45882</v>
      </c>
      <c r="U478" s="24">
        <v>46752</v>
      </c>
      <c r="X478" s="24">
        <v>45882</v>
      </c>
      <c r="Y478" s="23">
        <v>1111</v>
      </c>
      <c r="Z478" s="23">
        <v>11400912</v>
      </c>
      <c r="AA478" s="23">
        <v>360103</v>
      </c>
      <c r="AB478" s="24">
        <v>45882</v>
      </c>
    </row>
    <row r="479" spans="2:28" x14ac:dyDescent="0.2">
      <c r="C479" s="23">
        <v>1100102698</v>
      </c>
      <c r="E479" s="23">
        <v>1900</v>
      </c>
      <c r="F479" s="23" t="s">
        <v>1357</v>
      </c>
      <c r="G479" s="23" t="s">
        <v>1358</v>
      </c>
      <c r="H479" s="24">
        <v>46142</v>
      </c>
      <c r="I479" s="24">
        <v>46142</v>
      </c>
      <c r="J479" s="23" t="s">
        <v>1056</v>
      </c>
      <c r="K479" s="23" t="s">
        <v>1056</v>
      </c>
      <c r="L479" s="23">
        <v>1</v>
      </c>
      <c r="M479" s="23" t="s">
        <v>78</v>
      </c>
      <c r="N479" s="23" t="s">
        <v>78</v>
      </c>
      <c r="O479" s="23">
        <v>29006</v>
      </c>
      <c r="P479" s="23" t="s">
        <v>79</v>
      </c>
      <c r="Q479" s="23" t="s">
        <v>119</v>
      </c>
      <c r="R479" s="23">
        <v>11100018</v>
      </c>
      <c r="S479" s="24" t="s">
        <v>80</v>
      </c>
      <c r="T479" s="24">
        <v>45882</v>
      </c>
      <c r="U479" s="24">
        <v>46752</v>
      </c>
      <c r="X479" s="24">
        <v>45882</v>
      </c>
      <c r="Y479" s="23">
        <v>1111</v>
      </c>
      <c r="Z479" s="23">
        <v>11400912</v>
      </c>
      <c r="AA479" s="23">
        <v>360103</v>
      </c>
      <c r="AB479" s="24">
        <v>45882</v>
      </c>
    </row>
    <row r="480" spans="2:28" x14ac:dyDescent="0.2">
      <c r="C480" s="23">
        <v>1100102698</v>
      </c>
      <c r="E480" s="23">
        <v>2000</v>
      </c>
      <c r="F480" s="23" t="s">
        <v>1359</v>
      </c>
      <c r="G480" s="23" t="s">
        <v>1360</v>
      </c>
      <c r="H480" s="24">
        <v>46142</v>
      </c>
      <c r="I480" s="24">
        <v>46142</v>
      </c>
      <c r="J480" s="23" t="s">
        <v>1056</v>
      </c>
      <c r="K480" s="23" t="s">
        <v>1056</v>
      </c>
      <c r="L480" s="23">
        <v>1</v>
      </c>
      <c r="M480" s="23" t="s">
        <v>78</v>
      </c>
      <c r="N480" s="23" t="s">
        <v>78</v>
      </c>
      <c r="O480" s="23">
        <v>29006</v>
      </c>
      <c r="P480" s="23" t="s">
        <v>79</v>
      </c>
      <c r="Q480" s="23" t="s">
        <v>119</v>
      </c>
      <c r="R480" s="23">
        <v>11100018</v>
      </c>
      <c r="S480" s="24" t="s">
        <v>80</v>
      </c>
      <c r="T480" s="24">
        <v>45882</v>
      </c>
      <c r="U480" s="24">
        <v>46752</v>
      </c>
      <c r="X480" s="24">
        <v>45882</v>
      </c>
      <c r="Y480" s="23">
        <v>1111</v>
      </c>
      <c r="Z480" s="23">
        <v>11400912</v>
      </c>
      <c r="AA480" s="23">
        <v>360103</v>
      </c>
      <c r="AB480" s="24">
        <v>45882</v>
      </c>
    </row>
    <row r="481" spans="2:28" x14ac:dyDescent="0.2">
      <c r="C481" s="23">
        <v>1100102698</v>
      </c>
      <c r="E481" s="23">
        <v>2100</v>
      </c>
      <c r="F481" s="23" t="s">
        <v>1361</v>
      </c>
      <c r="G481" s="23" t="s">
        <v>1362</v>
      </c>
      <c r="H481" s="24">
        <v>46142</v>
      </c>
      <c r="I481" s="24">
        <v>46142</v>
      </c>
      <c r="J481" s="23" t="s">
        <v>1056</v>
      </c>
      <c r="K481" s="23" t="s">
        <v>1056</v>
      </c>
      <c r="L481" s="23">
        <v>1</v>
      </c>
      <c r="M481" s="23" t="s">
        <v>78</v>
      </c>
      <c r="N481" s="23" t="s">
        <v>78</v>
      </c>
      <c r="O481" s="23">
        <v>29006</v>
      </c>
      <c r="P481" s="23" t="s">
        <v>79</v>
      </c>
      <c r="Q481" s="23" t="s">
        <v>119</v>
      </c>
      <c r="R481" s="23">
        <v>11100018</v>
      </c>
      <c r="S481" s="24" t="s">
        <v>80</v>
      </c>
      <c r="T481" s="24">
        <v>45882</v>
      </c>
      <c r="U481" s="24">
        <v>46752</v>
      </c>
      <c r="X481" s="24">
        <v>45882</v>
      </c>
      <c r="Y481" s="23">
        <v>1111</v>
      </c>
      <c r="Z481" s="23">
        <v>11400912</v>
      </c>
      <c r="AA481" s="23">
        <v>360103</v>
      </c>
      <c r="AB481" s="24">
        <v>45882</v>
      </c>
    </row>
    <row r="482" spans="2:28" x14ac:dyDescent="0.2">
      <c r="C482" s="23">
        <v>1100102698</v>
      </c>
      <c r="E482" s="23">
        <v>2200</v>
      </c>
      <c r="F482" s="23" t="s">
        <v>1363</v>
      </c>
      <c r="G482" s="23" t="s">
        <v>1364</v>
      </c>
      <c r="H482" s="24">
        <v>46142</v>
      </c>
      <c r="I482" s="24">
        <v>46142</v>
      </c>
      <c r="J482" s="23" t="s">
        <v>1056</v>
      </c>
      <c r="K482" s="23" t="s">
        <v>1056</v>
      </c>
      <c r="L482" s="23">
        <v>1</v>
      </c>
      <c r="M482" s="23" t="s">
        <v>78</v>
      </c>
      <c r="N482" s="23" t="s">
        <v>78</v>
      </c>
      <c r="O482" s="23">
        <v>29682</v>
      </c>
      <c r="P482" s="23" t="s">
        <v>79</v>
      </c>
      <c r="Q482" s="23" t="s">
        <v>119</v>
      </c>
      <c r="R482" s="23">
        <v>11100018</v>
      </c>
      <c r="S482" s="24" t="s">
        <v>80</v>
      </c>
      <c r="T482" s="24">
        <v>45882</v>
      </c>
      <c r="U482" s="24">
        <v>46752</v>
      </c>
      <c r="X482" s="24">
        <v>45882</v>
      </c>
      <c r="Y482" s="23">
        <v>1111</v>
      </c>
      <c r="Z482" s="23">
        <v>11400912</v>
      </c>
      <c r="AA482" s="23">
        <v>360103</v>
      </c>
      <c r="AB482" s="24">
        <v>45882</v>
      </c>
    </row>
    <row r="483" spans="2:28" x14ac:dyDescent="0.2">
      <c r="C483" s="23">
        <v>1100102698</v>
      </c>
      <c r="E483" s="23">
        <v>2300</v>
      </c>
      <c r="F483" s="23" t="s">
        <v>1365</v>
      </c>
      <c r="G483" s="23" t="s">
        <v>1366</v>
      </c>
      <c r="H483" s="24">
        <v>46142</v>
      </c>
      <c r="I483" s="24">
        <v>46142</v>
      </c>
      <c r="J483" s="23" t="s">
        <v>1056</v>
      </c>
      <c r="K483" s="23" t="s">
        <v>1056</v>
      </c>
      <c r="L483" s="23">
        <v>1</v>
      </c>
      <c r="M483" s="23" t="s">
        <v>78</v>
      </c>
      <c r="N483" s="23" t="s">
        <v>78</v>
      </c>
      <c r="O483" s="23">
        <v>29682</v>
      </c>
      <c r="P483" s="23" t="s">
        <v>79</v>
      </c>
      <c r="Q483" s="23" t="s">
        <v>119</v>
      </c>
      <c r="R483" s="23">
        <v>11100018</v>
      </c>
      <c r="S483" s="24" t="s">
        <v>80</v>
      </c>
      <c r="T483" s="24">
        <v>45882</v>
      </c>
      <c r="U483" s="24">
        <v>46752</v>
      </c>
      <c r="X483" s="24">
        <v>45882</v>
      </c>
      <c r="Y483" s="23">
        <v>1111</v>
      </c>
      <c r="Z483" s="23">
        <v>11400912</v>
      </c>
      <c r="AA483" s="23">
        <v>360103</v>
      </c>
      <c r="AB483" s="24">
        <v>45882</v>
      </c>
    </row>
    <row r="484" spans="2:28" x14ac:dyDescent="0.2">
      <c r="C484" s="23">
        <v>1100102698</v>
      </c>
      <c r="E484" s="23">
        <v>2400</v>
      </c>
      <c r="F484" s="23" t="s">
        <v>1367</v>
      </c>
      <c r="G484" s="23" t="s">
        <v>1368</v>
      </c>
      <c r="H484" s="24">
        <v>46142</v>
      </c>
      <c r="I484" s="24">
        <v>46142</v>
      </c>
      <c r="J484" s="23" t="s">
        <v>1056</v>
      </c>
      <c r="K484" s="23" t="s">
        <v>1056</v>
      </c>
      <c r="L484" s="23">
        <v>1</v>
      </c>
      <c r="M484" s="23" t="s">
        <v>78</v>
      </c>
      <c r="N484" s="23" t="s">
        <v>78</v>
      </c>
      <c r="O484" s="23">
        <v>36372</v>
      </c>
      <c r="P484" s="23" t="s">
        <v>79</v>
      </c>
      <c r="Q484" s="23" t="s">
        <v>119</v>
      </c>
      <c r="R484" s="23">
        <v>11100018</v>
      </c>
      <c r="S484" s="24" t="s">
        <v>80</v>
      </c>
      <c r="T484" s="24">
        <v>45882</v>
      </c>
      <c r="U484" s="24">
        <v>46752</v>
      </c>
      <c r="X484" s="24">
        <v>45882</v>
      </c>
      <c r="Y484" s="23">
        <v>1111</v>
      </c>
      <c r="Z484" s="23">
        <v>11400912</v>
      </c>
      <c r="AA484" s="23">
        <v>360103</v>
      </c>
      <c r="AB484" s="24">
        <v>45882</v>
      </c>
    </row>
    <row r="485" spans="2:28" x14ac:dyDescent="0.2">
      <c r="C485" s="23">
        <v>1100102698</v>
      </c>
      <c r="E485" s="23">
        <v>2500</v>
      </c>
      <c r="F485" s="23" t="s">
        <v>1369</v>
      </c>
      <c r="G485" s="23" t="s">
        <v>1370</v>
      </c>
      <c r="H485" s="24">
        <v>46142</v>
      </c>
      <c r="I485" s="24">
        <v>46142</v>
      </c>
      <c r="J485" s="23" t="s">
        <v>1056</v>
      </c>
      <c r="K485" s="23" t="s">
        <v>1056</v>
      </c>
      <c r="L485" s="23">
        <v>1</v>
      </c>
      <c r="M485" s="23" t="s">
        <v>78</v>
      </c>
      <c r="N485" s="23" t="s">
        <v>78</v>
      </c>
      <c r="O485" s="23">
        <v>36372</v>
      </c>
      <c r="P485" s="23" t="s">
        <v>79</v>
      </c>
      <c r="Q485" s="23" t="s">
        <v>119</v>
      </c>
      <c r="R485" s="23">
        <v>11100018</v>
      </c>
      <c r="S485" s="24" t="s">
        <v>80</v>
      </c>
      <c r="T485" s="24">
        <v>45882</v>
      </c>
      <c r="U485" s="24">
        <v>46752</v>
      </c>
      <c r="X485" s="24">
        <v>45882</v>
      </c>
      <c r="Y485" s="23">
        <v>1111</v>
      </c>
      <c r="Z485" s="23">
        <v>11400912</v>
      </c>
      <c r="AA485" s="23">
        <v>360103</v>
      </c>
      <c r="AB485" s="24">
        <v>45882</v>
      </c>
    </row>
    <row r="486" spans="2:28" x14ac:dyDescent="0.2">
      <c r="C486" s="23">
        <v>1100102698</v>
      </c>
      <c r="E486" s="23">
        <v>2600</v>
      </c>
      <c r="F486" s="23" t="s">
        <v>1371</v>
      </c>
      <c r="G486" s="23" t="s">
        <v>1372</v>
      </c>
      <c r="H486" s="24">
        <v>46142</v>
      </c>
      <c r="I486" s="24">
        <v>46142</v>
      </c>
      <c r="J486" s="23" t="s">
        <v>1056</v>
      </c>
      <c r="K486" s="23" t="s">
        <v>1056</v>
      </c>
      <c r="L486" s="23">
        <v>1</v>
      </c>
      <c r="M486" s="23" t="s">
        <v>78</v>
      </c>
      <c r="N486" s="23" t="s">
        <v>78</v>
      </c>
      <c r="O486" s="23">
        <v>13800</v>
      </c>
      <c r="P486" s="23" t="s">
        <v>79</v>
      </c>
      <c r="Q486" s="23" t="s">
        <v>119</v>
      </c>
      <c r="R486" s="23">
        <v>11100018</v>
      </c>
      <c r="S486" s="24" t="s">
        <v>80</v>
      </c>
      <c r="T486" s="24">
        <v>45882</v>
      </c>
      <c r="U486" s="24">
        <v>46752</v>
      </c>
      <c r="X486" s="24">
        <v>45882</v>
      </c>
      <c r="Y486" s="23">
        <v>1111</v>
      </c>
      <c r="Z486" s="23">
        <v>11400912</v>
      </c>
      <c r="AA486" s="23">
        <v>360103</v>
      </c>
      <c r="AB486" s="24">
        <v>45882</v>
      </c>
    </row>
    <row r="487" spans="2:28" x14ac:dyDescent="0.2">
      <c r="C487" s="23">
        <v>1100102698</v>
      </c>
      <c r="E487" s="23">
        <v>2700</v>
      </c>
      <c r="F487" s="23" t="s">
        <v>1373</v>
      </c>
      <c r="G487" s="23" t="s">
        <v>1374</v>
      </c>
      <c r="H487" s="24">
        <v>46142</v>
      </c>
      <c r="I487" s="24">
        <v>46142</v>
      </c>
      <c r="J487" s="23" t="s">
        <v>1056</v>
      </c>
      <c r="K487" s="23" t="s">
        <v>1056</v>
      </c>
      <c r="L487" s="23">
        <v>1</v>
      </c>
      <c r="M487" s="23" t="s">
        <v>78</v>
      </c>
      <c r="N487" s="23" t="s">
        <v>78</v>
      </c>
      <c r="O487" s="23">
        <v>13800</v>
      </c>
      <c r="P487" s="23" t="s">
        <v>79</v>
      </c>
      <c r="Q487" s="23" t="s">
        <v>119</v>
      </c>
      <c r="R487" s="23">
        <v>11100018</v>
      </c>
      <c r="S487" s="24" t="s">
        <v>80</v>
      </c>
      <c r="T487" s="24">
        <v>45882</v>
      </c>
      <c r="U487" s="24">
        <v>46752</v>
      </c>
      <c r="X487" s="24">
        <v>45882</v>
      </c>
      <c r="Y487" s="23">
        <v>1111</v>
      </c>
      <c r="Z487" s="23">
        <v>11400912</v>
      </c>
      <c r="AA487" s="23">
        <v>360103</v>
      </c>
      <c r="AB487" s="24">
        <v>45882</v>
      </c>
    </row>
    <row r="488" spans="2:28" x14ac:dyDescent="0.2">
      <c r="B488" s="23" t="s">
        <v>81</v>
      </c>
      <c r="C488" s="23">
        <v>1100102698</v>
      </c>
      <c r="H488" s="24">
        <v>46142</v>
      </c>
      <c r="O488" s="23">
        <v>391756</v>
      </c>
      <c r="P488" s="23" t="s">
        <v>79</v>
      </c>
    </row>
    <row r="489" spans="2:28" x14ac:dyDescent="0.2">
      <c r="C489" s="23">
        <v>1100567488</v>
      </c>
      <c r="E489" s="23">
        <v>10</v>
      </c>
      <c r="F489" s="23" t="s">
        <v>87</v>
      </c>
      <c r="G489" s="23" t="s">
        <v>1474</v>
      </c>
      <c r="H489" s="24">
        <v>46142</v>
      </c>
      <c r="I489" s="24">
        <v>46142</v>
      </c>
      <c r="J489" s="23" t="s">
        <v>645</v>
      </c>
      <c r="K489" s="23" t="s">
        <v>645</v>
      </c>
      <c r="L489" s="23">
        <v>4</v>
      </c>
      <c r="M489" s="23" t="s">
        <v>78</v>
      </c>
      <c r="N489" s="23" t="s">
        <v>78</v>
      </c>
      <c r="O489" s="23">
        <v>139054</v>
      </c>
      <c r="P489" s="23" t="s">
        <v>79</v>
      </c>
      <c r="Q489" s="23" t="s">
        <v>83</v>
      </c>
      <c r="R489" s="23">
        <v>11100018</v>
      </c>
      <c r="S489" s="24" t="s">
        <v>80</v>
      </c>
      <c r="T489" s="24">
        <v>45959</v>
      </c>
      <c r="U489" s="24">
        <v>46752</v>
      </c>
      <c r="X489" s="24" t="s">
        <v>80</v>
      </c>
      <c r="Y489" s="23">
        <v>1111</v>
      </c>
      <c r="Z489" s="23">
        <v>11100303</v>
      </c>
      <c r="AA489" s="23">
        <v>330103</v>
      </c>
      <c r="AB489" s="24" t="s">
        <v>80</v>
      </c>
    </row>
    <row r="490" spans="2:28" x14ac:dyDescent="0.2">
      <c r="C490" s="23">
        <v>1100567488</v>
      </c>
      <c r="E490" s="23">
        <v>20</v>
      </c>
      <c r="F490" s="23" t="s">
        <v>84</v>
      </c>
      <c r="G490" s="23" t="s">
        <v>123</v>
      </c>
      <c r="H490" s="24">
        <v>46142</v>
      </c>
      <c r="I490" s="24">
        <v>46142</v>
      </c>
      <c r="J490" s="23" t="s">
        <v>645</v>
      </c>
      <c r="K490" s="23" t="s">
        <v>645</v>
      </c>
      <c r="L490" s="23">
        <v>1</v>
      </c>
      <c r="M490" s="23" t="s">
        <v>78</v>
      </c>
      <c r="N490" s="23" t="s">
        <v>78</v>
      </c>
      <c r="O490" s="23">
        <v>0.01</v>
      </c>
      <c r="P490" s="23" t="s">
        <v>79</v>
      </c>
      <c r="Q490" s="23" t="s">
        <v>83</v>
      </c>
      <c r="R490" s="23">
        <v>11100018</v>
      </c>
      <c r="S490" s="24" t="s">
        <v>80</v>
      </c>
      <c r="T490" s="24">
        <v>45959</v>
      </c>
      <c r="U490" s="24">
        <v>46752</v>
      </c>
      <c r="X490" s="24">
        <v>45939</v>
      </c>
      <c r="Y490" s="23">
        <v>1111</v>
      </c>
      <c r="Z490" s="23">
        <v>11100303</v>
      </c>
      <c r="AA490" s="23">
        <v>330103</v>
      </c>
      <c r="AB490" s="24">
        <v>45959</v>
      </c>
    </row>
    <row r="491" spans="2:28" x14ac:dyDescent="0.2">
      <c r="B491" s="23" t="s">
        <v>81</v>
      </c>
      <c r="C491" s="23">
        <v>1100567488</v>
      </c>
      <c r="H491" s="24">
        <v>46142</v>
      </c>
      <c r="O491" s="23">
        <v>139054.01</v>
      </c>
      <c r="P491" s="23" t="s">
        <v>79</v>
      </c>
    </row>
    <row r="492" spans="2:28" x14ac:dyDescent="0.2">
      <c r="C492" s="23">
        <v>1100575489</v>
      </c>
      <c r="E492" s="23">
        <v>10</v>
      </c>
      <c r="F492" s="23" t="s">
        <v>2424</v>
      </c>
      <c r="G492" s="23" t="s">
        <v>981</v>
      </c>
      <c r="H492" s="24">
        <v>46142</v>
      </c>
      <c r="I492" s="24">
        <v>46142</v>
      </c>
      <c r="J492" s="23" t="s">
        <v>1240</v>
      </c>
      <c r="K492" s="23" t="s">
        <v>1240</v>
      </c>
      <c r="L492" s="23">
        <v>3</v>
      </c>
      <c r="M492" s="23" t="s">
        <v>78</v>
      </c>
      <c r="N492" s="23" t="s">
        <v>78</v>
      </c>
      <c r="O492" s="23">
        <v>23259</v>
      </c>
      <c r="P492" s="23" t="s">
        <v>79</v>
      </c>
      <c r="Q492" s="23" t="s">
        <v>83</v>
      </c>
      <c r="R492" s="23">
        <v>11100299</v>
      </c>
      <c r="S492" s="24">
        <v>46142</v>
      </c>
      <c r="T492" s="24">
        <v>46052</v>
      </c>
      <c r="U492" s="24">
        <v>46142</v>
      </c>
      <c r="X492" s="24">
        <v>46049</v>
      </c>
      <c r="Y492" s="23">
        <v>1111</v>
      </c>
      <c r="Z492" s="23">
        <v>11100002</v>
      </c>
      <c r="AA492" s="23">
        <v>3312</v>
      </c>
      <c r="AB492" s="24">
        <v>46052</v>
      </c>
    </row>
    <row r="493" spans="2:28" x14ac:dyDescent="0.2">
      <c r="C493" s="23">
        <v>1100575489</v>
      </c>
      <c r="E493" s="23">
        <v>20</v>
      </c>
      <c r="F493" s="23" t="s">
        <v>84</v>
      </c>
      <c r="G493" s="23" t="s">
        <v>123</v>
      </c>
      <c r="H493" s="24">
        <v>46142</v>
      </c>
      <c r="I493" s="24">
        <v>46142</v>
      </c>
      <c r="J493" s="23" t="s">
        <v>1240</v>
      </c>
      <c r="K493" s="23" t="s">
        <v>1240</v>
      </c>
      <c r="L493" s="23">
        <v>1</v>
      </c>
      <c r="M493" s="23" t="s">
        <v>78</v>
      </c>
      <c r="N493" s="23" t="s">
        <v>78</v>
      </c>
      <c r="O493" s="23">
        <v>0.01</v>
      </c>
      <c r="P493" s="23" t="s">
        <v>79</v>
      </c>
      <c r="Q493" s="23" t="s">
        <v>83</v>
      </c>
      <c r="R493" s="23">
        <v>11100299</v>
      </c>
      <c r="S493" s="24" t="s">
        <v>80</v>
      </c>
      <c r="T493" s="24">
        <v>46052</v>
      </c>
      <c r="U493" s="24">
        <v>46142</v>
      </c>
      <c r="X493" s="24">
        <v>46049</v>
      </c>
      <c r="Y493" s="23">
        <v>1111</v>
      </c>
      <c r="Z493" s="23">
        <v>11100002</v>
      </c>
      <c r="AA493" s="23">
        <v>3312</v>
      </c>
      <c r="AB493" s="24">
        <v>46052</v>
      </c>
    </row>
    <row r="494" spans="2:28" x14ac:dyDescent="0.2">
      <c r="B494" s="23" t="s">
        <v>81</v>
      </c>
      <c r="C494" s="23">
        <v>1100575489</v>
      </c>
      <c r="H494" s="24">
        <v>46142</v>
      </c>
      <c r="O494" s="23">
        <v>23259.01</v>
      </c>
      <c r="P494" s="23" t="s">
        <v>79</v>
      </c>
    </row>
    <row r="495" spans="2:28" x14ac:dyDescent="0.2">
      <c r="C495" s="23">
        <v>1100576429</v>
      </c>
      <c r="E495" s="23">
        <v>10</v>
      </c>
      <c r="F495" s="23" t="s">
        <v>87</v>
      </c>
      <c r="G495" s="23" t="s">
        <v>570</v>
      </c>
      <c r="H495" s="24">
        <v>46142</v>
      </c>
      <c r="I495" s="24">
        <v>46142</v>
      </c>
      <c r="J495" s="23" t="s">
        <v>165</v>
      </c>
      <c r="K495" s="23" t="s">
        <v>165</v>
      </c>
      <c r="L495" s="23">
        <v>1</v>
      </c>
      <c r="M495" s="23" t="s">
        <v>78</v>
      </c>
      <c r="N495" s="23" t="s">
        <v>78</v>
      </c>
      <c r="O495" s="23">
        <v>29848</v>
      </c>
      <c r="P495" s="23" t="s">
        <v>79</v>
      </c>
      <c r="Q495" s="23" t="s">
        <v>83</v>
      </c>
      <c r="R495" s="23">
        <v>11100189</v>
      </c>
      <c r="S495" s="24">
        <v>46125</v>
      </c>
      <c r="T495" s="24">
        <v>46063</v>
      </c>
      <c r="U495" s="24" t="s">
        <v>80</v>
      </c>
      <c r="X495" s="24">
        <v>46031</v>
      </c>
      <c r="Y495" s="23">
        <v>1111</v>
      </c>
      <c r="Z495" s="23">
        <v>11100303</v>
      </c>
      <c r="AA495" s="23">
        <v>514903</v>
      </c>
      <c r="AB495" s="24">
        <v>46063</v>
      </c>
    </row>
    <row r="496" spans="2:28" x14ac:dyDescent="0.2">
      <c r="C496" s="23">
        <v>1100576429</v>
      </c>
      <c r="E496" s="23">
        <v>20</v>
      </c>
      <c r="F496" s="23" t="s">
        <v>84</v>
      </c>
      <c r="G496" s="23" t="s">
        <v>123</v>
      </c>
      <c r="H496" s="24">
        <v>46142</v>
      </c>
      <c r="I496" s="24">
        <v>46142</v>
      </c>
      <c r="J496" s="23" t="s">
        <v>165</v>
      </c>
      <c r="K496" s="23" t="s">
        <v>165</v>
      </c>
      <c r="L496" s="23">
        <v>1</v>
      </c>
      <c r="M496" s="23" t="s">
        <v>78</v>
      </c>
      <c r="N496" s="23" t="s">
        <v>78</v>
      </c>
      <c r="O496" s="23">
        <v>0.01</v>
      </c>
      <c r="P496" s="23" t="s">
        <v>79</v>
      </c>
      <c r="Q496" s="23" t="s">
        <v>83</v>
      </c>
      <c r="R496" s="23">
        <v>11100189</v>
      </c>
      <c r="S496" s="24" t="s">
        <v>80</v>
      </c>
      <c r="T496" s="24">
        <v>46063</v>
      </c>
      <c r="U496" s="24" t="s">
        <v>80</v>
      </c>
      <c r="X496" s="24">
        <v>46031</v>
      </c>
      <c r="Y496" s="23">
        <v>1111</v>
      </c>
      <c r="Z496" s="23">
        <v>11100303</v>
      </c>
      <c r="AA496" s="23">
        <v>514903</v>
      </c>
      <c r="AB496" s="24">
        <v>46063</v>
      </c>
    </row>
    <row r="497" spans="2:28" x14ac:dyDescent="0.2">
      <c r="C497" s="23">
        <v>1100576429</v>
      </c>
      <c r="E497" s="23">
        <v>30</v>
      </c>
      <c r="F497" s="23" t="s">
        <v>82</v>
      </c>
      <c r="G497" s="23" t="s">
        <v>139</v>
      </c>
      <c r="H497" s="24">
        <v>46142</v>
      </c>
      <c r="I497" s="24">
        <v>46142</v>
      </c>
      <c r="J497" s="23" t="s">
        <v>165</v>
      </c>
      <c r="K497" s="23" t="s">
        <v>165</v>
      </c>
      <c r="L497" s="23">
        <v>1</v>
      </c>
      <c r="M497" s="23" t="s">
        <v>78</v>
      </c>
      <c r="N497" s="23" t="s">
        <v>78</v>
      </c>
      <c r="O497" s="23">
        <v>0.01</v>
      </c>
      <c r="P497" s="23" t="s">
        <v>79</v>
      </c>
      <c r="Q497" s="23" t="s">
        <v>83</v>
      </c>
      <c r="R497" s="23">
        <v>11100189</v>
      </c>
      <c r="S497" s="24" t="s">
        <v>80</v>
      </c>
      <c r="T497" s="24">
        <v>46063</v>
      </c>
      <c r="U497" s="24" t="s">
        <v>80</v>
      </c>
      <c r="X497" s="24">
        <v>46031</v>
      </c>
      <c r="Y497" s="23">
        <v>1111</v>
      </c>
      <c r="Z497" s="23">
        <v>11100303</v>
      </c>
      <c r="AA497" s="23">
        <v>514903</v>
      </c>
      <c r="AB497" s="24">
        <v>46063</v>
      </c>
    </row>
    <row r="498" spans="2:28" x14ac:dyDescent="0.2">
      <c r="C498" s="23">
        <v>1100576429</v>
      </c>
      <c r="E498" s="23">
        <v>40</v>
      </c>
      <c r="F498" s="23" t="s">
        <v>297</v>
      </c>
      <c r="G498" s="23" t="s">
        <v>298</v>
      </c>
      <c r="H498" s="24">
        <v>46142</v>
      </c>
      <c r="I498" s="24">
        <v>46142</v>
      </c>
      <c r="J498" s="23" t="s">
        <v>165</v>
      </c>
      <c r="K498" s="23" t="s">
        <v>165</v>
      </c>
      <c r="L498" s="23">
        <v>1</v>
      </c>
      <c r="M498" s="23" t="s">
        <v>78</v>
      </c>
      <c r="N498" s="23" t="s">
        <v>78</v>
      </c>
      <c r="O498" s="23">
        <v>0</v>
      </c>
      <c r="P498" s="23" t="s">
        <v>79</v>
      </c>
      <c r="Q498" s="23" t="s">
        <v>83</v>
      </c>
      <c r="R498" s="23">
        <v>11100189</v>
      </c>
      <c r="S498" s="24" t="s">
        <v>80</v>
      </c>
      <c r="T498" s="24">
        <v>46063</v>
      </c>
      <c r="U498" s="24" t="s">
        <v>80</v>
      </c>
      <c r="X498" s="24">
        <v>46031</v>
      </c>
      <c r="Y498" s="23">
        <v>1111</v>
      </c>
      <c r="Z498" s="23">
        <v>11100303</v>
      </c>
      <c r="AA498" s="23">
        <v>514903</v>
      </c>
      <c r="AB498" s="24">
        <v>46063</v>
      </c>
    </row>
    <row r="499" spans="2:28" x14ac:dyDescent="0.2">
      <c r="C499" s="23">
        <v>1100576429</v>
      </c>
      <c r="E499" s="23">
        <v>50</v>
      </c>
      <c r="F499" s="23" t="s">
        <v>297</v>
      </c>
      <c r="G499" s="23" t="s">
        <v>2425</v>
      </c>
      <c r="H499" s="24">
        <v>46142</v>
      </c>
      <c r="I499" s="24">
        <v>46142</v>
      </c>
      <c r="J499" s="23" t="s">
        <v>165</v>
      </c>
      <c r="K499" s="23" t="s">
        <v>165</v>
      </c>
      <c r="L499" s="23">
        <v>1</v>
      </c>
      <c r="M499" s="23" t="s">
        <v>78</v>
      </c>
      <c r="N499" s="23" t="s">
        <v>78</v>
      </c>
      <c r="O499" s="23">
        <v>0</v>
      </c>
      <c r="P499" s="23" t="s">
        <v>79</v>
      </c>
      <c r="Q499" s="23" t="s">
        <v>83</v>
      </c>
      <c r="R499" s="23">
        <v>11100189</v>
      </c>
      <c r="S499" s="24" t="s">
        <v>80</v>
      </c>
      <c r="T499" s="24">
        <v>46063</v>
      </c>
      <c r="U499" s="24" t="s">
        <v>80</v>
      </c>
      <c r="X499" s="24">
        <v>46031</v>
      </c>
      <c r="Y499" s="23">
        <v>1111</v>
      </c>
      <c r="Z499" s="23">
        <v>11100303</v>
      </c>
      <c r="AA499" s="23">
        <v>514903</v>
      </c>
      <c r="AB499" s="24">
        <v>46063</v>
      </c>
    </row>
    <row r="500" spans="2:28" x14ac:dyDescent="0.2">
      <c r="B500" s="23" t="s">
        <v>81</v>
      </c>
      <c r="C500" s="23">
        <v>1100576429</v>
      </c>
      <c r="H500" s="24">
        <v>46142</v>
      </c>
      <c r="O500" s="23">
        <v>29848.02</v>
      </c>
      <c r="P500" s="23" t="s">
        <v>79</v>
      </c>
    </row>
    <row r="501" spans="2:28" x14ac:dyDescent="0.2">
      <c r="C501" s="23">
        <v>1100102745</v>
      </c>
      <c r="E501" s="23">
        <v>750</v>
      </c>
      <c r="F501" s="23" t="s">
        <v>1475</v>
      </c>
      <c r="G501" s="23" t="s">
        <v>305</v>
      </c>
      <c r="H501" s="24">
        <v>46143</v>
      </c>
      <c r="I501" s="24">
        <v>46143</v>
      </c>
      <c r="J501" s="23" t="s">
        <v>1476</v>
      </c>
      <c r="K501" s="23" t="s">
        <v>1476</v>
      </c>
      <c r="L501" s="23">
        <v>1</v>
      </c>
      <c r="M501" s="23" t="s">
        <v>78</v>
      </c>
      <c r="N501" s="23" t="s">
        <v>78</v>
      </c>
      <c r="O501" s="23">
        <v>0</v>
      </c>
      <c r="P501" s="23" t="s">
        <v>79</v>
      </c>
      <c r="Q501" s="23" t="s">
        <v>119</v>
      </c>
      <c r="R501" s="23">
        <v>11100299</v>
      </c>
      <c r="S501" s="24" t="s">
        <v>80</v>
      </c>
      <c r="T501" s="24">
        <v>45982</v>
      </c>
      <c r="U501" s="24">
        <v>46751</v>
      </c>
      <c r="X501" s="24">
        <v>45982</v>
      </c>
      <c r="Y501" s="23">
        <v>1111</v>
      </c>
      <c r="Z501" s="23">
        <v>11400912</v>
      </c>
      <c r="AA501" s="23">
        <v>3261</v>
      </c>
      <c r="AB501" s="24">
        <v>45982</v>
      </c>
    </row>
    <row r="502" spans="2:28" x14ac:dyDescent="0.2">
      <c r="C502" s="23">
        <v>1100102745</v>
      </c>
      <c r="E502" s="23">
        <v>1000</v>
      </c>
      <c r="F502" s="23" t="s">
        <v>1477</v>
      </c>
      <c r="G502" s="23" t="s">
        <v>1478</v>
      </c>
      <c r="H502" s="24">
        <v>46143</v>
      </c>
      <c r="I502" s="24">
        <v>46143</v>
      </c>
      <c r="J502" s="23" t="s">
        <v>1476</v>
      </c>
      <c r="K502" s="23" t="s">
        <v>1476</v>
      </c>
      <c r="L502" s="23">
        <v>1</v>
      </c>
      <c r="M502" s="23" t="s">
        <v>78</v>
      </c>
      <c r="N502" s="23" t="s">
        <v>78</v>
      </c>
      <c r="O502" s="23">
        <v>2710</v>
      </c>
      <c r="P502" s="23" t="s">
        <v>79</v>
      </c>
      <c r="Q502" s="23" t="s">
        <v>119</v>
      </c>
      <c r="R502" s="23">
        <v>11100299</v>
      </c>
      <c r="S502" s="24" t="s">
        <v>80</v>
      </c>
      <c r="T502" s="24">
        <v>45982</v>
      </c>
      <c r="U502" s="24">
        <v>46751</v>
      </c>
      <c r="X502" s="24">
        <v>45982</v>
      </c>
      <c r="Y502" s="23">
        <v>1111</v>
      </c>
      <c r="Z502" s="23">
        <v>11400912</v>
      </c>
      <c r="AA502" s="23">
        <v>3261</v>
      </c>
      <c r="AB502" s="24">
        <v>45982</v>
      </c>
    </row>
    <row r="503" spans="2:28" x14ac:dyDescent="0.2">
      <c r="C503" s="23">
        <v>1100102745</v>
      </c>
      <c r="E503" s="23">
        <v>1200</v>
      </c>
      <c r="F503" s="23" t="s">
        <v>1479</v>
      </c>
      <c r="G503" s="23" t="s">
        <v>1480</v>
      </c>
      <c r="H503" s="24">
        <v>46143</v>
      </c>
      <c r="I503" s="24">
        <v>46143</v>
      </c>
      <c r="J503" s="23" t="s">
        <v>1476</v>
      </c>
      <c r="K503" s="23" t="s">
        <v>1476</v>
      </c>
      <c r="L503" s="23">
        <v>1</v>
      </c>
      <c r="M503" s="23" t="s">
        <v>78</v>
      </c>
      <c r="N503" s="23" t="s">
        <v>78</v>
      </c>
      <c r="O503" s="23">
        <v>4203</v>
      </c>
      <c r="P503" s="23" t="s">
        <v>79</v>
      </c>
      <c r="Q503" s="23" t="s">
        <v>119</v>
      </c>
      <c r="R503" s="23">
        <v>11100299</v>
      </c>
      <c r="S503" s="24" t="s">
        <v>80</v>
      </c>
      <c r="T503" s="24">
        <v>45982</v>
      </c>
      <c r="U503" s="24">
        <v>46751</v>
      </c>
      <c r="X503" s="24">
        <v>45982</v>
      </c>
      <c r="Y503" s="23">
        <v>1111</v>
      </c>
      <c r="Z503" s="23">
        <v>11400912</v>
      </c>
      <c r="AA503" s="23">
        <v>3261</v>
      </c>
      <c r="AB503" s="24">
        <v>45982</v>
      </c>
    </row>
    <row r="504" spans="2:28" x14ac:dyDescent="0.2">
      <c r="C504" s="23">
        <v>1100102745</v>
      </c>
      <c r="E504" s="23">
        <v>1300</v>
      </c>
      <c r="F504" s="23" t="s">
        <v>1481</v>
      </c>
      <c r="G504" s="23" t="s">
        <v>1482</v>
      </c>
      <c r="H504" s="24">
        <v>46143</v>
      </c>
      <c r="I504" s="24">
        <v>46143</v>
      </c>
      <c r="J504" s="23" t="s">
        <v>1476</v>
      </c>
      <c r="K504" s="23" t="s">
        <v>1476</v>
      </c>
      <c r="L504" s="23">
        <v>1</v>
      </c>
      <c r="M504" s="23" t="s">
        <v>78</v>
      </c>
      <c r="N504" s="23" t="s">
        <v>78</v>
      </c>
      <c r="O504" s="23">
        <v>39727</v>
      </c>
      <c r="P504" s="23" t="s">
        <v>79</v>
      </c>
      <c r="Q504" s="23" t="s">
        <v>119</v>
      </c>
      <c r="R504" s="23">
        <v>11100299</v>
      </c>
      <c r="S504" s="24" t="s">
        <v>80</v>
      </c>
      <c r="T504" s="24">
        <v>45982</v>
      </c>
      <c r="U504" s="24">
        <v>46751</v>
      </c>
      <c r="X504" s="24">
        <v>45982</v>
      </c>
      <c r="Y504" s="23">
        <v>1111</v>
      </c>
      <c r="Z504" s="23">
        <v>11400912</v>
      </c>
      <c r="AA504" s="23">
        <v>3201</v>
      </c>
      <c r="AB504" s="24">
        <v>45982</v>
      </c>
    </row>
    <row r="505" spans="2:28" x14ac:dyDescent="0.2">
      <c r="C505" s="23">
        <v>1100102745</v>
      </c>
      <c r="E505" s="23">
        <v>1400</v>
      </c>
      <c r="F505" s="23" t="s">
        <v>1483</v>
      </c>
      <c r="G505" s="23" t="s">
        <v>1484</v>
      </c>
      <c r="H505" s="24">
        <v>46143</v>
      </c>
      <c r="I505" s="24">
        <v>46143</v>
      </c>
      <c r="J505" s="23" t="s">
        <v>1476</v>
      </c>
      <c r="K505" s="23" t="s">
        <v>1476</v>
      </c>
      <c r="L505" s="23">
        <v>1</v>
      </c>
      <c r="M505" s="23" t="s">
        <v>78</v>
      </c>
      <c r="N505" s="23" t="s">
        <v>78</v>
      </c>
      <c r="O505" s="23">
        <v>5404</v>
      </c>
      <c r="P505" s="23" t="s">
        <v>79</v>
      </c>
      <c r="Q505" s="23" t="s">
        <v>119</v>
      </c>
      <c r="R505" s="23">
        <v>11100299</v>
      </c>
      <c r="S505" s="24" t="s">
        <v>80</v>
      </c>
      <c r="T505" s="24">
        <v>45982</v>
      </c>
      <c r="U505" s="24">
        <v>46751</v>
      </c>
      <c r="X505" s="24">
        <v>45982</v>
      </c>
      <c r="Y505" s="23">
        <v>1111</v>
      </c>
      <c r="Z505" s="23">
        <v>11400912</v>
      </c>
      <c r="AA505" s="23">
        <v>3201</v>
      </c>
      <c r="AB505" s="24">
        <v>45982</v>
      </c>
    </row>
    <row r="506" spans="2:28" x14ac:dyDescent="0.2">
      <c r="C506" s="23">
        <v>1100102745</v>
      </c>
      <c r="E506" s="23">
        <v>1500</v>
      </c>
      <c r="F506" s="23" t="s">
        <v>1485</v>
      </c>
      <c r="G506" s="23" t="s">
        <v>1486</v>
      </c>
      <c r="H506" s="24">
        <v>46143</v>
      </c>
      <c r="I506" s="24">
        <v>46143</v>
      </c>
      <c r="J506" s="23" t="s">
        <v>1476</v>
      </c>
      <c r="K506" s="23" t="s">
        <v>1476</v>
      </c>
      <c r="L506" s="23">
        <v>1</v>
      </c>
      <c r="M506" s="23" t="s">
        <v>78</v>
      </c>
      <c r="N506" s="23" t="s">
        <v>78</v>
      </c>
      <c r="O506" s="23">
        <v>4203</v>
      </c>
      <c r="P506" s="23" t="s">
        <v>79</v>
      </c>
      <c r="Q506" s="23" t="s">
        <v>119</v>
      </c>
      <c r="R506" s="23">
        <v>11100299</v>
      </c>
      <c r="S506" s="24" t="s">
        <v>80</v>
      </c>
      <c r="T506" s="24">
        <v>45982</v>
      </c>
      <c r="U506" s="24">
        <v>46751</v>
      </c>
      <c r="X506" s="24">
        <v>45982</v>
      </c>
      <c r="Y506" s="23">
        <v>1111</v>
      </c>
      <c r="Z506" s="23">
        <v>11400912</v>
      </c>
      <c r="AA506" s="23">
        <v>3261</v>
      </c>
      <c r="AB506" s="24">
        <v>45982</v>
      </c>
    </row>
    <row r="507" spans="2:28" x14ac:dyDescent="0.2">
      <c r="C507" s="23">
        <v>1100102745</v>
      </c>
      <c r="E507" s="23">
        <v>1900</v>
      </c>
      <c r="F507" s="23" t="s">
        <v>1487</v>
      </c>
      <c r="G507" s="23" t="s">
        <v>1488</v>
      </c>
      <c r="H507" s="24">
        <v>46143</v>
      </c>
      <c r="I507" s="24">
        <v>46143</v>
      </c>
      <c r="J507" s="23" t="s">
        <v>1476</v>
      </c>
      <c r="K507" s="23" t="s">
        <v>1476</v>
      </c>
      <c r="L507" s="23">
        <v>1</v>
      </c>
      <c r="M507" s="23" t="s">
        <v>78</v>
      </c>
      <c r="N507" s="23" t="s">
        <v>78</v>
      </c>
      <c r="O507" s="23">
        <v>39727</v>
      </c>
      <c r="P507" s="23" t="s">
        <v>79</v>
      </c>
      <c r="Q507" s="23" t="s">
        <v>119</v>
      </c>
      <c r="R507" s="23">
        <v>11100299</v>
      </c>
      <c r="S507" s="24" t="s">
        <v>80</v>
      </c>
      <c r="T507" s="24">
        <v>45982</v>
      </c>
      <c r="U507" s="24">
        <v>46751</v>
      </c>
      <c r="X507" s="24">
        <v>45982</v>
      </c>
      <c r="Y507" s="23">
        <v>1111</v>
      </c>
      <c r="Z507" s="23">
        <v>11400912</v>
      </c>
      <c r="AA507" s="23">
        <v>3201</v>
      </c>
      <c r="AB507" s="24">
        <v>45982</v>
      </c>
    </row>
    <row r="508" spans="2:28" x14ac:dyDescent="0.2">
      <c r="C508" s="23">
        <v>1100102745</v>
      </c>
      <c r="E508" s="23">
        <v>2000</v>
      </c>
      <c r="F508" s="23" t="s">
        <v>1489</v>
      </c>
      <c r="G508" s="23" t="s">
        <v>1490</v>
      </c>
      <c r="H508" s="24">
        <v>46143</v>
      </c>
      <c r="I508" s="24">
        <v>46143</v>
      </c>
      <c r="J508" s="23" t="s">
        <v>1476</v>
      </c>
      <c r="K508" s="23" t="s">
        <v>1476</v>
      </c>
      <c r="L508" s="23">
        <v>1</v>
      </c>
      <c r="M508" s="23" t="s">
        <v>78</v>
      </c>
      <c r="N508" s="23" t="s">
        <v>78</v>
      </c>
      <c r="O508" s="23">
        <v>5404</v>
      </c>
      <c r="P508" s="23" t="s">
        <v>79</v>
      </c>
      <c r="Q508" s="23" t="s">
        <v>119</v>
      </c>
      <c r="R508" s="23">
        <v>11100299</v>
      </c>
      <c r="S508" s="24" t="s">
        <v>80</v>
      </c>
      <c r="T508" s="24">
        <v>45982</v>
      </c>
      <c r="U508" s="24">
        <v>46751</v>
      </c>
      <c r="X508" s="24">
        <v>45982</v>
      </c>
      <c r="Y508" s="23">
        <v>1111</v>
      </c>
      <c r="Z508" s="23">
        <v>11400912</v>
      </c>
      <c r="AA508" s="23">
        <v>3201</v>
      </c>
      <c r="AB508" s="24">
        <v>45982</v>
      </c>
    </row>
    <row r="509" spans="2:28" x14ac:dyDescent="0.2">
      <c r="C509" s="23">
        <v>1100102745</v>
      </c>
      <c r="E509" s="23">
        <v>2100</v>
      </c>
      <c r="F509" s="23" t="s">
        <v>1491</v>
      </c>
      <c r="G509" s="23" t="s">
        <v>1492</v>
      </c>
      <c r="H509" s="24">
        <v>46143</v>
      </c>
      <c r="I509" s="24">
        <v>46143</v>
      </c>
      <c r="J509" s="23" t="s">
        <v>1476</v>
      </c>
      <c r="K509" s="23" t="s">
        <v>1476</v>
      </c>
      <c r="L509" s="23">
        <v>1</v>
      </c>
      <c r="M509" s="23" t="s">
        <v>78</v>
      </c>
      <c r="N509" s="23" t="s">
        <v>78</v>
      </c>
      <c r="O509" s="23">
        <v>4203</v>
      </c>
      <c r="P509" s="23" t="s">
        <v>79</v>
      </c>
      <c r="Q509" s="23" t="s">
        <v>119</v>
      </c>
      <c r="R509" s="23">
        <v>11100299</v>
      </c>
      <c r="S509" s="24" t="s">
        <v>80</v>
      </c>
      <c r="T509" s="24">
        <v>45982</v>
      </c>
      <c r="U509" s="24">
        <v>46751</v>
      </c>
      <c r="X509" s="24">
        <v>45982</v>
      </c>
      <c r="Y509" s="23">
        <v>1111</v>
      </c>
      <c r="Z509" s="23">
        <v>11400912</v>
      </c>
      <c r="AA509" s="23">
        <v>3261</v>
      </c>
      <c r="AB509" s="24">
        <v>45982</v>
      </c>
    </row>
    <row r="510" spans="2:28" x14ac:dyDescent="0.2">
      <c r="C510" s="23">
        <v>1100102745</v>
      </c>
      <c r="E510" s="23">
        <v>2600</v>
      </c>
      <c r="F510" s="23" t="s">
        <v>1493</v>
      </c>
      <c r="G510" s="23" t="s">
        <v>1494</v>
      </c>
      <c r="H510" s="24">
        <v>46143</v>
      </c>
      <c r="I510" s="24">
        <v>46143</v>
      </c>
      <c r="J510" s="23" t="s">
        <v>1476</v>
      </c>
      <c r="K510" s="23" t="s">
        <v>1476</v>
      </c>
      <c r="L510" s="23">
        <v>1</v>
      </c>
      <c r="M510" s="23" t="s">
        <v>78</v>
      </c>
      <c r="N510" s="23" t="s">
        <v>78</v>
      </c>
      <c r="O510" s="23">
        <v>39897</v>
      </c>
      <c r="P510" s="23" t="s">
        <v>79</v>
      </c>
      <c r="Q510" s="23" t="s">
        <v>119</v>
      </c>
      <c r="R510" s="23">
        <v>11100299</v>
      </c>
      <c r="S510" s="24" t="s">
        <v>80</v>
      </c>
      <c r="T510" s="24">
        <v>45982</v>
      </c>
      <c r="U510" s="24">
        <v>46751</v>
      </c>
      <c r="X510" s="24">
        <v>45982</v>
      </c>
      <c r="Y510" s="23">
        <v>1111</v>
      </c>
      <c r="Z510" s="23">
        <v>11400912</v>
      </c>
      <c r="AA510" s="23">
        <v>3201</v>
      </c>
      <c r="AB510" s="24">
        <v>45982</v>
      </c>
    </row>
    <row r="511" spans="2:28" x14ac:dyDescent="0.2">
      <c r="C511" s="23">
        <v>1100102745</v>
      </c>
      <c r="E511" s="23">
        <v>2700</v>
      </c>
      <c r="F511" s="23" t="s">
        <v>1495</v>
      </c>
      <c r="G511" s="23" t="s">
        <v>1496</v>
      </c>
      <c r="H511" s="24">
        <v>46143</v>
      </c>
      <c r="I511" s="24">
        <v>46143</v>
      </c>
      <c r="J511" s="23" t="s">
        <v>1476</v>
      </c>
      <c r="K511" s="23" t="s">
        <v>1476</v>
      </c>
      <c r="L511" s="23">
        <v>1</v>
      </c>
      <c r="M511" s="23" t="s">
        <v>78</v>
      </c>
      <c r="N511" s="23" t="s">
        <v>78</v>
      </c>
      <c r="O511" s="23">
        <v>5404</v>
      </c>
      <c r="P511" s="23" t="s">
        <v>79</v>
      </c>
      <c r="Q511" s="23" t="s">
        <v>119</v>
      </c>
      <c r="R511" s="23">
        <v>11100299</v>
      </c>
      <c r="S511" s="24" t="s">
        <v>80</v>
      </c>
      <c r="T511" s="24">
        <v>45982</v>
      </c>
      <c r="U511" s="24">
        <v>46751</v>
      </c>
      <c r="X511" s="24">
        <v>45982</v>
      </c>
      <c r="Y511" s="23">
        <v>1111</v>
      </c>
      <c r="Z511" s="23">
        <v>11400912</v>
      </c>
      <c r="AA511" s="23">
        <v>3201</v>
      </c>
      <c r="AB511" s="24">
        <v>45982</v>
      </c>
    </row>
    <row r="512" spans="2:28" x14ac:dyDescent="0.2">
      <c r="C512" s="23">
        <v>1100102745</v>
      </c>
      <c r="E512" s="23">
        <v>2800</v>
      </c>
      <c r="F512" s="23" t="s">
        <v>1497</v>
      </c>
      <c r="G512" s="23" t="s">
        <v>1498</v>
      </c>
      <c r="H512" s="24">
        <v>46143</v>
      </c>
      <c r="I512" s="24">
        <v>46143</v>
      </c>
      <c r="J512" s="23" t="s">
        <v>1476</v>
      </c>
      <c r="K512" s="23" t="s">
        <v>1476</v>
      </c>
      <c r="L512" s="23">
        <v>1</v>
      </c>
      <c r="M512" s="23" t="s">
        <v>78</v>
      </c>
      <c r="N512" s="23" t="s">
        <v>78</v>
      </c>
      <c r="O512" s="23">
        <v>4203</v>
      </c>
      <c r="P512" s="23" t="s">
        <v>79</v>
      </c>
      <c r="Q512" s="23" t="s">
        <v>119</v>
      </c>
      <c r="R512" s="23">
        <v>11100299</v>
      </c>
      <c r="S512" s="24" t="s">
        <v>80</v>
      </c>
      <c r="T512" s="24">
        <v>45982</v>
      </c>
      <c r="U512" s="24">
        <v>46751</v>
      </c>
      <c r="X512" s="24">
        <v>45982</v>
      </c>
      <c r="Y512" s="23">
        <v>1111</v>
      </c>
      <c r="Z512" s="23">
        <v>11400912</v>
      </c>
      <c r="AA512" s="23">
        <v>3261</v>
      </c>
      <c r="AB512" s="24">
        <v>45982</v>
      </c>
    </row>
    <row r="513" spans="2:28" x14ac:dyDescent="0.2">
      <c r="C513" s="23">
        <v>1100102745</v>
      </c>
      <c r="E513" s="23">
        <v>3100</v>
      </c>
      <c r="F513" s="23" t="s">
        <v>1499</v>
      </c>
      <c r="G513" s="23" t="s">
        <v>1500</v>
      </c>
      <c r="H513" s="24">
        <v>46143</v>
      </c>
      <c r="I513" s="24">
        <v>46143</v>
      </c>
      <c r="J513" s="23" t="s">
        <v>1476</v>
      </c>
      <c r="K513" s="23" t="s">
        <v>1476</v>
      </c>
      <c r="L513" s="23">
        <v>1</v>
      </c>
      <c r="M513" s="23" t="s">
        <v>78</v>
      </c>
      <c r="N513" s="23" t="s">
        <v>78</v>
      </c>
      <c r="O513" s="23">
        <v>16846</v>
      </c>
      <c r="P513" s="23" t="s">
        <v>79</v>
      </c>
      <c r="Q513" s="23" t="s">
        <v>119</v>
      </c>
      <c r="R513" s="23">
        <v>11100299</v>
      </c>
      <c r="S513" s="24" t="s">
        <v>80</v>
      </c>
      <c r="T513" s="24">
        <v>45982</v>
      </c>
      <c r="U513" s="24">
        <v>46751</v>
      </c>
      <c r="X513" s="24">
        <v>45982</v>
      </c>
      <c r="Y513" s="23">
        <v>1111</v>
      </c>
      <c r="Z513" s="23">
        <v>11400912</v>
      </c>
      <c r="AA513" s="23">
        <v>3261</v>
      </c>
      <c r="AB513" s="24">
        <v>45982</v>
      </c>
    </row>
    <row r="514" spans="2:28" x14ac:dyDescent="0.2">
      <c r="C514" s="23">
        <v>1100102745</v>
      </c>
      <c r="E514" s="23">
        <v>3200</v>
      </c>
      <c r="F514" s="23" t="s">
        <v>1501</v>
      </c>
      <c r="G514" s="23" t="s">
        <v>1502</v>
      </c>
      <c r="H514" s="24">
        <v>46143</v>
      </c>
      <c r="I514" s="24">
        <v>46143</v>
      </c>
      <c r="J514" s="23" t="s">
        <v>1476</v>
      </c>
      <c r="K514" s="23" t="s">
        <v>1476</v>
      </c>
      <c r="L514" s="23">
        <v>1</v>
      </c>
      <c r="M514" s="23" t="s">
        <v>78</v>
      </c>
      <c r="N514" s="23" t="s">
        <v>78</v>
      </c>
      <c r="O514" s="23">
        <v>36561</v>
      </c>
      <c r="P514" s="23" t="s">
        <v>79</v>
      </c>
      <c r="Q514" s="23" t="s">
        <v>119</v>
      </c>
      <c r="R514" s="23">
        <v>11100299</v>
      </c>
      <c r="S514" s="24" t="s">
        <v>80</v>
      </c>
      <c r="T514" s="24">
        <v>45982</v>
      </c>
      <c r="U514" s="24">
        <v>46751</v>
      </c>
      <c r="X514" s="24">
        <v>45982</v>
      </c>
      <c r="Y514" s="23">
        <v>1111</v>
      </c>
      <c r="Z514" s="23">
        <v>11400912</v>
      </c>
      <c r="AA514" s="23">
        <v>3201</v>
      </c>
      <c r="AB514" s="24">
        <v>45982</v>
      </c>
    </row>
    <row r="515" spans="2:28" x14ac:dyDescent="0.2">
      <c r="C515" s="23">
        <v>1100102745</v>
      </c>
      <c r="E515" s="23">
        <v>3300</v>
      </c>
      <c r="F515" s="23" t="s">
        <v>1503</v>
      </c>
      <c r="G515" s="23" t="s">
        <v>1504</v>
      </c>
      <c r="H515" s="24">
        <v>46143</v>
      </c>
      <c r="I515" s="24">
        <v>46143</v>
      </c>
      <c r="J515" s="23" t="s">
        <v>1476</v>
      </c>
      <c r="K515" s="23" t="s">
        <v>1476</v>
      </c>
      <c r="L515" s="23">
        <v>1</v>
      </c>
      <c r="M515" s="23" t="s">
        <v>78</v>
      </c>
      <c r="N515" s="23" t="s">
        <v>78</v>
      </c>
      <c r="O515" s="23">
        <v>5404</v>
      </c>
      <c r="P515" s="23" t="s">
        <v>79</v>
      </c>
      <c r="Q515" s="23" t="s">
        <v>119</v>
      </c>
      <c r="R515" s="23">
        <v>11100299</v>
      </c>
      <c r="S515" s="24" t="s">
        <v>80</v>
      </c>
      <c r="T515" s="24">
        <v>45982</v>
      </c>
      <c r="U515" s="24">
        <v>46751</v>
      </c>
      <c r="X515" s="24">
        <v>45982</v>
      </c>
      <c r="Y515" s="23">
        <v>1111</v>
      </c>
      <c r="Z515" s="23">
        <v>11400912</v>
      </c>
      <c r="AA515" s="23">
        <v>3201</v>
      </c>
      <c r="AB515" s="24">
        <v>45982</v>
      </c>
    </row>
    <row r="516" spans="2:28" x14ac:dyDescent="0.2">
      <c r="C516" s="23">
        <v>1100102745</v>
      </c>
      <c r="E516" s="23">
        <v>3400</v>
      </c>
      <c r="F516" s="23" t="s">
        <v>1505</v>
      </c>
      <c r="G516" s="23" t="s">
        <v>1506</v>
      </c>
      <c r="H516" s="24">
        <v>46143</v>
      </c>
      <c r="I516" s="24">
        <v>46143</v>
      </c>
      <c r="J516" s="23" t="s">
        <v>1476</v>
      </c>
      <c r="K516" s="23" t="s">
        <v>1476</v>
      </c>
      <c r="L516" s="23">
        <v>1</v>
      </c>
      <c r="M516" s="23" t="s">
        <v>78</v>
      </c>
      <c r="N516" s="23" t="s">
        <v>78</v>
      </c>
      <c r="O516" s="23">
        <v>4203</v>
      </c>
      <c r="P516" s="23" t="s">
        <v>79</v>
      </c>
      <c r="Q516" s="23" t="s">
        <v>119</v>
      </c>
      <c r="R516" s="23">
        <v>11100299</v>
      </c>
      <c r="S516" s="24" t="s">
        <v>80</v>
      </c>
      <c r="T516" s="24">
        <v>45982</v>
      </c>
      <c r="U516" s="24">
        <v>46751</v>
      </c>
      <c r="X516" s="24">
        <v>45982</v>
      </c>
      <c r="Y516" s="23">
        <v>1111</v>
      </c>
      <c r="Z516" s="23">
        <v>11400912</v>
      </c>
      <c r="AA516" s="23">
        <v>3261</v>
      </c>
      <c r="AB516" s="24">
        <v>45982</v>
      </c>
    </row>
    <row r="517" spans="2:28" x14ac:dyDescent="0.2">
      <c r="B517" s="23" t="s">
        <v>81</v>
      </c>
      <c r="C517" s="23">
        <v>1100102745</v>
      </c>
      <c r="H517" s="24">
        <v>46143</v>
      </c>
      <c r="O517" s="23">
        <v>218099</v>
      </c>
      <c r="P517" s="23" t="s">
        <v>79</v>
      </c>
    </row>
    <row r="518" spans="2:28" x14ac:dyDescent="0.2">
      <c r="C518" s="23">
        <v>1100556449</v>
      </c>
      <c r="E518" s="23">
        <v>30</v>
      </c>
      <c r="F518" s="23" t="s">
        <v>84</v>
      </c>
      <c r="G518" s="23" t="s">
        <v>123</v>
      </c>
      <c r="H518" s="24">
        <v>46143</v>
      </c>
      <c r="I518" s="24">
        <v>46077</v>
      </c>
      <c r="J518" s="23" t="s">
        <v>102</v>
      </c>
      <c r="K518" s="23" t="s">
        <v>102</v>
      </c>
      <c r="L518" s="23">
        <v>1</v>
      </c>
      <c r="M518" s="23" t="s">
        <v>78</v>
      </c>
      <c r="N518" s="23" t="s">
        <v>78</v>
      </c>
      <c r="O518" s="23">
        <v>0.01</v>
      </c>
      <c r="P518" s="23" t="s">
        <v>79</v>
      </c>
      <c r="Q518" s="23" t="s">
        <v>83</v>
      </c>
      <c r="R518" s="23">
        <v>11100189</v>
      </c>
      <c r="S518" s="24" t="s">
        <v>80</v>
      </c>
      <c r="T518" s="24">
        <v>45853</v>
      </c>
      <c r="U518" s="24">
        <v>46052</v>
      </c>
      <c r="V518" s="23">
        <v>3</v>
      </c>
      <c r="X518" s="24">
        <v>45630</v>
      </c>
      <c r="Y518" s="23">
        <v>1111</v>
      </c>
      <c r="Z518" s="23">
        <v>11100002</v>
      </c>
      <c r="AA518" s="23">
        <v>510103</v>
      </c>
      <c r="AB518" s="24">
        <v>45853</v>
      </c>
    </row>
    <row r="519" spans="2:28" x14ac:dyDescent="0.2">
      <c r="C519" s="23">
        <v>1100556449</v>
      </c>
      <c r="E519" s="23">
        <v>50</v>
      </c>
      <c r="F519" s="23" t="s">
        <v>1206</v>
      </c>
      <c r="G519" s="23" t="s">
        <v>1207</v>
      </c>
      <c r="H519" s="24">
        <v>46143</v>
      </c>
      <c r="I519" s="24">
        <v>46143</v>
      </c>
      <c r="J519" s="23" t="s">
        <v>102</v>
      </c>
      <c r="K519" s="23" t="s">
        <v>102</v>
      </c>
      <c r="L519" s="23">
        <v>3</v>
      </c>
      <c r="M519" s="23" t="s">
        <v>78</v>
      </c>
      <c r="N519" s="23" t="s">
        <v>78</v>
      </c>
      <c r="O519" s="23">
        <v>42640.47</v>
      </c>
      <c r="P519" s="23" t="s">
        <v>79</v>
      </c>
      <c r="Q519" s="23" t="s">
        <v>83</v>
      </c>
      <c r="R519" s="23">
        <v>11100189</v>
      </c>
      <c r="S519" s="24" t="s">
        <v>80</v>
      </c>
      <c r="T519" s="24">
        <v>45853</v>
      </c>
      <c r="U519" s="24">
        <v>46052</v>
      </c>
      <c r="X519" s="24">
        <v>45630</v>
      </c>
      <c r="Y519" s="23">
        <v>1111</v>
      </c>
      <c r="Z519" s="23">
        <v>11100002</v>
      </c>
      <c r="AA519" s="23">
        <v>510103</v>
      </c>
      <c r="AB519" s="24">
        <v>45853</v>
      </c>
    </row>
    <row r="520" spans="2:28" x14ac:dyDescent="0.2">
      <c r="B520" s="23" t="s">
        <v>81</v>
      </c>
      <c r="C520" s="23">
        <v>1100556449</v>
      </c>
      <c r="H520" s="24">
        <v>46143</v>
      </c>
      <c r="O520" s="23">
        <v>42640.480000000003</v>
      </c>
      <c r="P520" s="23" t="s">
        <v>79</v>
      </c>
    </row>
    <row r="521" spans="2:28" x14ac:dyDescent="0.2">
      <c r="C521" s="23">
        <v>1100569318</v>
      </c>
      <c r="E521" s="23">
        <v>10</v>
      </c>
      <c r="F521" s="23" t="s">
        <v>1507</v>
      </c>
      <c r="G521" s="23" t="s">
        <v>1508</v>
      </c>
      <c r="H521" s="24">
        <v>46143</v>
      </c>
      <c r="I521" s="24">
        <v>46143</v>
      </c>
      <c r="J521" s="23" t="s">
        <v>1291</v>
      </c>
      <c r="K521" s="23" t="s">
        <v>1291</v>
      </c>
      <c r="L521" s="23">
        <v>1</v>
      </c>
      <c r="M521" s="23" t="s">
        <v>78</v>
      </c>
      <c r="N521" s="23" t="s">
        <v>78</v>
      </c>
      <c r="O521" s="23">
        <v>61660</v>
      </c>
      <c r="P521" s="23" t="s">
        <v>79</v>
      </c>
      <c r="Q521" s="23" t="s">
        <v>83</v>
      </c>
      <c r="R521" s="23">
        <v>11100018</v>
      </c>
      <c r="S521" s="24">
        <v>46143</v>
      </c>
      <c r="T521" s="24">
        <v>45980</v>
      </c>
      <c r="U521" s="24">
        <v>46752</v>
      </c>
      <c r="X521" s="24">
        <v>45952</v>
      </c>
      <c r="Y521" s="23">
        <v>1111</v>
      </c>
      <c r="Z521" s="23">
        <v>11400124</v>
      </c>
      <c r="AA521" s="23">
        <v>3963</v>
      </c>
      <c r="AB521" s="24">
        <v>46752</v>
      </c>
    </row>
    <row r="522" spans="2:28" x14ac:dyDescent="0.2">
      <c r="C522" s="23">
        <v>1100569318</v>
      </c>
      <c r="E522" s="23">
        <v>100</v>
      </c>
      <c r="F522" s="23" t="s">
        <v>84</v>
      </c>
      <c r="G522" s="23" t="s">
        <v>123</v>
      </c>
      <c r="H522" s="24">
        <v>46143</v>
      </c>
      <c r="I522" s="24">
        <v>46143</v>
      </c>
      <c r="J522" s="23" t="s">
        <v>1291</v>
      </c>
      <c r="K522" s="23" t="s">
        <v>1291</v>
      </c>
      <c r="L522" s="23">
        <v>1</v>
      </c>
      <c r="M522" s="23" t="s">
        <v>78</v>
      </c>
      <c r="N522" s="23" t="s">
        <v>78</v>
      </c>
      <c r="O522" s="23">
        <v>0.01</v>
      </c>
      <c r="P522" s="23" t="s">
        <v>79</v>
      </c>
      <c r="Q522" s="23" t="s">
        <v>83</v>
      </c>
      <c r="R522" s="23">
        <v>11100018</v>
      </c>
      <c r="S522" s="24">
        <v>46143</v>
      </c>
      <c r="T522" s="24">
        <v>45980</v>
      </c>
      <c r="U522" s="24">
        <v>46752</v>
      </c>
      <c r="X522" s="24">
        <v>45952</v>
      </c>
      <c r="Y522" s="23">
        <v>1111</v>
      </c>
      <c r="Z522" s="23">
        <v>11400124</v>
      </c>
      <c r="AA522" s="23">
        <v>3963</v>
      </c>
      <c r="AB522" s="24">
        <v>46752</v>
      </c>
    </row>
    <row r="523" spans="2:28" x14ac:dyDescent="0.2">
      <c r="B523" s="23" t="s">
        <v>81</v>
      </c>
      <c r="C523" s="23">
        <v>1100569318</v>
      </c>
      <c r="H523" s="24">
        <v>46143</v>
      </c>
      <c r="O523" s="23">
        <v>61660.01</v>
      </c>
      <c r="P523" s="23" t="s">
        <v>79</v>
      </c>
    </row>
    <row r="524" spans="2:28" x14ac:dyDescent="0.2">
      <c r="C524" s="23">
        <v>1100571476</v>
      </c>
      <c r="E524" s="23">
        <v>10</v>
      </c>
      <c r="F524" s="23" t="s">
        <v>1711</v>
      </c>
      <c r="G524" s="23" t="s">
        <v>1712</v>
      </c>
      <c r="H524" s="24">
        <v>46143</v>
      </c>
      <c r="I524" s="24">
        <v>46143</v>
      </c>
      <c r="J524" s="23" t="s">
        <v>1713</v>
      </c>
      <c r="K524" s="23" t="s">
        <v>1713</v>
      </c>
      <c r="L524" s="23">
        <v>1</v>
      </c>
      <c r="M524" s="23" t="s">
        <v>78</v>
      </c>
      <c r="N524" s="23" t="s">
        <v>78</v>
      </c>
      <c r="O524" s="23">
        <v>13401</v>
      </c>
      <c r="P524" s="23" t="s">
        <v>79</v>
      </c>
      <c r="Q524" s="23" t="s">
        <v>83</v>
      </c>
      <c r="R524" s="23">
        <v>11100018</v>
      </c>
      <c r="S524" s="24" t="s">
        <v>80</v>
      </c>
      <c r="T524" s="24">
        <v>46006</v>
      </c>
      <c r="U524" s="24">
        <v>46752</v>
      </c>
      <c r="X524" s="24">
        <v>45975</v>
      </c>
      <c r="Y524" s="23">
        <v>1111</v>
      </c>
      <c r="Z524" s="23">
        <v>11100303</v>
      </c>
      <c r="AA524" s="23">
        <v>334903</v>
      </c>
      <c r="AB524" s="24">
        <v>46006</v>
      </c>
    </row>
    <row r="525" spans="2:28" x14ac:dyDescent="0.2">
      <c r="C525" s="23">
        <v>1100571476</v>
      </c>
      <c r="E525" s="23">
        <v>20</v>
      </c>
      <c r="F525" s="23" t="s">
        <v>1714</v>
      </c>
      <c r="G525" s="23" t="s">
        <v>1715</v>
      </c>
      <c r="H525" s="24">
        <v>46143</v>
      </c>
      <c r="I525" s="24">
        <v>46143</v>
      </c>
      <c r="J525" s="23" t="s">
        <v>1713</v>
      </c>
      <c r="K525" s="23" t="s">
        <v>1713</v>
      </c>
      <c r="L525" s="23">
        <v>1</v>
      </c>
      <c r="M525" s="23" t="s">
        <v>78</v>
      </c>
      <c r="N525" s="23" t="s">
        <v>78</v>
      </c>
      <c r="O525" s="23">
        <v>20193</v>
      </c>
      <c r="P525" s="23" t="s">
        <v>79</v>
      </c>
      <c r="Q525" s="23" t="s">
        <v>83</v>
      </c>
      <c r="R525" s="23">
        <v>11100018</v>
      </c>
      <c r="S525" s="24" t="s">
        <v>80</v>
      </c>
      <c r="T525" s="24">
        <v>46006</v>
      </c>
      <c r="U525" s="24">
        <v>46752</v>
      </c>
      <c r="X525" s="24">
        <v>45975</v>
      </c>
      <c r="Y525" s="23">
        <v>1111</v>
      </c>
      <c r="Z525" s="23">
        <v>11100303</v>
      </c>
      <c r="AA525" s="23">
        <v>334903</v>
      </c>
      <c r="AB525" s="24">
        <v>46006</v>
      </c>
    </row>
    <row r="526" spans="2:28" x14ac:dyDescent="0.2">
      <c r="C526" s="23">
        <v>1100571476</v>
      </c>
      <c r="E526" s="23">
        <v>30</v>
      </c>
      <c r="F526" s="23" t="s">
        <v>84</v>
      </c>
      <c r="G526" s="23" t="s">
        <v>123</v>
      </c>
      <c r="H526" s="24">
        <v>46143</v>
      </c>
      <c r="I526" s="24">
        <v>46143</v>
      </c>
      <c r="J526" s="23" t="s">
        <v>1713</v>
      </c>
      <c r="K526" s="23" t="s">
        <v>1713</v>
      </c>
      <c r="L526" s="23">
        <v>1</v>
      </c>
      <c r="M526" s="23" t="s">
        <v>78</v>
      </c>
      <c r="N526" s="23" t="s">
        <v>78</v>
      </c>
      <c r="O526" s="23">
        <v>0.01</v>
      </c>
      <c r="P526" s="23" t="s">
        <v>79</v>
      </c>
      <c r="Q526" s="23" t="s">
        <v>83</v>
      </c>
      <c r="R526" s="23">
        <v>11100018</v>
      </c>
      <c r="S526" s="24" t="s">
        <v>80</v>
      </c>
      <c r="T526" s="24">
        <v>46006</v>
      </c>
      <c r="U526" s="24">
        <v>46752</v>
      </c>
      <c r="X526" s="24">
        <v>45975</v>
      </c>
      <c r="Y526" s="23">
        <v>1111</v>
      </c>
      <c r="Z526" s="23">
        <v>11100303</v>
      </c>
      <c r="AA526" s="23">
        <v>334903</v>
      </c>
      <c r="AB526" s="24">
        <v>46006</v>
      </c>
    </row>
    <row r="527" spans="2:28" x14ac:dyDescent="0.2">
      <c r="B527" s="23" t="s">
        <v>81</v>
      </c>
      <c r="C527" s="23">
        <v>1100571476</v>
      </c>
      <c r="H527" s="24">
        <v>46143</v>
      </c>
      <c r="O527" s="23">
        <v>33594.01</v>
      </c>
      <c r="P527" s="23" t="s">
        <v>79</v>
      </c>
    </row>
    <row r="528" spans="2:28" x14ac:dyDescent="0.2">
      <c r="C528" s="23">
        <v>1100572701</v>
      </c>
      <c r="E528" s="23">
        <v>10</v>
      </c>
      <c r="F528" s="23" t="s">
        <v>2426</v>
      </c>
      <c r="G528" s="23" t="s">
        <v>2427</v>
      </c>
      <c r="H528" s="24">
        <v>46143</v>
      </c>
      <c r="I528" s="24">
        <v>46143</v>
      </c>
      <c r="J528" s="23" t="s">
        <v>1330</v>
      </c>
      <c r="K528" s="23" t="s">
        <v>1330</v>
      </c>
      <c r="L528" s="23">
        <v>1</v>
      </c>
      <c r="M528" s="23" t="s">
        <v>78</v>
      </c>
      <c r="N528" s="23" t="s">
        <v>78</v>
      </c>
      <c r="O528" s="23">
        <v>45437</v>
      </c>
      <c r="P528" s="23" t="s">
        <v>79</v>
      </c>
      <c r="Q528" s="23" t="s">
        <v>83</v>
      </c>
      <c r="R528" s="23">
        <v>11100018</v>
      </c>
      <c r="S528" s="24" t="s">
        <v>80</v>
      </c>
      <c r="T528" s="24">
        <v>46024</v>
      </c>
      <c r="U528" s="24">
        <v>46752</v>
      </c>
      <c r="X528" s="24">
        <v>45996</v>
      </c>
      <c r="Y528" s="23">
        <v>1111</v>
      </c>
      <c r="Z528" s="23">
        <v>11100303</v>
      </c>
      <c r="AA528" s="23">
        <v>334903</v>
      </c>
      <c r="AB528" s="24">
        <v>46024</v>
      </c>
    </row>
    <row r="529" spans="2:28" x14ac:dyDescent="0.2">
      <c r="C529" s="23">
        <v>1100572701</v>
      </c>
      <c r="E529" s="23">
        <v>20</v>
      </c>
      <c r="F529" s="23" t="s">
        <v>84</v>
      </c>
      <c r="G529" s="23" t="s">
        <v>123</v>
      </c>
      <c r="H529" s="24">
        <v>46143</v>
      </c>
      <c r="I529" s="24">
        <v>46143</v>
      </c>
      <c r="J529" s="23" t="s">
        <v>1330</v>
      </c>
      <c r="K529" s="23" t="s">
        <v>1330</v>
      </c>
      <c r="L529" s="23">
        <v>1</v>
      </c>
      <c r="M529" s="23" t="s">
        <v>78</v>
      </c>
      <c r="N529" s="23" t="s">
        <v>78</v>
      </c>
      <c r="O529" s="23">
        <v>0.01</v>
      </c>
      <c r="P529" s="23" t="s">
        <v>79</v>
      </c>
      <c r="Q529" s="23" t="s">
        <v>83</v>
      </c>
      <c r="R529" s="23">
        <v>11100018</v>
      </c>
      <c r="S529" s="24" t="s">
        <v>80</v>
      </c>
      <c r="T529" s="24">
        <v>46024</v>
      </c>
      <c r="U529" s="24">
        <v>46752</v>
      </c>
      <c r="X529" s="24">
        <v>45996</v>
      </c>
      <c r="Y529" s="23">
        <v>1111</v>
      </c>
      <c r="Z529" s="23">
        <v>11100303</v>
      </c>
      <c r="AA529" s="23">
        <v>334903</v>
      </c>
      <c r="AB529" s="24">
        <v>46024</v>
      </c>
    </row>
    <row r="530" spans="2:28" x14ac:dyDescent="0.2">
      <c r="B530" s="23" t="s">
        <v>81</v>
      </c>
      <c r="C530" s="23">
        <v>1100572701</v>
      </c>
      <c r="H530" s="24">
        <v>46143</v>
      </c>
      <c r="O530" s="23">
        <v>45437.01</v>
      </c>
      <c r="P530" s="23" t="s">
        <v>79</v>
      </c>
    </row>
    <row r="531" spans="2:28" x14ac:dyDescent="0.2">
      <c r="C531" s="23">
        <v>1100574131</v>
      </c>
      <c r="E531" s="23">
        <v>10</v>
      </c>
      <c r="F531" s="23" t="s">
        <v>2428</v>
      </c>
      <c r="G531" s="23" t="s">
        <v>483</v>
      </c>
      <c r="H531" s="24">
        <v>46143</v>
      </c>
      <c r="I531" s="24">
        <v>46143</v>
      </c>
      <c r="J531" s="23" t="s">
        <v>1433</v>
      </c>
      <c r="K531" s="23" t="s">
        <v>1433</v>
      </c>
      <c r="L531" s="23">
        <v>4</v>
      </c>
      <c r="M531" s="23" t="s">
        <v>78</v>
      </c>
      <c r="N531" s="23" t="s">
        <v>78</v>
      </c>
      <c r="O531" s="23">
        <v>80680</v>
      </c>
      <c r="P531" s="23" t="s">
        <v>79</v>
      </c>
      <c r="Q531" s="23" t="s">
        <v>119</v>
      </c>
      <c r="R531" s="23">
        <v>11100189</v>
      </c>
      <c r="S531" s="24" t="s">
        <v>80</v>
      </c>
      <c r="T531" s="24">
        <v>46038</v>
      </c>
      <c r="U531" s="24">
        <v>46143</v>
      </c>
      <c r="X531" s="24">
        <v>46037</v>
      </c>
      <c r="Y531" s="23">
        <v>1111</v>
      </c>
      <c r="Z531" s="23">
        <v>11100303</v>
      </c>
      <c r="AA531" s="23">
        <v>330103</v>
      </c>
      <c r="AB531" s="24">
        <v>46038</v>
      </c>
    </row>
    <row r="532" spans="2:28" x14ac:dyDescent="0.2">
      <c r="C532" s="23">
        <v>1100574131</v>
      </c>
      <c r="E532" s="23">
        <v>30</v>
      </c>
      <c r="F532" s="23" t="s">
        <v>82</v>
      </c>
      <c r="G532" s="23" t="s">
        <v>139</v>
      </c>
      <c r="H532" s="24">
        <v>46143</v>
      </c>
      <c r="I532" s="24">
        <v>46143</v>
      </c>
      <c r="J532" s="23" t="s">
        <v>1433</v>
      </c>
      <c r="K532" s="23" t="s">
        <v>1433</v>
      </c>
      <c r="L532" s="23">
        <v>1</v>
      </c>
      <c r="M532" s="23" t="s">
        <v>78</v>
      </c>
      <c r="N532" s="23" t="s">
        <v>78</v>
      </c>
      <c r="O532" s="23">
        <v>0.01</v>
      </c>
      <c r="P532" s="23" t="s">
        <v>79</v>
      </c>
      <c r="Q532" s="23" t="s">
        <v>83</v>
      </c>
      <c r="R532" s="23">
        <v>11100189</v>
      </c>
      <c r="S532" s="24" t="s">
        <v>80</v>
      </c>
      <c r="T532" s="24">
        <v>46038</v>
      </c>
      <c r="U532" s="24">
        <v>46143</v>
      </c>
      <c r="X532" s="24">
        <v>46037</v>
      </c>
      <c r="Y532" s="23">
        <v>1111</v>
      </c>
      <c r="Z532" s="23">
        <v>11100303</v>
      </c>
      <c r="AA532" s="23">
        <v>330103</v>
      </c>
      <c r="AB532" s="24">
        <v>46038</v>
      </c>
    </row>
    <row r="533" spans="2:28" x14ac:dyDescent="0.2">
      <c r="B533" s="23" t="s">
        <v>81</v>
      </c>
      <c r="C533" s="23">
        <v>1100574131</v>
      </c>
      <c r="H533" s="24">
        <v>46143</v>
      </c>
      <c r="O533" s="23">
        <v>80680.009999999995</v>
      </c>
      <c r="P533" s="23" t="s">
        <v>79</v>
      </c>
    </row>
    <row r="534" spans="2:28" x14ac:dyDescent="0.2">
      <c r="C534" s="23">
        <v>1100574383</v>
      </c>
      <c r="E534" s="23">
        <v>10</v>
      </c>
      <c r="F534" s="23" t="s">
        <v>2429</v>
      </c>
      <c r="G534" s="23" t="s">
        <v>2430</v>
      </c>
      <c r="H534" s="24">
        <v>46143</v>
      </c>
      <c r="I534" s="24">
        <v>46143</v>
      </c>
      <c r="J534" s="23" t="s">
        <v>2431</v>
      </c>
      <c r="K534" s="23" t="s">
        <v>2431</v>
      </c>
      <c r="L534" s="23">
        <v>1</v>
      </c>
      <c r="M534" s="23" t="s">
        <v>78</v>
      </c>
      <c r="N534" s="23" t="s">
        <v>78</v>
      </c>
      <c r="O534" s="23">
        <v>22698</v>
      </c>
      <c r="P534" s="23" t="s">
        <v>79</v>
      </c>
      <c r="Q534" s="23" t="s">
        <v>83</v>
      </c>
      <c r="R534" s="23">
        <v>11100189</v>
      </c>
      <c r="S534" s="24" t="s">
        <v>80</v>
      </c>
      <c r="T534" s="24">
        <v>46043</v>
      </c>
      <c r="U534" s="24" t="s">
        <v>80</v>
      </c>
      <c r="X534" s="24">
        <v>46035</v>
      </c>
      <c r="Y534" s="23">
        <v>1111</v>
      </c>
      <c r="Z534" s="23">
        <v>11100305</v>
      </c>
      <c r="AA534" s="23">
        <v>331203</v>
      </c>
      <c r="AB534" s="24">
        <v>46043</v>
      </c>
    </row>
    <row r="535" spans="2:28" x14ac:dyDescent="0.2">
      <c r="C535" s="23">
        <v>1100574383</v>
      </c>
      <c r="E535" s="23">
        <v>20</v>
      </c>
      <c r="F535" s="23" t="s">
        <v>2432</v>
      </c>
      <c r="G535" s="23" t="s">
        <v>2433</v>
      </c>
      <c r="H535" s="24">
        <v>46143</v>
      </c>
      <c r="I535" s="24">
        <v>46143</v>
      </c>
      <c r="J535" s="23" t="s">
        <v>2431</v>
      </c>
      <c r="K535" s="23" t="s">
        <v>2431</v>
      </c>
      <c r="L535" s="23">
        <v>1</v>
      </c>
      <c r="M535" s="23" t="s">
        <v>78</v>
      </c>
      <c r="N535" s="23" t="s">
        <v>78</v>
      </c>
      <c r="O535" s="23">
        <v>28262</v>
      </c>
      <c r="P535" s="23" t="s">
        <v>79</v>
      </c>
      <c r="Q535" s="23" t="s">
        <v>83</v>
      </c>
      <c r="R535" s="23">
        <v>11100189</v>
      </c>
      <c r="S535" s="24" t="s">
        <v>80</v>
      </c>
      <c r="T535" s="24">
        <v>46043</v>
      </c>
      <c r="U535" s="24" t="s">
        <v>80</v>
      </c>
      <c r="X535" s="24">
        <v>46035</v>
      </c>
      <c r="Y535" s="23">
        <v>1111</v>
      </c>
      <c r="Z535" s="23">
        <v>11100305</v>
      </c>
      <c r="AA535" s="23">
        <v>331203</v>
      </c>
      <c r="AB535" s="24">
        <v>46043</v>
      </c>
    </row>
    <row r="536" spans="2:28" x14ac:dyDescent="0.2">
      <c r="C536" s="23">
        <v>1100574383</v>
      </c>
      <c r="E536" s="23">
        <v>30</v>
      </c>
      <c r="F536" s="23" t="s">
        <v>84</v>
      </c>
      <c r="G536" s="23" t="s">
        <v>123</v>
      </c>
      <c r="H536" s="24">
        <v>46143</v>
      </c>
      <c r="I536" s="24">
        <v>46143</v>
      </c>
      <c r="J536" s="23" t="s">
        <v>2431</v>
      </c>
      <c r="K536" s="23" t="s">
        <v>2431</v>
      </c>
      <c r="L536" s="23">
        <v>1</v>
      </c>
      <c r="M536" s="23" t="s">
        <v>78</v>
      </c>
      <c r="N536" s="23" t="s">
        <v>78</v>
      </c>
      <c r="O536" s="23">
        <v>0.01</v>
      </c>
      <c r="P536" s="23" t="s">
        <v>79</v>
      </c>
      <c r="Q536" s="23" t="s">
        <v>83</v>
      </c>
      <c r="R536" s="23">
        <v>11100189</v>
      </c>
      <c r="S536" s="24" t="s">
        <v>80</v>
      </c>
      <c r="T536" s="24">
        <v>46043</v>
      </c>
      <c r="U536" s="24" t="s">
        <v>80</v>
      </c>
      <c r="X536" s="24">
        <v>46035</v>
      </c>
      <c r="Y536" s="23">
        <v>1111</v>
      </c>
      <c r="Z536" s="23">
        <v>11100305</v>
      </c>
      <c r="AA536" s="23">
        <v>331203</v>
      </c>
      <c r="AB536" s="24">
        <v>46043</v>
      </c>
    </row>
    <row r="537" spans="2:28" x14ac:dyDescent="0.2">
      <c r="C537" s="23">
        <v>1100574383</v>
      </c>
      <c r="E537" s="23">
        <v>40</v>
      </c>
      <c r="F537" s="23" t="s">
        <v>82</v>
      </c>
      <c r="G537" s="23" t="s">
        <v>139</v>
      </c>
      <c r="H537" s="24">
        <v>46143</v>
      </c>
      <c r="I537" s="24">
        <v>46143</v>
      </c>
      <c r="J537" s="23" t="s">
        <v>2431</v>
      </c>
      <c r="K537" s="23" t="s">
        <v>2431</v>
      </c>
      <c r="L537" s="23">
        <v>1</v>
      </c>
      <c r="M537" s="23" t="s">
        <v>78</v>
      </c>
      <c r="N537" s="23" t="s">
        <v>78</v>
      </c>
      <c r="O537" s="23">
        <v>0.01</v>
      </c>
      <c r="P537" s="23" t="s">
        <v>79</v>
      </c>
      <c r="Q537" s="23" t="s">
        <v>83</v>
      </c>
      <c r="R537" s="23">
        <v>11100189</v>
      </c>
      <c r="S537" s="24" t="s">
        <v>80</v>
      </c>
      <c r="T537" s="24">
        <v>46043</v>
      </c>
      <c r="U537" s="24" t="s">
        <v>80</v>
      </c>
      <c r="X537" s="24">
        <v>46035</v>
      </c>
      <c r="Y537" s="23">
        <v>1111</v>
      </c>
      <c r="Z537" s="23">
        <v>11100305</v>
      </c>
      <c r="AA537" s="23">
        <v>331203</v>
      </c>
      <c r="AB537" s="24">
        <v>46043</v>
      </c>
    </row>
    <row r="538" spans="2:28" x14ac:dyDescent="0.2">
      <c r="B538" s="23" t="s">
        <v>81</v>
      </c>
      <c r="C538" s="23">
        <v>1100574383</v>
      </c>
      <c r="H538" s="24">
        <v>46143</v>
      </c>
      <c r="O538" s="23">
        <v>50960.02</v>
      </c>
      <c r="P538" s="23" t="s">
        <v>79</v>
      </c>
    </row>
    <row r="539" spans="2:28" x14ac:dyDescent="0.2">
      <c r="C539" s="23">
        <v>1100576943</v>
      </c>
      <c r="E539" s="23">
        <v>10</v>
      </c>
      <c r="F539" s="23" t="s">
        <v>2434</v>
      </c>
      <c r="G539" s="23" t="s">
        <v>2435</v>
      </c>
      <c r="H539" s="24">
        <v>46143</v>
      </c>
      <c r="I539" s="24">
        <v>46143</v>
      </c>
      <c r="J539" s="23" t="s">
        <v>2436</v>
      </c>
      <c r="K539" s="23" t="s">
        <v>2436</v>
      </c>
      <c r="L539" s="23">
        <v>1</v>
      </c>
      <c r="M539" s="23" t="s">
        <v>78</v>
      </c>
      <c r="N539" s="23" t="s">
        <v>78</v>
      </c>
      <c r="O539" s="23">
        <v>0</v>
      </c>
      <c r="P539" s="23" t="s">
        <v>79</v>
      </c>
      <c r="Q539" s="23" t="s">
        <v>83</v>
      </c>
      <c r="R539" s="23">
        <v>11100176</v>
      </c>
      <c r="S539" s="24" t="s">
        <v>80</v>
      </c>
      <c r="T539" s="24">
        <v>46069</v>
      </c>
      <c r="U539" s="24" t="s">
        <v>80</v>
      </c>
      <c r="X539" s="24">
        <v>46069</v>
      </c>
      <c r="Y539" s="23">
        <v>1111</v>
      </c>
      <c r="Z539" s="23">
        <v>11100305</v>
      </c>
      <c r="AA539" s="23">
        <v>390103</v>
      </c>
      <c r="AB539" s="24">
        <v>46069</v>
      </c>
    </row>
    <row r="540" spans="2:28" x14ac:dyDescent="0.2">
      <c r="B540" s="23" t="s">
        <v>81</v>
      </c>
      <c r="C540" s="23">
        <v>1100576943</v>
      </c>
      <c r="H540" s="24">
        <v>46143</v>
      </c>
      <c r="O540" s="23">
        <v>0</v>
      </c>
      <c r="P540" s="23" t="s">
        <v>79</v>
      </c>
    </row>
    <row r="541" spans="2:28" x14ac:dyDescent="0.2">
      <c r="C541" s="23">
        <v>1100577928</v>
      </c>
      <c r="E541" s="23">
        <v>10</v>
      </c>
      <c r="F541" s="23" t="s">
        <v>2437</v>
      </c>
      <c r="G541" s="23" t="s">
        <v>981</v>
      </c>
      <c r="H541" s="24">
        <v>46146</v>
      </c>
      <c r="I541" s="24">
        <v>46146</v>
      </c>
      <c r="J541" s="23" t="s">
        <v>2303</v>
      </c>
      <c r="K541" s="23" t="s">
        <v>2303</v>
      </c>
      <c r="L541" s="23">
        <v>1</v>
      </c>
      <c r="M541" s="23" t="s">
        <v>78</v>
      </c>
      <c r="N541" s="23" t="s">
        <v>78</v>
      </c>
      <c r="O541" s="23">
        <v>12426</v>
      </c>
      <c r="P541" s="23" t="s">
        <v>79</v>
      </c>
      <c r="Q541" s="23" t="s">
        <v>83</v>
      </c>
      <c r="R541" s="23">
        <v>11100018</v>
      </c>
      <c r="S541" s="24">
        <v>46146</v>
      </c>
      <c r="T541" s="24">
        <v>46078</v>
      </c>
      <c r="U541" s="24" t="s">
        <v>80</v>
      </c>
      <c r="X541" s="24">
        <v>46071</v>
      </c>
      <c r="Y541" s="23">
        <v>1111</v>
      </c>
      <c r="Z541" s="23">
        <v>11100002</v>
      </c>
      <c r="AA541" s="23">
        <v>5212</v>
      </c>
      <c r="AB541" s="24">
        <v>46078</v>
      </c>
    </row>
    <row r="542" spans="2:28" x14ac:dyDescent="0.2">
      <c r="C542" s="23">
        <v>1100577928</v>
      </c>
      <c r="E542" s="23">
        <v>20</v>
      </c>
      <c r="F542" s="23" t="s">
        <v>84</v>
      </c>
      <c r="G542" s="23" t="s">
        <v>123</v>
      </c>
      <c r="H542" s="24">
        <v>46146</v>
      </c>
      <c r="I542" s="24">
        <v>46146</v>
      </c>
      <c r="J542" s="23" t="s">
        <v>2303</v>
      </c>
      <c r="K542" s="23" t="s">
        <v>2303</v>
      </c>
      <c r="L542" s="23">
        <v>1</v>
      </c>
      <c r="M542" s="23" t="s">
        <v>78</v>
      </c>
      <c r="N542" s="23" t="s">
        <v>78</v>
      </c>
      <c r="O542" s="23">
        <v>0.01</v>
      </c>
      <c r="P542" s="23" t="s">
        <v>79</v>
      </c>
      <c r="Q542" s="23" t="s">
        <v>83</v>
      </c>
      <c r="R542" s="23">
        <v>11100018</v>
      </c>
      <c r="S542" s="24" t="s">
        <v>80</v>
      </c>
      <c r="T542" s="24">
        <v>46078</v>
      </c>
      <c r="U542" s="24" t="s">
        <v>80</v>
      </c>
      <c r="X542" s="24">
        <v>46071</v>
      </c>
      <c r="Y542" s="23">
        <v>1111</v>
      </c>
      <c r="Z542" s="23">
        <v>11100002</v>
      </c>
      <c r="AA542" s="23">
        <v>5212</v>
      </c>
      <c r="AB542" s="24">
        <v>46078</v>
      </c>
    </row>
    <row r="543" spans="2:28" x14ac:dyDescent="0.2">
      <c r="C543" s="23">
        <v>1100577928</v>
      </c>
      <c r="E543" s="23">
        <v>30</v>
      </c>
      <c r="F543" s="23" t="s">
        <v>82</v>
      </c>
      <c r="G543" s="23" t="s">
        <v>139</v>
      </c>
      <c r="H543" s="24">
        <v>46146</v>
      </c>
      <c r="I543" s="24">
        <v>46146</v>
      </c>
      <c r="J543" s="23" t="s">
        <v>2303</v>
      </c>
      <c r="K543" s="23" t="s">
        <v>2303</v>
      </c>
      <c r="L543" s="23">
        <v>1</v>
      </c>
      <c r="M543" s="23" t="s">
        <v>78</v>
      </c>
      <c r="N543" s="23" t="s">
        <v>78</v>
      </c>
      <c r="O543" s="23">
        <v>0.01</v>
      </c>
      <c r="P543" s="23" t="s">
        <v>79</v>
      </c>
      <c r="Q543" s="23" t="s">
        <v>83</v>
      </c>
      <c r="R543" s="23">
        <v>11100018</v>
      </c>
      <c r="S543" s="24" t="s">
        <v>80</v>
      </c>
      <c r="T543" s="24">
        <v>46078</v>
      </c>
      <c r="U543" s="24" t="s">
        <v>80</v>
      </c>
      <c r="X543" s="24">
        <v>46071</v>
      </c>
      <c r="Y543" s="23">
        <v>1111</v>
      </c>
      <c r="Z543" s="23">
        <v>11100002</v>
      </c>
      <c r="AA543" s="23">
        <v>5212</v>
      </c>
      <c r="AB543" s="24">
        <v>46078</v>
      </c>
    </row>
    <row r="544" spans="2:28" x14ac:dyDescent="0.2">
      <c r="B544" s="23" t="s">
        <v>81</v>
      </c>
      <c r="C544" s="23">
        <v>1100577928</v>
      </c>
      <c r="H544" s="24">
        <v>46146</v>
      </c>
      <c r="O544" s="23">
        <v>12426.02</v>
      </c>
      <c r="P544" s="23" t="s">
        <v>79</v>
      </c>
    </row>
    <row r="545" spans="2:28" x14ac:dyDescent="0.2">
      <c r="C545" s="23">
        <v>1100102645</v>
      </c>
      <c r="E545" s="23">
        <v>750</v>
      </c>
      <c r="F545" s="23" t="s">
        <v>616</v>
      </c>
      <c r="G545" s="23" t="s">
        <v>327</v>
      </c>
      <c r="H545" s="24">
        <v>46148</v>
      </c>
      <c r="I545" s="24">
        <v>46752</v>
      </c>
      <c r="J545" s="23" t="s">
        <v>968</v>
      </c>
      <c r="K545" s="23" t="s">
        <v>968</v>
      </c>
      <c r="L545" s="23">
        <v>1</v>
      </c>
      <c r="M545" s="23" t="s">
        <v>78</v>
      </c>
      <c r="N545" s="23" t="s">
        <v>78</v>
      </c>
      <c r="O545" s="23">
        <v>0</v>
      </c>
      <c r="P545" s="23" t="s">
        <v>79</v>
      </c>
      <c r="Q545" s="23" t="s">
        <v>83</v>
      </c>
      <c r="R545" s="23">
        <v>11100018</v>
      </c>
      <c r="S545" s="24" t="s">
        <v>80</v>
      </c>
      <c r="T545" s="24">
        <v>45777</v>
      </c>
      <c r="U545" s="24">
        <v>46752</v>
      </c>
      <c r="X545" s="24">
        <v>45776</v>
      </c>
      <c r="Y545" s="23">
        <v>1111</v>
      </c>
      <c r="Z545" s="23">
        <v>11400129</v>
      </c>
      <c r="AA545" s="23">
        <v>3201</v>
      </c>
      <c r="AB545" s="24">
        <v>45776</v>
      </c>
    </row>
    <row r="546" spans="2:28" x14ac:dyDescent="0.2">
      <c r="C546" s="23">
        <v>1100102645</v>
      </c>
      <c r="E546" s="23">
        <v>1100</v>
      </c>
      <c r="F546" s="23" t="s">
        <v>617</v>
      </c>
      <c r="G546" s="23" t="s">
        <v>618</v>
      </c>
      <c r="H546" s="24">
        <v>46148</v>
      </c>
      <c r="I546" s="24">
        <v>46148</v>
      </c>
      <c r="J546" s="23" t="s">
        <v>968</v>
      </c>
      <c r="K546" s="23" t="s">
        <v>968</v>
      </c>
      <c r="L546" s="23">
        <v>1</v>
      </c>
      <c r="M546" s="23" t="s">
        <v>78</v>
      </c>
      <c r="N546" s="23" t="s">
        <v>78</v>
      </c>
      <c r="O546" s="23">
        <v>25324</v>
      </c>
      <c r="P546" s="23" t="s">
        <v>79</v>
      </c>
      <c r="Q546" s="23" t="s">
        <v>83</v>
      </c>
      <c r="R546" s="23">
        <v>11100018</v>
      </c>
      <c r="S546" s="24">
        <v>46085</v>
      </c>
      <c r="T546" s="24">
        <v>45777</v>
      </c>
      <c r="U546" s="24">
        <v>46752</v>
      </c>
      <c r="X546" s="24">
        <v>45776</v>
      </c>
      <c r="Y546" s="23">
        <v>1111</v>
      </c>
      <c r="Z546" s="23">
        <v>11400129</v>
      </c>
      <c r="AA546" s="23">
        <v>3201</v>
      </c>
      <c r="AB546" s="24">
        <v>45776</v>
      </c>
    </row>
    <row r="547" spans="2:28" x14ac:dyDescent="0.2">
      <c r="C547" s="23">
        <v>1100102645</v>
      </c>
      <c r="E547" s="23">
        <v>1200</v>
      </c>
      <c r="F547" s="23" t="s">
        <v>619</v>
      </c>
      <c r="G547" s="23" t="s">
        <v>620</v>
      </c>
      <c r="H547" s="24">
        <v>46148</v>
      </c>
      <c r="I547" s="24">
        <v>46148</v>
      </c>
      <c r="J547" s="23" t="s">
        <v>968</v>
      </c>
      <c r="K547" s="23" t="s">
        <v>968</v>
      </c>
      <c r="L547" s="23">
        <v>1</v>
      </c>
      <c r="M547" s="23" t="s">
        <v>78</v>
      </c>
      <c r="N547" s="23" t="s">
        <v>78</v>
      </c>
      <c r="O547" s="23">
        <v>3495</v>
      </c>
      <c r="P547" s="23" t="s">
        <v>79</v>
      </c>
      <c r="Q547" s="23" t="s">
        <v>83</v>
      </c>
      <c r="R547" s="23">
        <v>11100018</v>
      </c>
      <c r="S547" s="24">
        <v>46085</v>
      </c>
      <c r="T547" s="24">
        <v>45777</v>
      </c>
      <c r="U547" s="24">
        <v>46752</v>
      </c>
      <c r="X547" s="24">
        <v>45776</v>
      </c>
      <c r="Y547" s="23">
        <v>1111</v>
      </c>
      <c r="Z547" s="23">
        <v>11400129</v>
      </c>
      <c r="AA547" s="23">
        <v>3201</v>
      </c>
      <c r="AB547" s="24">
        <v>45776</v>
      </c>
    </row>
    <row r="548" spans="2:28" x14ac:dyDescent="0.2">
      <c r="C548" s="23">
        <v>1100102645</v>
      </c>
      <c r="E548" s="23">
        <v>1900</v>
      </c>
      <c r="F548" s="23" t="s">
        <v>621</v>
      </c>
      <c r="G548" s="23" t="s">
        <v>622</v>
      </c>
      <c r="H548" s="24">
        <v>46148</v>
      </c>
      <c r="I548" s="24">
        <v>46148</v>
      </c>
      <c r="J548" s="23" t="s">
        <v>968</v>
      </c>
      <c r="K548" s="23" t="s">
        <v>968</v>
      </c>
      <c r="L548" s="23">
        <v>1</v>
      </c>
      <c r="M548" s="23" t="s">
        <v>78</v>
      </c>
      <c r="N548" s="23" t="s">
        <v>78</v>
      </c>
      <c r="O548" s="23">
        <v>25304</v>
      </c>
      <c r="P548" s="23" t="s">
        <v>79</v>
      </c>
      <c r="Q548" s="23" t="s">
        <v>83</v>
      </c>
      <c r="R548" s="23">
        <v>11100018</v>
      </c>
      <c r="S548" s="24" t="s">
        <v>80</v>
      </c>
      <c r="T548" s="24">
        <v>45777</v>
      </c>
      <c r="U548" s="24">
        <v>46752</v>
      </c>
      <c r="X548" s="24">
        <v>45776</v>
      </c>
      <c r="Y548" s="23">
        <v>1111</v>
      </c>
      <c r="Z548" s="23">
        <v>11400129</v>
      </c>
      <c r="AA548" s="23">
        <v>3201</v>
      </c>
      <c r="AB548" s="24">
        <v>45776</v>
      </c>
    </row>
    <row r="549" spans="2:28" x14ac:dyDescent="0.2">
      <c r="C549" s="23">
        <v>1100102645</v>
      </c>
      <c r="E549" s="23">
        <v>2000</v>
      </c>
      <c r="F549" s="23" t="s">
        <v>623</v>
      </c>
      <c r="G549" s="23" t="s">
        <v>624</v>
      </c>
      <c r="H549" s="24">
        <v>46148</v>
      </c>
      <c r="I549" s="24">
        <v>46148</v>
      </c>
      <c r="J549" s="23" t="s">
        <v>968</v>
      </c>
      <c r="K549" s="23" t="s">
        <v>968</v>
      </c>
      <c r="L549" s="23">
        <v>1</v>
      </c>
      <c r="M549" s="23" t="s">
        <v>78</v>
      </c>
      <c r="N549" s="23" t="s">
        <v>78</v>
      </c>
      <c r="O549" s="23">
        <v>1296</v>
      </c>
      <c r="P549" s="23" t="s">
        <v>79</v>
      </c>
      <c r="Q549" s="23" t="s">
        <v>83</v>
      </c>
      <c r="R549" s="23">
        <v>11100018</v>
      </c>
      <c r="S549" s="24" t="s">
        <v>80</v>
      </c>
      <c r="T549" s="24">
        <v>45777</v>
      </c>
      <c r="U549" s="24">
        <v>46752</v>
      </c>
      <c r="X549" s="24">
        <v>45776</v>
      </c>
      <c r="Y549" s="23">
        <v>1111</v>
      </c>
      <c r="Z549" s="23">
        <v>11400129</v>
      </c>
      <c r="AA549" s="23">
        <v>3201</v>
      </c>
      <c r="AB549" s="24">
        <v>45776</v>
      </c>
    </row>
    <row r="550" spans="2:28" x14ac:dyDescent="0.2">
      <c r="C550" s="23">
        <v>1100102645</v>
      </c>
      <c r="E550" s="23">
        <v>2100</v>
      </c>
      <c r="F550" s="23" t="s">
        <v>625</v>
      </c>
      <c r="G550" s="23" t="s">
        <v>626</v>
      </c>
      <c r="H550" s="24">
        <v>46148</v>
      </c>
      <c r="I550" s="24">
        <v>46148</v>
      </c>
      <c r="J550" s="23" t="s">
        <v>968</v>
      </c>
      <c r="K550" s="23" t="s">
        <v>968</v>
      </c>
      <c r="L550" s="23">
        <v>1</v>
      </c>
      <c r="M550" s="23" t="s">
        <v>78</v>
      </c>
      <c r="N550" s="23" t="s">
        <v>78</v>
      </c>
      <c r="O550" s="23">
        <v>3495</v>
      </c>
      <c r="P550" s="23" t="s">
        <v>79</v>
      </c>
      <c r="Q550" s="23" t="s">
        <v>83</v>
      </c>
      <c r="R550" s="23">
        <v>11100018</v>
      </c>
      <c r="S550" s="24" t="s">
        <v>80</v>
      </c>
      <c r="T550" s="24">
        <v>45777</v>
      </c>
      <c r="U550" s="24">
        <v>46752</v>
      </c>
      <c r="X550" s="24">
        <v>45776</v>
      </c>
      <c r="Y550" s="23">
        <v>1111</v>
      </c>
      <c r="Z550" s="23">
        <v>11400129</v>
      </c>
      <c r="AA550" s="23">
        <v>3201</v>
      </c>
      <c r="AB550" s="24">
        <v>45776</v>
      </c>
    </row>
    <row r="551" spans="2:28" x14ac:dyDescent="0.2">
      <c r="C551" s="23">
        <v>1100102645</v>
      </c>
      <c r="E551" s="23">
        <v>2800</v>
      </c>
      <c r="F551" s="23" t="s">
        <v>627</v>
      </c>
      <c r="G551" s="23" t="s">
        <v>628</v>
      </c>
      <c r="H551" s="24">
        <v>46148</v>
      </c>
      <c r="I551" s="24">
        <v>46148</v>
      </c>
      <c r="J551" s="23" t="s">
        <v>968</v>
      </c>
      <c r="K551" s="23" t="s">
        <v>968</v>
      </c>
      <c r="L551" s="23">
        <v>1</v>
      </c>
      <c r="M551" s="23" t="s">
        <v>78</v>
      </c>
      <c r="N551" s="23" t="s">
        <v>78</v>
      </c>
      <c r="O551" s="23">
        <v>26317</v>
      </c>
      <c r="P551" s="23" t="s">
        <v>79</v>
      </c>
      <c r="Q551" s="23" t="s">
        <v>83</v>
      </c>
      <c r="R551" s="23">
        <v>11100018</v>
      </c>
      <c r="S551" s="24" t="s">
        <v>80</v>
      </c>
      <c r="T551" s="24">
        <v>45777</v>
      </c>
      <c r="U551" s="24">
        <v>46752</v>
      </c>
      <c r="X551" s="24">
        <v>45776</v>
      </c>
      <c r="Y551" s="23">
        <v>1111</v>
      </c>
      <c r="Z551" s="23">
        <v>11400129</v>
      </c>
      <c r="AA551" s="23">
        <v>3201</v>
      </c>
      <c r="AB551" s="24">
        <v>45776</v>
      </c>
    </row>
    <row r="552" spans="2:28" x14ac:dyDescent="0.2">
      <c r="C552" s="23">
        <v>1100102645</v>
      </c>
      <c r="E552" s="23">
        <v>2900</v>
      </c>
      <c r="F552" s="23" t="s">
        <v>629</v>
      </c>
      <c r="G552" s="23" t="s">
        <v>630</v>
      </c>
      <c r="H552" s="24">
        <v>46148</v>
      </c>
      <c r="I552" s="24">
        <v>46148</v>
      </c>
      <c r="J552" s="23" t="s">
        <v>968</v>
      </c>
      <c r="K552" s="23" t="s">
        <v>968</v>
      </c>
      <c r="L552" s="23">
        <v>1</v>
      </c>
      <c r="M552" s="23" t="s">
        <v>78</v>
      </c>
      <c r="N552" s="23" t="s">
        <v>78</v>
      </c>
      <c r="O552" s="23">
        <v>3495</v>
      </c>
      <c r="P552" s="23" t="s">
        <v>79</v>
      </c>
      <c r="Q552" s="23" t="s">
        <v>83</v>
      </c>
      <c r="R552" s="23">
        <v>11100018</v>
      </c>
      <c r="S552" s="24" t="s">
        <v>80</v>
      </c>
      <c r="T552" s="24">
        <v>45777</v>
      </c>
      <c r="U552" s="24">
        <v>46752</v>
      </c>
      <c r="X552" s="24">
        <v>45776</v>
      </c>
      <c r="Y552" s="23">
        <v>1111</v>
      </c>
      <c r="Z552" s="23">
        <v>11400129</v>
      </c>
      <c r="AA552" s="23">
        <v>3201</v>
      </c>
      <c r="AB552" s="24">
        <v>45776</v>
      </c>
    </row>
    <row r="553" spans="2:28" x14ac:dyDescent="0.2">
      <c r="C553" s="23">
        <v>1100102645</v>
      </c>
      <c r="E553" s="23">
        <v>3400</v>
      </c>
      <c r="F553" s="23" t="s">
        <v>631</v>
      </c>
      <c r="G553" s="23" t="s">
        <v>632</v>
      </c>
      <c r="H553" s="24">
        <v>46148</v>
      </c>
      <c r="I553" s="24">
        <v>46148</v>
      </c>
      <c r="J553" s="23" t="s">
        <v>968</v>
      </c>
      <c r="K553" s="23" t="s">
        <v>968</v>
      </c>
      <c r="L553" s="23">
        <v>1</v>
      </c>
      <c r="M553" s="23" t="s">
        <v>78</v>
      </c>
      <c r="N553" s="23" t="s">
        <v>78</v>
      </c>
      <c r="O553" s="23">
        <v>26628</v>
      </c>
      <c r="P553" s="23" t="s">
        <v>79</v>
      </c>
      <c r="Q553" s="23" t="s">
        <v>83</v>
      </c>
      <c r="R553" s="23">
        <v>11100018</v>
      </c>
      <c r="S553" s="24" t="s">
        <v>80</v>
      </c>
      <c r="T553" s="24">
        <v>45777</v>
      </c>
      <c r="U553" s="24">
        <v>46752</v>
      </c>
      <c r="X553" s="24">
        <v>45776</v>
      </c>
      <c r="Y553" s="23">
        <v>1111</v>
      </c>
      <c r="Z553" s="23">
        <v>11400129</v>
      </c>
      <c r="AA553" s="23">
        <v>3201</v>
      </c>
      <c r="AB553" s="24">
        <v>45776</v>
      </c>
    </row>
    <row r="554" spans="2:28" x14ac:dyDescent="0.2">
      <c r="C554" s="23">
        <v>1100102645</v>
      </c>
      <c r="E554" s="23">
        <v>3500</v>
      </c>
      <c r="F554" s="23" t="s">
        <v>633</v>
      </c>
      <c r="G554" s="23" t="s">
        <v>634</v>
      </c>
      <c r="H554" s="24">
        <v>46148</v>
      </c>
      <c r="I554" s="24">
        <v>46148</v>
      </c>
      <c r="J554" s="23" t="s">
        <v>968</v>
      </c>
      <c r="K554" s="23" t="s">
        <v>968</v>
      </c>
      <c r="L554" s="23">
        <v>1</v>
      </c>
      <c r="M554" s="23" t="s">
        <v>78</v>
      </c>
      <c r="N554" s="23" t="s">
        <v>78</v>
      </c>
      <c r="O554" s="23">
        <v>3495</v>
      </c>
      <c r="P554" s="23" t="s">
        <v>79</v>
      </c>
      <c r="Q554" s="23" t="s">
        <v>83</v>
      </c>
      <c r="R554" s="23">
        <v>11100018</v>
      </c>
      <c r="S554" s="24" t="s">
        <v>80</v>
      </c>
      <c r="T554" s="24">
        <v>45777</v>
      </c>
      <c r="U554" s="24">
        <v>46752</v>
      </c>
      <c r="X554" s="24">
        <v>45776</v>
      </c>
      <c r="Y554" s="23">
        <v>1111</v>
      </c>
      <c r="Z554" s="23">
        <v>11400129</v>
      </c>
      <c r="AA554" s="23">
        <v>3201</v>
      </c>
      <c r="AB554" s="24">
        <v>45776</v>
      </c>
    </row>
    <row r="555" spans="2:28" x14ac:dyDescent="0.2">
      <c r="B555" s="23" t="s">
        <v>81</v>
      </c>
      <c r="C555" s="23">
        <v>1100102645</v>
      </c>
      <c r="H555" s="24">
        <v>46148</v>
      </c>
      <c r="O555" s="23">
        <v>118849</v>
      </c>
      <c r="P555" s="23" t="s">
        <v>79</v>
      </c>
    </row>
    <row r="556" spans="2:28" x14ac:dyDescent="0.2">
      <c r="C556" s="23">
        <v>1100573946</v>
      </c>
      <c r="E556" s="23">
        <v>10</v>
      </c>
      <c r="F556" s="23" t="s">
        <v>2438</v>
      </c>
      <c r="G556" s="23" t="s">
        <v>2439</v>
      </c>
      <c r="H556" s="24">
        <v>46148</v>
      </c>
      <c r="I556" s="24">
        <v>46148</v>
      </c>
      <c r="J556" s="23" t="s">
        <v>272</v>
      </c>
      <c r="K556" s="23" t="s">
        <v>272</v>
      </c>
      <c r="L556" s="23">
        <v>1</v>
      </c>
      <c r="M556" s="23" t="s">
        <v>78</v>
      </c>
      <c r="N556" s="23" t="s">
        <v>78</v>
      </c>
      <c r="O556" s="23">
        <v>14584.5</v>
      </c>
      <c r="P556" s="23" t="s">
        <v>79</v>
      </c>
      <c r="Q556" s="23" t="s">
        <v>83</v>
      </c>
      <c r="R556" s="23">
        <v>11100299</v>
      </c>
      <c r="S556" s="24">
        <v>46148</v>
      </c>
      <c r="T556" s="24">
        <v>46037</v>
      </c>
      <c r="U556" s="24" t="s">
        <v>80</v>
      </c>
      <c r="X556" s="24">
        <v>46036</v>
      </c>
      <c r="Y556" s="23">
        <v>1111</v>
      </c>
      <c r="Z556" s="23">
        <v>11100002</v>
      </c>
      <c r="AA556" s="23">
        <v>5112</v>
      </c>
      <c r="AB556" s="24">
        <v>46037</v>
      </c>
    </row>
    <row r="557" spans="2:28" x14ac:dyDescent="0.2">
      <c r="C557" s="23">
        <v>1100573946</v>
      </c>
      <c r="E557" s="23">
        <v>20</v>
      </c>
      <c r="F557" s="23" t="s">
        <v>84</v>
      </c>
      <c r="G557" s="23" t="s">
        <v>123</v>
      </c>
      <c r="H557" s="24">
        <v>46148</v>
      </c>
      <c r="I557" s="24">
        <v>46148</v>
      </c>
      <c r="J557" s="23" t="s">
        <v>272</v>
      </c>
      <c r="K557" s="23" t="s">
        <v>272</v>
      </c>
      <c r="L557" s="23">
        <v>1</v>
      </c>
      <c r="M557" s="23" t="s">
        <v>78</v>
      </c>
      <c r="N557" s="23" t="s">
        <v>78</v>
      </c>
      <c r="O557" s="23">
        <v>0.01</v>
      </c>
      <c r="P557" s="23" t="s">
        <v>79</v>
      </c>
      <c r="Q557" s="23" t="s">
        <v>83</v>
      </c>
      <c r="R557" s="23">
        <v>11100299</v>
      </c>
      <c r="S557" s="24" t="s">
        <v>80</v>
      </c>
      <c r="T557" s="24">
        <v>46037</v>
      </c>
      <c r="U557" s="24" t="s">
        <v>80</v>
      </c>
      <c r="X557" s="24">
        <v>46036</v>
      </c>
      <c r="Y557" s="23">
        <v>1111</v>
      </c>
      <c r="Z557" s="23">
        <v>11100002</v>
      </c>
      <c r="AA557" s="23">
        <v>5112</v>
      </c>
      <c r="AB557" s="24">
        <v>46037</v>
      </c>
    </row>
    <row r="558" spans="2:28" x14ac:dyDescent="0.2">
      <c r="B558" s="23" t="s">
        <v>81</v>
      </c>
      <c r="C558" s="23">
        <v>1100573946</v>
      </c>
      <c r="H558" s="24">
        <v>46148</v>
      </c>
      <c r="O558" s="23">
        <v>14584.51</v>
      </c>
      <c r="P558" s="23" t="s">
        <v>79</v>
      </c>
    </row>
    <row r="559" spans="2:28" x14ac:dyDescent="0.2">
      <c r="C559" s="23">
        <v>1100102619</v>
      </c>
      <c r="E559" s="23">
        <v>100</v>
      </c>
      <c r="F559" s="23" t="s">
        <v>586</v>
      </c>
      <c r="G559" s="23" t="s">
        <v>587</v>
      </c>
      <c r="H559" s="24">
        <v>46150</v>
      </c>
      <c r="I559" s="24">
        <v>46752</v>
      </c>
      <c r="J559" s="23" t="s">
        <v>482</v>
      </c>
      <c r="K559" s="23" t="s">
        <v>482</v>
      </c>
      <c r="L559" s="23">
        <v>1</v>
      </c>
      <c r="M559" s="23" t="s">
        <v>78</v>
      </c>
      <c r="N559" s="23" t="s">
        <v>78</v>
      </c>
      <c r="O559" s="23">
        <v>0</v>
      </c>
      <c r="P559" s="23" t="s">
        <v>79</v>
      </c>
      <c r="Q559" s="23" t="s">
        <v>83</v>
      </c>
      <c r="R559" s="23">
        <v>11100189</v>
      </c>
      <c r="S559" s="24" t="s">
        <v>80</v>
      </c>
      <c r="T559" s="24">
        <v>45737</v>
      </c>
      <c r="U559" s="24">
        <v>46752</v>
      </c>
      <c r="X559" s="24" t="s">
        <v>80</v>
      </c>
      <c r="Y559" s="23">
        <v>1111</v>
      </c>
      <c r="Z559" s="23">
        <v>11400129</v>
      </c>
      <c r="AA559" s="23">
        <v>310103</v>
      </c>
      <c r="AB559" s="24" t="s">
        <v>80</v>
      </c>
    </row>
    <row r="560" spans="2:28" x14ac:dyDescent="0.2">
      <c r="C560" s="23">
        <v>1100102619</v>
      </c>
      <c r="E560" s="23">
        <v>201</v>
      </c>
      <c r="F560" s="23" t="s">
        <v>82</v>
      </c>
      <c r="G560" s="23" t="s">
        <v>588</v>
      </c>
      <c r="H560" s="24">
        <v>46150</v>
      </c>
      <c r="I560" s="24">
        <v>46752</v>
      </c>
      <c r="J560" s="23" t="s">
        <v>482</v>
      </c>
      <c r="K560" s="23" t="s">
        <v>482</v>
      </c>
      <c r="L560" s="23">
        <v>1</v>
      </c>
      <c r="M560" s="23" t="s">
        <v>78</v>
      </c>
      <c r="N560" s="23" t="s">
        <v>78</v>
      </c>
      <c r="O560" s="23">
        <v>0</v>
      </c>
      <c r="P560" s="23" t="s">
        <v>79</v>
      </c>
      <c r="Q560" s="23" t="s">
        <v>83</v>
      </c>
      <c r="R560" s="23">
        <v>11100189</v>
      </c>
      <c r="S560" s="24" t="s">
        <v>80</v>
      </c>
      <c r="T560" s="24">
        <v>45737</v>
      </c>
      <c r="U560" s="24">
        <v>46752</v>
      </c>
      <c r="X560" s="24">
        <v>45737</v>
      </c>
      <c r="Y560" s="23">
        <v>1111</v>
      </c>
      <c r="Z560" s="23">
        <v>11400129</v>
      </c>
      <c r="AA560" s="23">
        <v>310103</v>
      </c>
      <c r="AB560" s="24">
        <v>45737</v>
      </c>
    </row>
    <row r="561" spans="2:28" x14ac:dyDescent="0.2">
      <c r="C561" s="23">
        <v>1100102619</v>
      </c>
      <c r="E561" s="23">
        <v>750</v>
      </c>
      <c r="F561" s="23" t="s">
        <v>589</v>
      </c>
      <c r="G561" s="23" t="s">
        <v>305</v>
      </c>
      <c r="H561" s="24">
        <v>46150</v>
      </c>
      <c r="I561" s="24">
        <v>46150</v>
      </c>
      <c r="J561" s="23" t="s">
        <v>482</v>
      </c>
      <c r="K561" s="23" t="s">
        <v>482</v>
      </c>
      <c r="L561" s="23">
        <v>1</v>
      </c>
      <c r="M561" s="23" t="s">
        <v>78</v>
      </c>
      <c r="N561" s="23" t="s">
        <v>78</v>
      </c>
      <c r="O561" s="23">
        <v>0</v>
      </c>
      <c r="P561" s="23" t="s">
        <v>79</v>
      </c>
      <c r="Q561" s="23" t="s">
        <v>83</v>
      </c>
      <c r="R561" s="23">
        <v>11100189</v>
      </c>
      <c r="S561" s="24" t="s">
        <v>80</v>
      </c>
      <c r="T561" s="24">
        <v>45737</v>
      </c>
      <c r="U561" s="24">
        <v>46752</v>
      </c>
      <c r="X561" s="24">
        <v>45737</v>
      </c>
      <c r="Y561" s="23">
        <v>1111</v>
      </c>
      <c r="Z561" s="23">
        <v>11400129</v>
      </c>
      <c r="AA561" s="23">
        <v>310103</v>
      </c>
      <c r="AB561" s="24">
        <v>45737</v>
      </c>
    </row>
    <row r="562" spans="2:28" x14ac:dyDescent="0.2">
      <c r="C562" s="23">
        <v>1100102619</v>
      </c>
      <c r="E562" s="23">
        <v>800</v>
      </c>
      <c r="F562" s="23" t="s">
        <v>590</v>
      </c>
      <c r="G562" s="23" t="s">
        <v>591</v>
      </c>
      <c r="H562" s="24">
        <v>46150</v>
      </c>
      <c r="I562" s="24">
        <v>46150</v>
      </c>
      <c r="J562" s="23" t="s">
        <v>482</v>
      </c>
      <c r="K562" s="23" t="s">
        <v>482</v>
      </c>
      <c r="L562" s="23">
        <v>1</v>
      </c>
      <c r="M562" s="23" t="s">
        <v>78</v>
      </c>
      <c r="N562" s="23" t="s">
        <v>78</v>
      </c>
      <c r="O562" s="23">
        <v>57318</v>
      </c>
      <c r="P562" s="23" t="s">
        <v>79</v>
      </c>
      <c r="Q562" s="23" t="s">
        <v>83</v>
      </c>
      <c r="R562" s="23">
        <v>11100189</v>
      </c>
      <c r="S562" s="24">
        <v>46003</v>
      </c>
      <c r="T562" s="24">
        <v>45737</v>
      </c>
      <c r="U562" s="24">
        <v>46752</v>
      </c>
      <c r="X562" s="24">
        <v>45737</v>
      </c>
      <c r="Y562" s="23">
        <v>1111</v>
      </c>
      <c r="Z562" s="23">
        <v>11400129</v>
      </c>
      <c r="AA562" s="23">
        <v>310103</v>
      </c>
      <c r="AB562" s="24">
        <v>45737</v>
      </c>
    </row>
    <row r="563" spans="2:28" x14ac:dyDescent="0.2">
      <c r="C563" s="23">
        <v>1100102619</v>
      </c>
      <c r="E563" s="23">
        <v>900</v>
      </c>
      <c r="F563" s="23" t="s">
        <v>592</v>
      </c>
      <c r="G563" s="23" t="s">
        <v>593</v>
      </c>
      <c r="H563" s="24">
        <v>46150</v>
      </c>
      <c r="I563" s="24">
        <v>46150</v>
      </c>
      <c r="J563" s="23" t="s">
        <v>482</v>
      </c>
      <c r="K563" s="23" t="s">
        <v>482</v>
      </c>
      <c r="L563" s="23">
        <v>1</v>
      </c>
      <c r="M563" s="23" t="s">
        <v>78</v>
      </c>
      <c r="N563" s="23" t="s">
        <v>78</v>
      </c>
      <c r="O563" s="23">
        <v>57318</v>
      </c>
      <c r="P563" s="23" t="s">
        <v>79</v>
      </c>
      <c r="Q563" s="23" t="s">
        <v>83</v>
      </c>
      <c r="R563" s="23">
        <v>11100189</v>
      </c>
      <c r="S563" s="24">
        <v>46003</v>
      </c>
      <c r="T563" s="24">
        <v>45737</v>
      </c>
      <c r="U563" s="24">
        <v>46752</v>
      </c>
      <c r="X563" s="24">
        <v>45737</v>
      </c>
      <c r="Y563" s="23">
        <v>1111</v>
      </c>
      <c r="Z563" s="23">
        <v>11400129</v>
      </c>
      <c r="AA563" s="23">
        <v>310103</v>
      </c>
      <c r="AB563" s="24">
        <v>45737</v>
      </c>
    </row>
    <row r="564" spans="2:28" x14ac:dyDescent="0.2">
      <c r="C564" s="23">
        <v>1100102619</v>
      </c>
      <c r="E564" s="23">
        <v>1000</v>
      </c>
      <c r="F564" s="23" t="s">
        <v>594</v>
      </c>
      <c r="G564" s="23" t="s">
        <v>595</v>
      </c>
      <c r="H564" s="24">
        <v>46150</v>
      </c>
      <c r="I564" s="24">
        <v>46150</v>
      </c>
      <c r="J564" s="23" t="s">
        <v>482</v>
      </c>
      <c r="K564" s="23" t="s">
        <v>482</v>
      </c>
      <c r="L564" s="23">
        <v>1</v>
      </c>
      <c r="M564" s="23" t="s">
        <v>78</v>
      </c>
      <c r="N564" s="23" t="s">
        <v>78</v>
      </c>
      <c r="O564" s="23">
        <v>57318</v>
      </c>
      <c r="P564" s="23" t="s">
        <v>79</v>
      </c>
      <c r="Q564" s="23" t="s">
        <v>83</v>
      </c>
      <c r="R564" s="23">
        <v>11100189</v>
      </c>
      <c r="S564" s="24">
        <v>46003</v>
      </c>
      <c r="T564" s="24">
        <v>45737</v>
      </c>
      <c r="U564" s="24">
        <v>46752</v>
      </c>
      <c r="X564" s="24">
        <v>45737</v>
      </c>
      <c r="Y564" s="23">
        <v>1111</v>
      </c>
      <c r="Z564" s="23">
        <v>11400129</v>
      </c>
      <c r="AA564" s="23">
        <v>310103</v>
      </c>
      <c r="AB564" s="24">
        <v>45737</v>
      </c>
    </row>
    <row r="565" spans="2:28" x14ac:dyDescent="0.2">
      <c r="C565" s="23">
        <v>1100102619</v>
      </c>
      <c r="E565" s="23">
        <v>1100</v>
      </c>
      <c r="F565" s="23" t="s">
        <v>596</v>
      </c>
      <c r="G565" s="23" t="s">
        <v>597</v>
      </c>
      <c r="H565" s="24">
        <v>46150</v>
      </c>
      <c r="I565" s="24">
        <v>46150</v>
      </c>
      <c r="J565" s="23" t="s">
        <v>482</v>
      </c>
      <c r="K565" s="23" t="s">
        <v>482</v>
      </c>
      <c r="L565" s="23">
        <v>1</v>
      </c>
      <c r="M565" s="23" t="s">
        <v>78</v>
      </c>
      <c r="N565" s="23" t="s">
        <v>78</v>
      </c>
      <c r="O565" s="23">
        <v>57318</v>
      </c>
      <c r="P565" s="23" t="s">
        <v>79</v>
      </c>
      <c r="Q565" s="23" t="s">
        <v>83</v>
      </c>
      <c r="R565" s="23">
        <v>11100189</v>
      </c>
      <c r="S565" s="24">
        <v>46003</v>
      </c>
      <c r="T565" s="24">
        <v>45737</v>
      </c>
      <c r="U565" s="24">
        <v>46752</v>
      </c>
      <c r="X565" s="24">
        <v>45737</v>
      </c>
      <c r="Y565" s="23">
        <v>1111</v>
      </c>
      <c r="Z565" s="23">
        <v>11400129</v>
      </c>
      <c r="AA565" s="23">
        <v>310103</v>
      </c>
      <c r="AB565" s="24">
        <v>45737</v>
      </c>
    </row>
    <row r="566" spans="2:28" x14ac:dyDescent="0.2">
      <c r="C566" s="23">
        <v>1100102619</v>
      </c>
      <c r="E566" s="23">
        <v>1200</v>
      </c>
      <c r="F566" s="23" t="s">
        <v>598</v>
      </c>
      <c r="G566" s="23" t="s">
        <v>599</v>
      </c>
      <c r="H566" s="24">
        <v>46150</v>
      </c>
      <c r="I566" s="24">
        <v>46157</v>
      </c>
      <c r="J566" s="23" t="s">
        <v>482</v>
      </c>
      <c r="K566" s="23" t="s">
        <v>482</v>
      </c>
      <c r="L566" s="23">
        <v>1</v>
      </c>
      <c r="M566" s="23" t="s">
        <v>78</v>
      </c>
      <c r="N566" s="23" t="s">
        <v>78</v>
      </c>
      <c r="O566" s="23">
        <v>57318</v>
      </c>
      <c r="P566" s="23" t="s">
        <v>79</v>
      </c>
      <c r="Q566" s="23" t="s">
        <v>83</v>
      </c>
      <c r="R566" s="23">
        <v>11100189</v>
      </c>
      <c r="S566" s="24">
        <v>46003</v>
      </c>
      <c r="T566" s="24">
        <v>45737</v>
      </c>
      <c r="U566" s="24">
        <v>46752</v>
      </c>
      <c r="X566" s="24">
        <v>45737</v>
      </c>
      <c r="Y566" s="23">
        <v>1111</v>
      </c>
      <c r="Z566" s="23">
        <v>11400129</v>
      </c>
      <c r="AA566" s="23">
        <v>310103</v>
      </c>
      <c r="AB566" s="24">
        <v>45737</v>
      </c>
    </row>
    <row r="567" spans="2:28" x14ac:dyDescent="0.2">
      <c r="C567" s="23">
        <v>1100102619</v>
      </c>
      <c r="E567" s="23">
        <v>1300</v>
      </c>
      <c r="F567" s="23" t="s">
        <v>600</v>
      </c>
      <c r="G567" s="23" t="s">
        <v>601</v>
      </c>
      <c r="H567" s="24">
        <v>46150</v>
      </c>
      <c r="I567" s="24">
        <v>46157</v>
      </c>
      <c r="J567" s="23" t="s">
        <v>482</v>
      </c>
      <c r="K567" s="23" t="s">
        <v>482</v>
      </c>
      <c r="L567" s="23">
        <v>1</v>
      </c>
      <c r="M567" s="23" t="s">
        <v>78</v>
      </c>
      <c r="N567" s="23" t="s">
        <v>78</v>
      </c>
      <c r="O567" s="23">
        <v>57318</v>
      </c>
      <c r="P567" s="23" t="s">
        <v>79</v>
      </c>
      <c r="Q567" s="23" t="s">
        <v>83</v>
      </c>
      <c r="R567" s="23">
        <v>11100189</v>
      </c>
      <c r="S567" s="24">
        <v>46003</v>
      </c>
      <c r="T567" s="24">
        <v>45737</v>
      </c>
      <c r="U567" s="24">
        <v>46752</v>
      </c>
      <c r="X567" s="24">
        <v>45737</v>
      </c>
      <c r="Y567" s="23">
        <v>1111</v>
      </c>
      <c r="Z567" s="23">
        <v>11400129</v>
      </c>
      <c r="AA567" s="23">
        <v>310103</v>
      </c>
      <c r="AB567" s="24">
        <v>45737</v>
      </c>
    </row>
    <row r="568" spans="2:28" x14ac:dyDescent="0.2">
      <c r="C568" s="23">
        <v>1100102619</v>
      </c>
      <c r="E568" s="23">
        <v>1400</v>
      </c>
      <c r="F568" s="23" t="s">
        <v>602</v>
      </c>
      <c r="G568" s="23" t="s">
        <v>603</v>
      </c>
      <c r="H568" s="24">
        <v>46150</v>
      </c>
      <c r="I568" s="24">
        <v>46157</v>
      </c>
      <c r="J568" s="23" t="s">
        <v>482</v>
      </c>
      <c r="K568" s="23" t="s">
        <v>482</v>
      </c>
      <c r="L568" s="23">
        <v>1</v>
      </c>
      <c r="M568" s="23" t="s">
        <v>78</v>
      </c>
      <c r="N568" s="23" t="s">
        <v>78</v>
      </c>
      <c r="O568" s="23">
        <v>57318</v>
      </c>
      <c r="P568" s="23" t="s">
        <v>79</v>
      </c>
      <c r="Q568" s="23" t="s">
        <v>83</v>
      </c>
      <c r="R568" s="23">
        <v>11100189</v>
      </c>
      <c r="S568" s="24">
        <v>46003</v>
      </c>
      <c r="T568" s="24">
        <v>45737</v>
      </c>
      <c r="U568" s="24">
        <v>46752</v>
      </c>
      <c r="X568" s="24">
        <v>45737</v>
      </c>
      <c r="Y568" s="23">
        <v>1111</v>
      </c>
      <c r="Z568" s="23">
        <v>11400129</v>
      </c>
      <c r="AA568" s="23">
        <v>310103</v>
      </c>
      <c r="AB568" s="24">
        <v>45737</v>
      </c>
    </row>
    <row r="569" spans="2:28" x14ac:dyDescent="0.2">
      <c r="C569" s="23">
        <v>1100102619</v>
      </c>
      <c r="E569" s="23">
        <v>1500</v>
      </c>
      <c r="F569" s="23" t="s">
        <v>604</v>
      </c>
      <c r="G569" s="23" t="s">
        <v>605</v>
      </c>
      <c r="H569" s="24">
        <v>46150</v>
      </c>
      <c r="I569" s="24">
        <v>46157</v>
      </c>
      <c r="J569" s="23" t="s">
        <v>482</v>
      </c>
      <c r="K569" s="23" t="s">
        <v>482</v>
      </c>
      <c r="L569" s="23">
        <v>1</v>
      </c>
      <c r="M569" s="23" t="s">
        <v>78</v>
      </c>
      <c r="N569" s="23" t="s">
        <v>78</v>
      </c>
      <c r="O569" s="23">
        <v>57318</v>
      </c>
      <c r="P569" s="23" t="s">
        <v>79</v>
      </c>
      <c r="Q569" s="23" t="s">
        <v>83</v>
      </c>
      <c r="R569" s="23">
        <v>11100189</v>
      </c>
      <c r="S569" s="24">
        <v>46003</v>
      </c>
      <c r="T569" s="24">
        <v>45737</v>
      </c>
      <c r="U569" s="24">
        <v>46752</v>
      </c>
      <c r="X569" s="24">
        <v>45737</v>
      </c>
      <c r="Y569" s="23">
        <v>1111</v>
      </c>
      <c r="Z569" s="23">
        <v>11400129</v>
      </c>
      <c r="AA569" s="23">
        <v>310103</v>
      </c>
      <c r="AB569" s="24">
        <v>45737</v>
      </c>
    </row>
    <row r="570" spans="2:28" x14ac:dyDescent="0.2">
      <c r="C570" s="23">
        <v>1100102619</v>
      </c>
      <c r="E570" s="23">
        <v>1600</v>
      </c>
      <c r="F570" s="23" t="s">
        <v>606</v>
      </c>
      <c r="G570" s="23" t="s">
        <v>607</v>
      </c>
      <c r="H570" s="24">
        <v>46150</v>
      </c>
      <c r="I570" s="24">
        <v>46157</v>
      </c>
      <c r="J570" s="23" t="s">
        <v>482</v>
      </c>
      <c r="K570" s="23" t="s">
        <v>482</v>
      </c>
      <c r="L570" s="23">
        <v>1</v>
      </c>
      <c r="M570" s="23" t="s">
        <v>78</v>
      </c>
      <c r="N570" s="23" t="s">
        <v>78</v>
      </c>
      <c r="O570" s="23">
        <v>57318</v>
      </c>
      <c r="P570" s="23" t="s">
        <v>79</v>
      </c>
      <c r="Q570" s="23" t="s">
        <v>83</v>
      </c>
      <c r="R570" s="23">
        <v>11100189</v>
      </c>
      <c r="S570" s="24">
        <v>46003</v>
      </c>
      <c r="T570" s="24">
        <v>45737</v>
      </c>
      <c r="U570" s="24">
        <v>46752</v>
      </c>
      <c r="X570" s="24">
        <v>45737</v>
      </c>
      <c r="Y570" s="23">
        <v>1111</v>
      </c>
      <c r="Z570" s="23">
        <v>11400129</v>
      </c>
      <c r="AA570" s="23">
        <v>310103</v>
      </c>
      <c r="AB570" s="24">
        <v>45737</v>
      </c>
    </row>
    <row r="571" spans="2:28" x14ac:dyDescent="0.2">
      <c r="C571" s="23">
        <v>1100102619</v>
      </c>
      <c r="E571" s="23">
        <v>1700</v>
      </c>
      <c r="F571" s="23" t="s">
        <v>608</v>
      </c>
      <c r="G571" s="23" t="s">
        <v>609</v>
      </c>
      <c r="H571" s="24">
        <v>46150</v>
      </c>
      <c r="I571" s="24">
        <v>46164</v>
      </c>
      <c r="J571" s="23" t="s">
        <v>482</v>
      </c>
      <c r="K571" s="23" t="s">
        <v>482</v>
      </c>
      <c r="L571" s="23">
        <v>1</v>
      </c>
      <c r="M571" s="23" t="s">
        <v>78</v>
      </c>
      <c r="N571" s="23" t="s">
        <v>78</v>
      </c>
      <c r="O571" s="23">
        <v>57318</v>
      </c>
      <c r="P571" s="23" t="s">
        <v>79</v>
      </c>
      <c r="Q571" s="23" t="s">
        <v>83</v>
      </c>
      <c r="R571" s="23">
        <v>11100189</v>
      </c>
      <c r="S571" s="24">
        <v>46003</v>
      </c>
      <c r="T571" s="24">
        <v>45737</v>
      </c>
      <c r="U571" s="24">
        <v>46752</v>
      </c>
      <c r="X571" s="24">
        <v>45737</v>
      </c>
      <c r="Y571" s="23">
        <v>1111</v>
      </c>
      <c r="Z571" s="23">
        <v>11400129</v>
      </c>
      <c r="AA571" s="23">
        <v>310103</v>
      </c>
      <c r="AB571" s="24">
        <v>45737</v>
      </c>
    </row>
    <row r="572" spans="2:28" x14ac:dyDescent="0.2">
      <c r="C572" s="23">
        <v>1100102619</v>
      </c>
      <c r="E572" s="23">
        <v>1800</v>
      </c>
      <c r="F572" s="23" t="s">
        <v>610</v>
      </c>
      <c r="G572" s="23" t="s">
        <v>611</v>
      </c>
      <c r="H572" s="24">
        <v>46150</v>
      </c>
      <c r="I572" s="24">
        <v>46164</v>
      </c>
      <c r="J572" s="23" t="s">
        <v>482</v>
      </c>
      <c r="K572" s="23" t="s">
        <v>482</v>
      </c>
      <c r="L572" s="23">
        <v>1</v>
      </c>
      <c r="M572" s="23" t="s">
        <v>78</v>
      </c>
      <c r="N572" s="23" t="s">
        <v>78</v>
      </c>
      <c r="O572" s="23">
        <v>57318</v>
      </c>
      <c r="P572" s="23" t="s">
        <v>79</v>
      </c>
      <c r="Q572" s="23" t="s">
        <v>83</v>
      </c>
      <c r="R572" s="23">
        <v>11100189</v>
      </c>
      <c r="S572" s="24">
        <v>46003</v>
      </c>
      <c r="T572" s="24">
        <v>45737</v>
      </c>
      <c r="U572" s="24">
        <v>46752</v>
      </c>
      <c r="X572" s="24">
        <v>45737</v>
      </c>
      <c r="Y572" s="23">
        <v>1111</v>
      </c>
      <c r="Z572" s="23">
        <v>11400129</v>
      </c>
      <c r="AA572" s="23">
        <v>310103</v>
      </c>
      <c r="AB572" s="24">
        <v>45737</v>
      </c>
    </row>
    <row r="573" spans="2:28" x14ac:dyDescent="0.2">
      <c r="C573" s="23">
        <v>1100102619</v>
      </c>
      <c r="E573" s="23">
        <v>1900</v>
      </c>
      <c r="F573" s="23" t="s">
        <v>612</v>
      </c>
      <c r="G573" s="23" t="s">
        <v>613</v>
      </c>
      <c r="H573" s="24">
        <v>46150</v>
      </c>
      <c r="I573" s="24">
        <v>46164</v>
      </c>
      <c r="J573" s="23" t="s">
        <v>482</v>
      </c>
      <c r="K573" s="23" t="s">
        <v>482</v>
      </c>
      <c r="L573" s="23">
        <v>1</v>
      </c>
      <c r="M573" s="23" t="s">
        <v>78</v>
      </c>
      <c r="N573" s="23" t="s">
        <v>78</v>
      </c>
      <c r="O573" s="23">
        <v>57318</v>
      </c>
      <c r="P573" s="23" t="s">
        <v>79</v>
      </c>
      <c r="Q573" s="23" t="s">
        <v>83</v>
      </c>
      <c r="R573" s="23">
        <v>11100189</v>
      </c>
      <c r="S573" s="24">
        <v>46003</v>
      </c>
      <c r="T573" s="24">
        <v>45737</v>
      </c>
      <c r="U573" s="24">
        <v>46752</v>
      </c>
      <c r="X573" s="24">
        <v>45737</v>
      </c>
      <c r="Y573" s="23">
        <v>1111</v>
      </c>
      <c r="Z573" s="23">
        <v>11400129</v>
      </c>
      <c r="AA573" s="23">
        <v>310103</v>
      </c>
      <c r="AB573" s="24">
        <v>45737</v>
      </c>
    </row>
    <row r="574" spans="2:28" x14ac:dyDescent="0.2">
      <c r="C574" s="23">
        <v>1100102619</v>
      </c>
      <c r="E574" s="23">
        <v>2000</v>
      </c>
      <c r="F574" s="23" t="s">
        <v>614</v>
      </c>
      <c r="G574" s="23" t="s">
        <v>615</v>
      </c>
      <c r="H574" s="24">
        <v>46150</v>
      </c>
      <c r="I574" s="24">
        <v>46164</v>
      </c>
      <c r="J574" s="23" t="s">
        <v>482</v>
      </c>
      <c r="K574" s="23" t="s">
        <v>482</v>
      </c>
      <c r="L574" s="23">
        <v>1</v>
      </c>
      <c r="M574" s="23" t="s">
        <v>78</v>
      </c>
      <c r="N574" s="23" t="s">
        <v>78</v>
      </c>
      <c r="O574" s="23">
        <v>5</v>
      </c>
      <c r="P574" s="23" t="s">
        <v>79</v>
      </c>
      <c r="Q574" s="23" t="s">
        <v>83</v>
      </c>
      <c r="R574" s="23">
        <v>11100189</v>
      </c>
      <c r="S574" s="24">
        <v>46003</v>
      </c>
      <c r="T574" s="24">
        <v>45737</v>
      </c>
      <c r="U574" s="24">
        <v>46752</v>
      </c>
      <c r="X574" s="24">
        <v>45737</v>
      </c>
      <c r="Y574" s="23">
        <v>1111</v>
      </c>
      <c r="Z574" s="23">
        <v>11400129</v>
      </c>
      <c r="AA574" s="23">
        <v>310103</v>
      </c>
      <c r="AB574" s="24">
        <v>45737</v>
      </c>
    </row>
    <row r="575" spans="2:28" x14ac:dyDescent="0.2">
      <c r="B575" s="23" t="s">
        <v>81</v>
      </c>
      <c r="C575" s="23">
        <v>1100102619</v>
      </c>
      <c r="H575" s="24">
        <v>46150</v>
      </c>
      <c r="O575" s="23">
        <v>687821</v>
      </c>
      <c r="P575" s="23" t="s">
        <v>79</v>
      </c>
    </row>
    <row r="576" spans="2:28" x14ac:dyDescent="0.2">
      <c r="C576" s="23">
        <v>1100102713</v>
      </c>
      <c r="E576" s="23">
        <v>750</v>
      </c>
      <c r="F576" s="23" t="s">
        <v>1509</v>
      </c>
      <c r="G576" s="23" t="s">
        <v>305</v>
      </c>
      <c r="H576" s="24">
        <v>46150</v>
      </c>
      <c r="I576" s="24">
        <v>46150</v>
      </c>
      <c r="J576" s="23" t="s">
        <v>1510</v>
      </c>
      <c r="K576" s="23" t="s">
        <v>1510</v>
      </c>
      <c r="L576" s="23">
        <v>1</v>
      </c>
      <c r="M576" s="23" t="s">
        <v>78</v>
      </c>
      <c r="N576" s="23" t="s">
        <v>78</v>
      </c>
      <c r="O576" s="23">
        <v>0</v>
      </c>
      <c r="P576" s="23" t="s">
        <v>79</v>
      </c>
      <c r="Q576" s="23" t="s">
        <v>83</v>
      </c>
      <c r="R576" s="23">
        <v>11100008</v>
      </c>
      <c r="S576" s="24" t="s">
        <v>80</v>
      </c>
      <c r="T576" s="24">
        <v>45905</v>
      </c>
      <c r="U576" s="24">
        <v>46751</v>
      </c>
      <c r="X576" s="24">
        <v>45905</v>
      </c>
      <c r="Y576" s="23">
        <v>1111</v>
      </c>
      <c r="Z576" s="23">
        <v>11400912</v>
      </c>
      <c r="AA576" s="23">
        <v>3261</v>
      </c>
      <c r="AB576" s="24">
        <v>45905</v>
      </c>
    </row>
    <row r="577" spans="2:28" x14ac:dyDescent="0.2">
      <c r="C577" s="23">
        <v>1100102713</v>
      </c>
      <c r="E577" s="23">
        <v>800</v>
      </c>
      <c r="F577" s="23" t="s">
        <v>1511</v>
      </c>
      <c r="G577" s="23" t="s">
        <v>1512</v>
      </c>
      <c r="H577" s="24">
        <v>46150</v>
      </c>
      <c r="I577" s="24">
        <v>46150</v>
      </c>
      <c r="J577" s="23" t="s">
        <v>1510</v>
      </c>
      <c r="K577" s="23" t="s">
        <v>1510</v>
      </c>
      <c r="L577" s="23">
        <v>1</v>
      </c>
      <c r="M577" s="23" t="s">
        <v>78</v>
      </c>
      <c r="N577" s="23" t="s">
        <v>78</v>
      </c>
      <c r="O577" s="23">
        <v>15944</v>
      </c>
      <c r="P577" s="23" t="s">
        <v>79</v>
      </c>
      <c r="Q577" s="23" t="s">
        <v>119</v>
      </c>
      <c r="R577" s="23">
        <v>11100008</v>
      </c>
      <c r="S577" s="24">
        <v>46150</v>
      </c>
      <c r="T577" s="24">
        <v>45905</v>
      </c>
      <c r="U577" s="24">
        <v>46751</v>
      </c>
      <c r="X577" s="24">
        <v>45905</v>
      </c>
      <c r="Y577" s="23">
        <v>1111</v>
      </c>
      <c r="Z577" s="23">
        <v>11400912</v>
      </c>
      <c r="AA577" s="23">
        <v>3221</v>
      </c>
      <c r="AB577" s="24">
        <v>45905</v>
      </c>
    </row>
    <row r="578" spans="2:28" x14ac:dyDescent="0.2">
      <c r="C578" s="23">
        <v>1100102713</v>
      </c>
      <c r="E578" s="23">
        <v>1100</v>
      </c>
      <c r="F578" s="23" t="s">
        <v>1513</v>
      </c>
      <c r="G578" s="23" t="s">
        <v>1514</v>
      </c>
      <c r="H578" s="24">
        <v>46150</v>
      </c>
      <c r="I578" s="24">
        <v>46150</v>
      </c>
      <c r="J578" s="23" t="s">
        <v>1510</v>
      </c>
      <c r="K578" s="23" t="s">
        <v>1510</v>
      </c>
      <c r="L578" s="23">
        <v>1</v>
      </c>
      <c r="M578" s="23" t="s">
        <v>78</v>
      </c>
      <c r="N578" s="23" t="s">
        <v>78</v>
      </c>
      <c r="O578" s="23">
        <v>31127</v>
      </c>
      <c r="P578" s="23" t="s">
        <v>79</v>
      </c>
      <c r="Q578" s="23" t="s">
        <v>119</v>
      </c>
      <c r="R578" s="23">
        <v>11100008</v>
      </c>
      <c r="S578" s="24" t="s">
        <v>80</v>
      </c>
      <c r="T578" s="24">
        <v>45905</v>
      </c>
      <c r="U578" s="24">
        <v>46751</v>
      </c>
      <c r="X578" s="24">
        <v>45905</v>
      </c>
      <c r="Y578" s="23">
        <v>1111</v>
      </c>
      <c r="Z578" s="23">
        <v>11400912</v>
      </c>
      <c r="AA578" s="23">
        <v>3201</v>
      </c>
      <c r="AB578" s="24">
        <v>45905</v>
      </c>
    </row>
    <row r="579" spans="2:28" x14ac:dyDescent="0.2">
      <c r="C579" s="23">
        <v>1100102713</v>
      </c>
      <c r="E579" s="23">
        <v>1200</v>
      </c>
      <c r="F579" s="23" t="s">
        <v>1515</v>
      </c>
      <c r="G579" s="23" t="s">
        <v>1516</v>
      </c>
      <c r="H579" s="24">
        <v>46150</v>
      </c>
      <c r="I579" s="24">
        <v>46150</v>
      </c>
      <c r="J579" s="23" t="s">
        <v>1510</v>
      </c>
      <c r="K579" s="23" t="s">
        <v>1510</v>
      </c>
      <c r="L579" s="23">
        <v>1</v>
      </c>
      <c r="M579" s="23" t="s">
        <v>78</v>
      </c>
      <c r="N579" s="23" t="s">
        <v>78</v>
      </c>
      <c r="O579" s="23">
        <v>31127</v>
      </c>
      <c r="P579" s="23" t="s">
        <v>79</v>
      </c>
      <c r="Q579" s="23" t="s">
        <v>119</v>
      </c>
      <c r="R579" s="23">
        <v>11100008</v>
      </c>
      <c r="S579" s="24" t="s">
        <v>80</v>
      </c>
      <c r="T579" s="24">
        <v>45905</v>
      </c>
      <c r="U579" s="24">
        <v>46751</v>
      </c>
      <c r="X579" s="24">
        <v>45905</v>
      </c>
      <c r="Y579" s="23">
        <v>1111</v>
      </c>
      <c r="Z579" s="23">
        <v>11400912</v>
      </c>
      <c r="AA579" s="23">
        <v>3201</v>
      </c>
      <c r="AB579" s="24">
        <v>45905</v>
      </c>
    </row>
    <row r="580" spans="2:28" x14ac:dyDescent="0.2">
      <c r="C580" s="23">
        <v>1100102713</v>
      </c>
      <c r="E580" s="23">
        <v>1300</v>
      </c>
      <c r="F580" s="23" t="s">
        <v>1517</v>
      </c>
      <c r="G580" s="23" t="s">
        <v>618</v>
      </c>
      <c r="H580" s="24">
        <v>46150</v>
      </c>
      <c r="I580" s="24">
        <v>46150</v>
      </c>
      <c r="J580" s="23" t="s">
        <v>1510</v>
      </c>
      <c r="K580" s="23" t="s">
        <v>1510</v>
      </c>
      <c r="L580" s="23">
        <v>1</v>
      </c>
      <c r="M580" s="23" t="s">
        <v>78</v>
      </c>
      <c r="N580" s="23" t="s">
        <v>78</v>
      </c>
      <c r="O580" s="23">
        <v>31127</v>
      </c>
      <c r="P580" s="23" t="s">
        <v>79</v>
      </c>
      <c r="Q580" s="23" t="s">
        <v>119</v>
      </c>
      <c r="R580" s="23">
        <v>11100008</v>
      </c>
      <c r="S580" s="24" t="s">
        <v>80</v>
      </c>
      <c r="T580" s="24">
        <v>45905</v>
      </c>
      <c r="U580" s="24">
        <v>46751</v>
      </c>
      <c r="X580" s="24">
        <v>45905</v>
      </c>
      <c r="Y580" s="23">
        <v>1111</v>
      </c>
      <c r="Z580" s="23">
        <v>11400912</v>
      </c>
      <c r="AA580" s="23">
        <v>3201</v>
      </c>
      <c r="AB580" s="24">
        <v>45905</v>
      </c>
    </row>
    <row r="581" spans="2:28" x14ac:dyDescent="0.2">
      <c r="C581" s="23">
        <v>1100102713</v>
      </c>
      <c r="E581" s="23">
        <v>1400</v>
      </c>
      <c r="F581" s="23" t="s">
        <v>1518</v>
      </c>
      <c r="G581" s="23" t="s">
        <v>1519</v>
      </c>
      <c r="H581" s="24">
        <v>46150</v>
      </c>
      <c r="I581" s="24">
        <v>46150</v>
      </c>
      <c r="J581" s="23" t="s">
        <v>1510</v>
      </c>
      <c r="K581" s="23" t="s">
        <v>1510</v>
      </c>
      <c r="L581" s="23">
        <v>1</v>
      </c>
      <c r="M581" s="23" t="s">
        <v>78</v>
      </c>
      <c r="N581" s="23" t="s">
        <v>78</v>
      </c>
      <c r="O581" s="23">
        <v>31127</v>
      </c>
      <c r="P581" s="23" t="s">
        <v>79</v>
      </c>
      <c r="Q581" s="23" t="s">
        <v>119</v>
      </c>
      <c r="R581" s="23">
        <v>11100008</v>
      </c>
      <c r="S581" s="24" t="s">
        <v>80</v>
      </c>
      <c r="T581" s="24">
        <v>45905</v>
      </c>
      <c r="U581" s="24">
        <v>46751</v>
      </c>
      <c r="X581" s="24">
        <v>45905</v>
      </c>
      <c r="Y581" s="23">
        <v>1111</v>
      </c>
      <c r="Z581" s="23">
        <v>11400912</v>
      </c>
      <c r="AA581" s="23">
        <v>3201</v>
      </c>
      <c r="AB581" s="24">
        <v>45905</v>
      </c>
    </row>
    <row r="582" spans="2:28" x14ac:dyDescent="0.2">
      <c r="C582" s="23">
        <v>1100102713</v>
      </c>
      <c r="E582" s="23">
        <v>2100</v>
      </c>
      <c r="F582" s="23" t="s">
        <v>1520</v>
      </c>
      <c r="G582" s="23" t="s">
        <v>1521</v>
      </c>
      <c r="H582" s="24">
        <v>46150</v>
      </c>
      <c r="I582" s="24">
        <v>46150</v>
      </c>
      <c r="J582" s="23" t="s">
        <v>1510</v>
      </c>
      <c r="K582" s="23" t="s">
        <v>1510</v>
      </c>
      <c r="L582" s="23">
        <v>1</v>
      </c>
      <c r="M582" s="23" t="s">
        <v>78</v>
      </c>
      <c r="N582" s="23" t="s">
        <v>78</v>
      </c>
      <c r="O582" s="23">
        <v>52644</v>
      </c>
      <c r="P582" s="23" t="s">
        <v>79</v>
      </c>
      <c r="Q582" s="23" t="s">
        <v>119</v>
      </c>
      <c r="R582" s="23">
        <v>11100008</v>
      </c>
      <c r="S582" s="24" t="s">
        <v>80</v>
      </c>
      <c r="T582" s="24">
        <v>45905</v>
      </c>
      <c r="U582" s="24">
        <v>46751</v>
      </c>
      <c r="X582" s="24">
        <v>45905</v>
      </c>
      <c r="Y582" s="23">
        <v>1111</v>
      </c>
      <c r="Z582" s="23">
        <v>11400912</v>
      </c>
      <c r="AA582" s="23">
        <v>3201</v>
      </c>
      <c r="AB582" s="24">
        <v>45905</v>
      </c>
    </row>
    <row r="583" spans="2:28" x14ac:dyDescent="0.2">
      <c r="C583" s="23">
        <v>1100102713</v>
      </c>
      <c r="E583" s="23">
        <v>2700</v>
      </c>
      <c r="F583" s="23" t="s">
        <v>1522</v>
      </c>
      <c r="G583" s="23" t="s">
        <v>1523</v>
      </c>
      <c r="H583" s="24">
        <v>46150</v>
      </c>
      <c r="I583" s="24">
        <v>46150</v>
      </c>
      <c r="J583" s="23" t="s">
        <v>1510</v>
      </c>
      <c r="K583" s="23" t="s">
        <v>1510</v>
      </c>
      <c r="L583" s="23">
        <v>1</v>
      </c>
      <c r="M583" s="23" t="s">
        <v>78</v>
      </c>
      <c r="N583" s="23" t="s">
        <v>78</v>
      </c>
      <c r="O583" s="23">
        <v>51837</v>
      </c>
      <c r="P583" s="23" t="s">
        <v>79</v>
      </c>
      <c r="Q583" s="23" t="s">
        <v>119</v>
      </c>
      <c r="R583" s="23">
        <v>11100008</v>
      </c>
      <c r="S583" s="24" t="s">
        <v>80</v>
      </c>
      <c r="T583" s="24">
        <v>45905</v>
      </c>
      <c r="U583" s="24">
        <v>46751</v>
      </c>
      <c r="X583" s="24">
        <v>45905</v>
      </c>
      <c r="Y583" s="23">
        <v>1111</v>
      </c>
      <c r="Z583" s="23">
        <v>11400912</v>
      </c>
      <c r="AA583" s="23">
        <v>3201</v>
      </c>
      <c r="AB583" s="24">
        <v>45905</v>
      </c>
    </row>
    <row r="584" spans="2:28" x14ac:dyDescent="0.2">
      <c r="C584" s="23">
        <v>1100102713</v>
      </c>
      <c r="E584" s="23">
        <v>3200</v>
      </c>
      <c r="F584" s="23" t="s">
        <v>1524</v>
      </c>
      <c r="G584" s="23" t="s">
        <v>1525</v>
      </c>
      <c r="H584" s="24">
        <v>46150</v>
      </c>
      <c r="I584" s="24">
        <v>46150</v>
      </c>
      <c r="J584" s="23" t="s">
        <v>1510</v>
      </c>
      <c r="K584" s="23" t="s">
        <v>1510</v>
      </c>
      <c r="L584" s="23">
        <v>1</v>
      </c>
      <c r="M584" s="23" t="s">
        <v>78</v>
      </c>
      <c r="N584" s="23" t="s">
        <v>78</v>
      </c>
      <c r="O584" s="23">
        <v>48420</v>
      </c>
      <c r="P584" s="23" t="s">
        <v>79</v>
      </c>
      <c r="Q584" s="23" t="s">
        <v>119</v>
      </c>
      <c r="R584" s="23">
        <v>11100008</v>
      </c>
      <c r="S584" s="24" t="s">
        <v>80</v>
      </c>
      <c r="T584" s="24">
        <v>45905</v>
      </c>
      <c r="U584" s="24">
        <v>46751</v>
      </c>
      <c r="X584" s="24">
        <v>45905</v>
      </c>
      <c r="Y584" s="23">
        <v>1111</v>
      </c>
      <c r="Z584" s="23">
        <v>11400912</v>
      </c>
      <c r="AA584" s="23">
        <v>3201</v>
      </c>
      <c r="AB584" s="24">
        <v>45905</v>
      </c>
    </row>
    <row r="585" spans="2:28" x14ac:dyDescent="0.2">
      <c r="C585" s="23">
        <v>1100102713</v>
      </c>
      <c r="E585" s="23">
        <v>3300</v>
      </c>
      <c r="F585" s="23" t="s">
        <v>1526</v>
      </c>
      <c r="G585" s="23" t="s">
        <v>1527</v>
      </c>
      <c r="H585" s="24">
        <v>46150</v>
      </c>
      <c r="I585" s="24">
        <v>46150</v>
      </c>
      <c r="J585" s="23" t="s">
        <v>1510</v>
      </c>
      <c r="K585" s="23" t="s">
        <v>1510</v>
      </c>
      <c r="L585" s="23">
        <v>1</v>
      </c>
      <c r="M585" s="23" t="s">
        <v>78</v>
      </c>
      <c r="N585" s="23" t="s">
        <v>78</v>
      </c>
      <c r="O585" s="23">
        <v>15944</v>
      </c>
      <c r="P585" s="23" t="s">
        <v>79</v>
      </c>
      <c r="Q585" s="23" t="s">
        <v>119</v>
      </c>
      <c r="R585" s="23">
        <v>11100008</v>
      </c>
      <c r="S585" s="24" t="s">
        <v>80</v>
      </c>
      <c r="T585" s="24">
        <v>45905</v>
      </c>
      <c r="U585" s="24">
        <v>46150</v>
      </c>
      <c r="X585" s="24">
        <v>45905</v>
      </c>
      <c r="Y585" s="23">
        <v>1111</v>
      </c>
      <c r="Z585" s="23">
        <v>11400912</v>
      </c>
      <c r="AA585" s="23">
        <v>3221</v>
      </c>
      <c r="AB585" s="24">
        <v>45995</v>
      </c>
    </row>
    <row r="586" spans="2:28" x14ac:dyDescent="0.2">
      <c r="C586" s="23">
        <v>1100102713</v>
      </c>
      <c r="E586" s="23">
        <v>3400</v>
      </c>
      <c r="F586" s="23" t="s">
        <v>1528</v>
      </c>
      <c r="G586" s="23" t="s">
        <v>1529</v>
      </c>
      <c r="H586" s="24">
        <v>46150</v>
      </c>
      <c r="I586" s="24">
        <v>46150</v>
      </c>
      <c r="J586" s="23" t="s">
        <v>1510</v>
      </c>
      <c r="K586" s="23" t="s">
        <v>1510</v>
      </c>
      <c r="L586" s="23">
        <v>1</v>
      </c>
      <c r="M586" s="23" t="s">
        <v>78</v>
      </c>
      <c r="N586" s="23" t="s">
        <v>78</v>
      </c>
      <c r="O586" s="23">
        <v>15944</v>
      </c>
      <c r="P586" s="23" t="s">
        <v>79</v>
      </c>
      <c r="Q586" s="23" t="s">
        <v>119</v>
      </c>
      <c r="R586" s="23">
        <v>11100008</v>
      </c>
      <c r="S586" s="24" t="s">
        <v>80</v>
      </c>
      <c r="T586" s="24">
        <v>45905</v>
      </c>
      <c r="U586" s="24">
        <v>46150</v>
      </c>
      <c r="X586" s="24">
        <v>45905</v>
      </c>
      <c r="Y586" s="23">
        <v>1111</v>
      </c>
      <c r="Z586" s="23">
        <v>11400912</v>
      </c>
      <c r="AA586" s="23">
        <v>3221</v>
      </c>
      <c r="AB586" s="24">
        <v>45995</v>
      </c>
    </row>
    <row r="587" spans="2:28" x14ac:dyDescent="0.2">
      <c r="C587" s="23">
        <v>1100102713</v>
      </c>
      <c r="E587" s="23">
        <v>3500</v>
      </c>
      <c r="F587" s="23" t="s">
        <v>1530</v>
      </c>
      <c r="G587" s="23" t="s">
        <v>1531</v>
      </c>
      <c r="H587" s="24">
        <v>46150</v>
      </c>
      <c r="I587" s="24">
        <v>46150</v>
      </c>
      <c r="J587" s="23" t="s">
        <v>1510</v>
      </c>
      <c r="K587" s="23" t="s">
        <v>1510</v>
      </c>
      <c r="L587" s="23">
        <v>1</v>
      </c>
      <c r="M587" s="23" t="s">
        <v>78</v>
      </c>
      <c r="N587" s="23" t="s">
        <v>78</v>
      </c>
      <c r="O587" s="23">
        <v>15944</v>
      </c>
      <c r="P587" s="23" t="s">
        <v>79</v>
      </c>
      <c r="Q587" s="23" t="s">
        <v>119</v>
      </c>
      <c r="R587" s="23">
        <v>11100008</v>
      </c>
      <c r="S587" s="24" t="s">
        <v>80</v>
      </c>
      <c r="T587" s="24">
        <v>45905</v>
      </c>
      <c r="U587" s="24">
        <v>46150</v>
      </c>
      <c r="X587" s="24">
        <v>45905</v>
      </c>
      <c r="Y587" s="23">
        <v>1111</v>
      </c>
      <c r="Z587" s="23">
        <v>11400912</v>
      </c>
      <c r="AA587" s="23">
        <v>3221</v>
      </c>
      <c r="AB587" s="24">
        <v>45995</v>
      </c>
    </row>
    <row r="588" spans="2:28" x14ac:dyDescent="0.2">
      <c r="B588" s="23" t="s">
        <v>81</v>
      </c>
      <c r="C588" s="23">
        <v>1100102713</v>
      </c>
      <c r="H588" s="24">
        <v>46150</v>
      </c>
      <c r="O588" s="23">
        <v>341185</v>
      </c>
      <c r="P588" s="23" t="s">
        <v>79</v>
      </c>
    </row>
    <row r="589" spans="2:28" x14ac:dyDescent="0.2">
      <c r="C589" s="23">
        <v>1100558650</v>
      </c>
      <c r="E589" s="23">
        <v>10</v>
      </c>
      <c r="F589" s="23" t="s">
        <v>635</v>
      </c>
      <c r="G589" s="23" t="s">
        <v>483</v>
      </c>
      <c r="H589" s="24">
        <v>46150</v>
      </c>
      <c r="I589" s="24">
        <v>46150</v>
      </c>
      <c r="J589" s="23" t="s">
        <v>980</v>
      </c>
      <c r="K589" s="23" t="s">
        <v>980</v>
      </c>
      <c r="L589" s="23">
        <v>1</v>
      </c>
      <c r="M589" s="23" t="s">
        <v>78</v>
      </c>
      <c r="N589" s="23" t="s">
        <v>78</v>
      </c>
      <c r="O589" s="23">
        <v>8440</v>
      </c>
      <c r="P589" s="23" t="s">
        <v>79</v>
      </c>
      <c r="Q589" s="23" t="s">
        <v>83</v>
      </c>
      <c r="R589" s="23">
        <v>11100189</v>
      </c>
      <c r="S589" s="24" t="s">
        <v>80</v>
      </c>
      <c r="T589" s="24">
        <v>45874</v>
      </c>
      <c r="U589" s="24">
        <v>46038</v>
      </c>
      <c r="X589" s="24">
        <v>45722</v>
      </c>
      <c r="Y589" s="23">
        <v>1111</v>
      </c>
      <c r="Z589" s="23">
        <v>11100002</v>
      </c>
      <c r="AA589" s="23">
        <v>331203</v>
      </c>
      <c r="AB589" s="24">
        <v>45874</v>
      </c>
    </row>
    <row r="590" spans="2:28" x14ac:dyDescent="0.2">
      <c r="C590" s="23">
        <v>1100558650</v>
      </c>
      <c r="E590" s="23">
        <v>20</v>
      </c>
      <c r="F590" s="23" t="s">
        <v>84</v>
      </c>
      <c r="G590" s="23" t="s">
        <v>123</v>
      </c>
      <c r="H590" s="24">
        <v>46150</v>
      </c>
      <c r="I590" s="24">
        <v>46150</v>
      </c>
      <c r="J590" s="23" t="s">
        <v>980</v>
      </c>
      <c r="K590" s="23" t="s">
        <v>980</v>
      </c>
      <c r="L590" s="23">
        <v>1</v>
      </c>
      <c r="M590" s="23" t="s">
        <v>78</v>
      </c>
      <c r="N590" s="23" t="s">
        <v>78</v>
      </c>
      <c r="O590" s="23">
        <v>0.01</v>
      </c>
      <c r="P590" s="23" t="s">
        <v>79</v>
      </c>
      <c r="Q590" s="23" t="s">
        <v>83</v>
      </c>
      <c r="R590" s="23">
        <v>11100189</v>
      </c>
      <c r="S590" s="24" t="s">
        <v>80</v>
      </c>
      <c r="T590" s="24">
        <v>45874</v>
      </c>
      <c r="U590" s="24">
        <v>46038</v>
      </c>
      <c r="X590" s="24">
        <v>45722</v>
      </c>
      <c r="Y590" s="23">
        <v>1111</v>
      </c>
      <c r="Z590" s="23">
        <v>11100002</v>
      </c>
      <c r="AA590" s="23">
        <v>331203</v>
      </c>
      <c r="AB590" s="24">
        <v>45874</v>
      </c>
    </row>
    <row r="591" spans="2:28" x14ac:dyDescent="0.2">
      <c r="C591" s="23">
        <v>1100558650</v>
      </c>
      <c r="E591" s="23">
        <v>30</v>
      </c>
      <c r="F591" s="23" t="s">
        <v>737</v>
      </c>
      <c r="G591" s="23" t="s">
        <v>738</v>
      </c>
      <c r="H591" s="24">
        <v>46150</v>
      </c>
      <c r="I591" s="24">
        <v>46150</v>
      </c>
      <c r="J591" s="23" t="s">
        <v>980</v>
      </c>
      <c r="K591" s="23" t="s">
        <v>980</v>
      </c>
      <c r="L591" s="23">
        <v>1</v>
      </c>
      <c r="M591" s="23" t="s">
        <v>78</v>
      </c>
      <c r="N591" s="23" t="s">
        <v>78</v>
      </c>
      <c r="O591" s="23">
        <v>2618</v>
      </c>
      <c r="P591" s="23" t="s">
        <v>79</v>
      </c>
      <c r="Q591" s="23" t="s">
        <v>83</v>
      </c>
      <c r="R591" s="23">
        <v>11100189</v>
      </c>
      <c r="S591" s="24" t="s">
        <v>80</v>
      </c>
      <c r="T591" s="24">
        <v>45874</v>
      </c>
      <c r="U591" s="24">
        <v>46038</v>
      </c>
      <c r="X591" s="24">
        <v>45722</v>
      </c>
      <c r="Y591" s="23">
        <v>1111</v>
      </c>
      <c r="Z591" s="23">
        <v>11100002</v>
      </c>
      <c r="AA591" s="23">
        <v>331203</v>
      </c>
      <c r="AB591" s="24">
        <v>45874</v>
      </c>
    </row>
    <row r="592" spans="2:28" x14ac:dyDescent="0.2">
      <c r="B592" s="23" t="s">
        <v>81</v>
      </c>
      <c r="C592" s="23">
        <v>1100558650</v>
      </c>
      <c r="H592" s="24">
        <v>46150</v>
      </c>
      <c r="O592" s="23">
        <v>11058.01</v>
      </c>
      <c r="P592" s="23" t="s">
        <v>79</v>
      </c>
    </row>
    <row r="593" spans="2:28" x14ac:dyDescent="0.2">
      <c r="C593" s="23">
        <v>1100573877</v>
      </c>
      <c r="E593" s="23">
        <v>10</v>
      </c>
      <c r="F593" s="23" t="s">
        <v>976</v>
      </c>
      <c r="G593" s="23" t="s">
        <v>977</v>
      </c>
      <c r="H593" s="24">
        <v>46150</v>
      </c>
      <c r="I593" s="24">
        <v>46150</v>
      </c>
      <c r="J593" s="23" t="s">
        <v>157</v>
      </c>
      <c r="K593" s="23" t="s">
        <v>157</v>
      </c>
      <c r="L593" s="23">
        <v>2</v>
      </c>
      <c r="M593" s="23" t="s">
        <v>78</v>
      </c>
      <c r="N593" s="23" t="s">
        <v>78</v>
      </c>
      <c r="O593" s="23">
        <v>41012</v>
      </c>
      <c r="P593" s="23" t="s">
        <v>79</v>
      </c>
      <c r="Q593" s="23" t="s">
        <v>83</v>
      </c>
      <c r="R593" s="23">
        <v>11100008</v>
      </c>
      <c r="S593" s="24">
        <v>46112</v>
      </c>
      <c r="T593" s="24">
        <v>46037</v>
      </c>
      <c r="U593" s="24" t="s">
        <v>80</v>
      </c>
      <c r="X593" s="24">
        <v>46034</v>
      </c>
      <c r="Y593" s="23">
        <v>1111</v>
      </c>
      <c r="Z593" s="23">
        <v>11100002</v>
      </c>
      <c r="AA593" s="23">
        <v>5424</v>
      </c>
      <c r="AB593" s="24">
        <v>46037</v>
      </c>
    </row>
    <row r="594" spans="2:28" x14ac:dyDescent="0.2">
      <c r="C594" s="23">
        <v>1100573877</v>
      </c>
      <c r="E594" s="23">
        <v>20</v>
      </c>
      <c r="F594" s="23" t="s">
        <v>84</v>
      </c>
      <c r="G594" s="23" t="s">
        <v>123</v>
      </c>
      <c r="H594" s="24">
        <v>46150</v>
      </c>
      <c r="I594" s="24">
        <v>46150</v>
      </c>
      <c r="J594" s="23" t="s">
        <v>157</v>
      </c>
      <c r="K594" s="23" t="s">
        <v>157</v>
      </c>
      <c r="L594" s="23">
        <v>1</v>
      </c>
      <c r="M594" s="23" t="s">
        <v>78</v>
      </c>
      <c r="N594" s="23" t="s">
        <v>78</v>
      </c>
      <c r="O594" s="23">
        <v>0.01</v>
      </c>
      <c r="P594" s="23" t="s">
        <v>79</v>
      </c>
      <c r="Q594" s="23" t="s">
        <v>83</v>
      </c>
      <c r="R594" s="23">
        <v>11100008</v>
      </c>
      <c r="S594" s="24" t="s">
        <v>80</v>
      </c>
      <c r="T594" s="24">
        <v>46037</v>
      </c>
      <c r="U594" s="24" t="s">
        <v>80</v>
      </c>
      <c r="X594" s="24">
        <v>46034</v>
      </c>
      <c r="Y594" s="23">
        <v>1111</v>
      </c>
      <c r="Z594" s="23">
        <v>11100002</v>
      </c>
      <c r="AA594" s="23">
        <v>5424</v>
      </c>
      <c r="AB594" s="24">
        <v>46037</v>
      </c>
    </row>
    <row r="595" spans="2:28" x14ac:dyDescent="0.2">
      <c r="C595" s="23">
        <v>1100573877</v>
      </c>
      <c r="E595" s="23">
        <v>30</v>
      </c>
      <c r="F595" s="23" t="s">
        <v>1242</v>
      </c>
      <c r="G595" s="23" t="s">
        <v>2440</v>
      </c>
      <c r="H595" s="24">
        <v>46150</v>
      </c>
      <c r="I595" s="24">
        <v>46150</v>
      </c>
      <c r="J595" s="23" t="s">
        <v>157</v>
      </c>
      <c r="K595" s="23" t="s">
        <v>157</v>
      </c>
      <c r="L595" s="23">
        <v>1</v>
      </c>
      <c r="M595" s="23" t="s">
        <v>78</v>
      </c>
      <c r="N595" s="23" t="s">
        <v>78</v>
      </c>
      <c r="O595" s="23">
        <v>0.01</v>
      </c>
      <c r="P595" s="23" t="s">
        <v>79</v>
      </c>
      <c r="Q595" s="23" t="s">
        <v>83</v>
      </c>
      <c r="R595" s="23">
        <v>11100008</v>
      </c>
      <c r="S595" s="24" t="s">
        <v>80</v>
      </c>
      <c r="T595" s="24">
        <v>46037</v>
      </c>
      <c r="U595" s="24" t="s">
        <v>80</v>
      </c>
      <c r="X595" s="24">
        <v>46034</v>
      </c>
      <c r="Y595" s="23">
        <v>1111</v>
      </c>
      <c r="Z595" s="23">
        <v>11100002</v>
      </c>
      <c r="AA595" s="23">
        <v>5424</v>
      </c>
      <c r="AB595" s="24">
        <v>46037</v>
      </c>
    </row>
    <row r="596" spans="2:28" x14ac:dyDescent="0.2">
      <c r="B596" s="23" t="s">
        <v>81</v>
      </c>
      <c r="C596" s="23">
        <v>1100573877</v>
      </c>
      <c r="H596" s="24">
        <v>46150</v>
      </c>
      <c r="O596" s="23">
        <v>41012.019999999997</v>
      </c>
      <c r="P596" s="23" t="s">
        <v>79</v>
      </c>
    </row>
    <row r="597" spans="2:28" x14ac:dyDescent="0.2">
      <c r="C597" s="23">
        <v>1100575844</v>
      </c>
      <c r="E597" s="23">
        <v>10</v>
      </c>
      <c r="F597" s="23" t="s">
        <v>2441</v>
      </c>
      <c r="G597" s="23" t="s">
        <v>2442</v>
      </c>
      <c r="H597" s="24">
        <v>46150</v>
      </c>
      <c r="I597" s="24">
        <v>46150</v>
      </c>
      <c r="J597" s="23" t="s">
        <v>290</v>
      </c>
      <c r="K597" s="23" t="s">
        <v>290</v>
      </c>
      <c r="L597" s="23">
        <v>1</v>
      </c>
      <c r="M597" s="23" t="s">
        <v>78</v>
      </c>
      <c r="N597" s="23" t="s">
        <v>78</v>
      </c>
      <c r="O597" s="23">
        <v>17702</v>
      </c>
      <c r="P597" s="23" t="s">
        <v>79</v>
      </c>
      <c r="Q597" s="23" t="s">
        <v>83</v>
      </c>
      <c r="R597" s="23">
        <v>11100008</v>
      </c>
      <c r="S597" s="24">
        <v>46157</v>
      </c>
      <c r="T597" s="24">
        <v>46057</v>
      </c>
      <c r="U597" s="24" t="s">
        <v>80</v>
      </c>
      <c r="X597" s="24">
        <v>46043</v>
      </c>
      <c r="Y597" s="23">
        <v>1111</v>
      </c>
      <c r="Z597" s="23">
        <v>11100002</v>
      </c>
      <c r="AA597" s="23">
        <v>5012</v>
      </c>
      <c r="AB597" s="24">
        <v>46057</v>
      </c>
    </row>
    <row r="598" spans="2:28" x14ac:dyDescent="0.2">
      <c r="C598" s="23">
        <v>1100575844</v>
      </c>
      <c r="E598" s="23">
        <v>40</v>
      </c>
      <c r="F598" s="23" t="s">
        <v>288</v>
      </c>
      <c r="G598" s="23" t="s">
        <v>289</v>
      </c>
      <c r="H598" s="24">
        <v>46150</v>
      </c>
      <c r="I598" s="24">
        <v>47118</v>
      </c>
      <c r="J598" s="23" t="s">
        <v>290</v>
      </c>
      <c r="K598" s="23" t="s">
        <v>290</v>
      </c>
      <c r="L598" s="23">
        <v>1</v>
      </c>
      <c r="M598" s="23" t="s">
        <v>131</v>
      </c>
      <c r="N598" s="23" t="s">
        <v>131</v>
      </c>
      <c r="O598" s="23">
        <v>1405</v>
      </c>
      <c r="P598" s="23" t="s">
        <v>79</v>
      </c>
      <c r="Q598" s="23" t="s">
        <v>83</v>
      </c>
      <c r="R598" s="23">
        <v>11100008</v>
      </c>
      <c r="S598" s="24" t="s">
        <v>80</v>
      </c>
      <c r="T598" s="24">
        <v>46057</v>
      </c>
      <c r="U598" s="24" t="s">
        <v>80</v>
      </c>
      <c r="X598" s="24">
        <v>46043</v>
      </c>
      <c r="Y598" s="23">
        <v>1111</v>
      </c>
      <c r="Z598" s="23">
        <v>11100002</v>
      </c>
      <c r="AA598" s="23">
        <v>5012</v>
      </c>
      <c r="AB598" s="24">
        <v>46057</v>
      </c>
    </row>
    <row r="599" spans="2:28" x14ac:dyDescent="0.2">
      <c r="C599" s="23">
        <v>1100575844</v>
      </c>
      <c r="E599" s="23">
        <v>60</v>
      </c>
      <c r="F599" s="23" t="s">
        <v>84</v>
      </c>
      <c r="G599" s="23" t="s">
        <v>123</v>
      </c>
      <c r="H599" s="24">
        <v>46150</v>
      </c>
      <c r="I599" s="24">
        <v>46168</v>
      </c>
      <c r="J599" s="23" t="s">
        <v>290</v>
      </c>
      <c r="K599" s="23" t="s">
        <v>290</v>
      </c>
      <c r="L599" s="23">
        <v>1</v>
      </c>
      <c r="M599" s="23" t="s">
        <v>78</v>
      </c>
      <c r="N599" s="23" t="s">
        <v>78</v>
      </c>
      <c r="O599" s="23">
        <v>0.01</v>
      </c>
      <c r="P599" s="23" t="s">
        <v>79</v>
      </c>
      <c r="Q599" s="23" t="s">
        <v>83</v>
      </c>
      <c r="R599" s="23">
        <v>11100008</v>
      </c>
      <c r="S599" s="24" t="s">
        <v>80</v>
      </c>
      <c r="T599" s="24">
        <v>46057</v>
      </c>
      <c r="U599" s="24" t="s">
        <v>80</v>
      </c>
      <c r="X599" s="24">
        <v>46043</v>
      </c>
      <c r="Y599" s="23">
        <v>1111</v>
      </c>
      <c r="Z599" s="23">
        <v>11100002</v>
      </c>
      <c r="AA599" s="23">
        <v>5012</v>
      </c>
      <c r="AB599" s="24">
        <v>46057</v>
      </c>
    </row>
    <row r="600" spans="2:28" x14ac:dyDescent="0.2">
      <c r="B600" s="23" t="s">
        <v>81</v>
      </c>
      <c r="C600" s="23">
        <v>1100575844</v>
      </c>
      <c r="H600" s="24">
        <v>46150</v>
      </c>
      <c r="O600" s="23">
        <v>19107.009999999998</v>
      </c>
      <c r="P600" s="23" t="s">
        <v>79</v>
      </c>
    </row>
    <row r="601" spans="2:28" x14ac:dyDescent="0.2">
      <c r="C601" s="23">
        <v>1100577344</v>
      </c>
      <c r="E601" s="23">
        <v>10</v>
      </c>
      <c r="F601" s="23" t="s">
        <v>87</v>
      </c>
      <c r="G601" s="23" t="s">
        <v>2443</v>
      </c>
      <c r="H601" s="24">
        <v>46150</v>
      </c>
      <c r="I601" s="24">
        <v>46150</v>
      </c>
      <c r="J601" s="23" t="s">
        <v>369</v>
      </c>
      <c r="K601" s="23" t="s">
        <v>369</v>
      </c>
      <c r="L601" s="23">
        <v>1</v>
      </c>
      <c r="M601" s="23" t="s">
        <v>78</v>
      </c>
      <c r="N601" s="23" t="s">
        <v>78</v>
      </c>
      <c r="O601" s="23">
        <v>0</v>
      </c>
      <c r="P601" s="23" t="s">
        <v>79</v>
      </c>
      <c r="Q601" s="23" t="s">
        <v>83</v>
      </c>
      <c r="R601" s="23">
        <v>11100008</v>
      </c>
      <c r="S601" s="24">
        <v>46142</v>
      </c>
      <c r="T601" s="24">
        <v>46073</v>
      </c>
      <c r="U601" s="24" t="s">
        <v>80</v>
      </c>
      <c r="X601" s="24">
        <v>46073</v>
      </c>
      <c r="Y601" s="23">
        <v>1111</v>
      </c>
      <c r="Z601" s="23">
        <v>11100002</v>
      </c>
      <c r="AA601" s="23">
        <v>354903</v>
      </c>
      <c r="AB601" s="24">
        <v>46073</v>
      </c>
    </row>
    <row r="602" spans="2:28" x14ac:dyDescent="0.2">
      <c r="C602" s="23">
        <v>1100577344</v>
      </c>
      <c r="E602" s="23">
        <v>20</v>
      </c>
      <c r="F602" s="23" t="s">
        <v>84</v>
      </c>
      <c r="G602" s="23" t="s">
        <v>123</v>
      </c>
      <c r="H602" s="24">
        <v>46150</v>
      </c>
      <c r="I602" s="24">
        <v>46150</v>
      </c>
      <c r="J602" s="23" t="s">
        <v>369</v>
      </c>
      <c r="K602" s="23" t="s">
        <v>369</v>
      </c>
      <c r="L602" s="23">
        <v>1</v>
      </c>
      <c r="M602" s="23" t="s">
        <v>78</v>
      </c>
      <c r="N602" s="23" t="s">
        <v>78</v>
      </c>
      <c r="O602" s="23">
        <v>0</v>
      </c>
      <c r="P602" s="23" t="s">
        <v>79</v>
      </c>
      <c r="Q602" s="23" t="s">
        <v>83</v>
      </c>
      <c r="R602" s="23">
        <v>11100008</v>
      </c>
      <c r="S602" s="24" t="s">
        <v>80</v>
      </c>
      <c r="T602" s="24">
        <v>46073</v>
      </c>
      <c r="U602" s="24" t="s">
        <v>80</v>
      </c>
      <c r="X602" s="24">
        <v>46073</v>
      </c>
      <c r="Y602" s="23">
        <v>1111</v>
      </c>
      <c r="Z602" s="23">
        <v>11100002</v>
      </c>
      <c r="AA602" s="23">
        <v>354903</v>
      </c>
      <c r="AB602" s="24">
        <v>46073</v>
      </c>
    </row>
    <row r="603" spans="2:28" x14ac:dyDescent="0.2">
      <c r="B603" s="23" t="s">
        <v>81</v>
      </c>
      <c r="C603" s="23">
        <v>1100577344</v>
      </c>
      <c r="H603" s="24">
        <v>46150</v>
      </c>
      <c r="O603" s="23">
        <v>0</v>
      </c>
      <c r="P603" s="23" t="s">
        <v>79</v>
      </c>
    </row>
    <row r="604" spans="2:28" x14ac:dyDescent="0.2">
      <c r="C604" s="23">
        <v>1100577650</v>
      </c>
      <c r="E604" s="23">
        <v>10</v>
      </c>
      <c r="F604" s="23" t="s">
        <v>87</v>
      </c>
      <c r="G604" s="23" t="s">
        <v>2444</v>
      </c>
      <c r="H604" s="24">
        <v>46150</v>
      </c>
      <c r="I604" s="24">
        <v>46150</v>
      </c>
      <c r="J604" s="23" t="s">
        <v>2445</v>
      </c>
      <c r="K604" s="23" t="s">
        <v>2445</v>
      </c>
      <c r="L604" s="23">
        <v>1</v>
      </c>
      <c r="M604" s="23" t="s">
        <v>78</v>
      </c>
      <c r="N604" s="23" t="s">
        <v>78</v>
      </c>
      <c r="O604" s="23">
        <v>21583</v>
      </c>
      <c r="P604" s="23" t="s">
        <v>79</v>
      </c>
      <c r="Q604" s="23" t="s">
        <v>83</v>
      </c>
      <c r="R604" s="23">
        <v>11100189</v>
      </c>
      <c r="S604" s="24">
        <v>46143</v>
      </c>
      <c r="T604" s="24">
        <v>46076</v>
      </c>
      <c r="U604" s="24" t="s">
        <v>80</v>
      </c>
      <c r="X604" s="24">
        <v>46072</v>
      </c>
      <c r="Y604" s="23">
        <v>1111</v>
      </c>
      <c r="Z604" s="23">
        <v>11100002</v>
      </c>
      <c r="AA604" s="23">
        <v>310103</v>
      </c>
      <c r="AB604" s="24">
        <v>46076</v>
      </c>
    </row>
    <row r="605" spans="2:28" x14ac:dyDescent="0.2">
      <c r="C605" s="23">
        <v>1100577650</v>
      </c>
      <c r="E605" s="23">
        <v>20</v>
      </c>
      <c r="F605" s="23" t="s">
        <v>84</v>
      </c>
      <c r="G605" s="23" t="s">
        <v>2446</v>
      </c>
      <c r="H605" s="24">
        <v>46150</v>
      </c>
      <c r="I605" s="24">
        <v>46150</v>
      </c>
      <c r="J605" s="23" t="s">
        <v>2445</v>
      </c>
      <c r="K605" s="23" t="s">
        <v>2445</v>
      </c>
      <c r="L605" s="23">
        <v>1</v>
      </c>
      <c r="M605" s="23" t="s">
        <v>78</v>
      </c>
      <c r="N605" s="23" t="s">
        <v>78</v>
      </c>
      <c r="O605" s="23">
        <v>0.01</v>
      </c>
      <c r="P605" s="23" t="s">
        <v>79</v>
      </c>
      <c r="Q605" s="23" t="s">
        <v>83</v>
      </c>
      <c r="R605" s="23">
        <v>11100189</v>
      </c>
      <c r="S605" s="24" t="s">
        <v>80</v>
      </c>
      <c r="T605" s="24">
        <v>46076</v>
      </c>
      <c r="U605" s="24" t="s">
        <v>80</v>
      </c>
      <c r="X605" s="24">
        <v>46072</v>
      </c>
      <c r="Y605" s="23">
        <v>1111</v>
      </c>
      <c r="Z605" s="23">
        <v>11100002</v>
      </c>
      <c r="AA605" s="23">
        <v>310103</v>
      </c>
      <c r="AB605" s="24">
        <v>46076</v>
      </c>
    </row>
    <row r="606" spans="2:28" x14ac:dyDescent="0.2">
      <c r="C606" s="23">
        <v>1100577650</v>
      </c>
      <c r="E606" s="23">
        <v>30</v>
      </c>
      <c r="F606" s="23" t="s">
        <v>82</v>
      </c>
      <c r="G606" s="23" t="s">
        <v>139</v>
      </c>
      <c r="H606" s="24">
        <v>46150</v>
      </c>
      <c r="I606" s="24">
        <v>46150</v>
      </c>
      <c r="J606" s="23" t="s">
        <v>2445</v>
      </c>
      <c r="K606" s="23" t="s">
        <v>2445</v>
      </c>
      <c r="L606" s="23">
        <v>1</v>
      </c>
      <c r="M606" s="23" t="s">
        <v>78</v>
      </c>
      <c r="N606" s="23" t="s">
        <v>78</v>
      </c>
      <c r="O606" s="23">
        <v>0.01</v>
      </c>
      <c r="P606" s="23" t="s">
        <v>79</v>
      </c>
      <c r="Q606" s="23" t="s">
        <v>83</v>
      </c>
      <c r="R606" s="23">
        <v>11100189</v>
      </c>
      <c r="S606" s="24" t="s">
        <v>80</v>
      </c>
      <c r="T606" s="24">
        <v>46076</v>
      </c>
      <c r="U606" s="24" t="s">
        <v>80</v>
      </c>
      <c r="X606" s="24">
        <v>46072</v>
      </c>
      <c r="Y606" s="23">
        <v>1111</v>
      </c>
      <c r="Z606" s="23">
        <v>11100002</v>
      </c>
      <c r="AA606" s="23">
        <v>310103</v>
      </c>
      <c r="AB606" s="24">
        <v>46076</v>
      </c>
    </row>
    <row r="607" spans="2:28" x14ac:dyDescent="0.2">
      <c r="B607" s="23" t="s">
        <v>81</v>
      </c>
      <c r="C607" s="23">
        <v>1100577650</v>
      </c>
      <c r="H607" s="24">
        <v>46150</v>
      </c>
      <c r="O607" s="23">
        <v>21583.02</v>
      </c>
      <c r="P607" s="23" t="s">
        <v>79</v>
      </c>
    </row>
    <row r="608" spans="2:28" x14ac:dyDescent="0.2">
      <c r="C608" s="23">
        <v>1100572202</v>
      </c>
      <c r="E608" s="23">
        <v>10</v>
      </c>
      <c r="F608" s="23" t="s">
        <v>2447</v>
      </c>
      <c r="G608" s="23" t="s">
        <v>2448</v>
      </c>
      <c r="H608" s="24">
        <v>46153</v>
      </c>
      <c r="I608" s="24">
        <v>46153</v>
      </c>
      <c r="J608" s="23" t="s">
        <v>503</v>
      </c>
      <c r="K608" s="23" t="s">
        <v>503</v>
      </c>
      <c r="L608" s="23">
        <v>4</v>
      </c>
      <c r="M608" s="23" t="s">
        <v>78</v>
      </c>
      <c r="N608" s="23" t="s">
        <v>78</v>
      </c>
      <c r="O608" s="23">
        <v>182040</v>
      </c>
      <c r="P608" s="23" t="s">
        <v>79</v>
      </c>
      <c r="Q608" s="23" t="s">
        <v>83</v>
      </c>
      <c r="R608" s="23">
        <v>11100018</v>
      </c>
      <c r="S608" s="24">
        <v>46153</v>
      </c>
      <c r="T608" s="24">
        <v>46013</v>
      </c>
      <c r="U608" s="24">
        <v>46752</v>
      </c>
      <c r="X608" s="24">
        <v>46006</v>
      </c>
      <c r="Y608" s="23">
        <v>1111</v>
      </c>
      <c r="Z608" s="23">
        <v>11100305</v>
      </c>
      <c r="AA608" s="23">
        <v>500103</v>
      </c>
      <c r="AB608" s="24">
        <v>46013</v>
      </c>
    </row>
    <row r="609" spans="2:28" x14ac:dyDescent="0.2">
      <c r="C609" s="23">
        <v>1100572202</v>
      </c>
      <c r="E609" s="23">
        <v>20</v>
      </c>
      <c r="F609" s="23" t="s">
        <v>2449</v>
      </c>
      <c r="G609" s="23" t="s">
        <v>2450</v>
      </c>
      <c r="H609" s="24">
        <v>46153</v>
      </c>
      <c r="I609" s="24">
        <v>46153</v>
      </c>
      <c r="J609" s="23" t="s">
        <v>503</v>
      </c>
      <c r="K609" s="23" t="s">
        <v>503</v>
      </c>
      <c r="L609" s="23">
        <v>1</v>
      </c>
      <c r="M609" s="23" t="s">
        <v>78</v>
      </c>
      <c r="N609" s="23" t="s">
        <v>78</v>
      </c>
      <c r="O609" s="23">
        <v>59530</v>
      </c>
      <c r="P609" s="23" t="s">
        <v>79</v>
      </c>
      <c r="Q609" s="23" t="s">
        <v>83</v>
      </c>
      <c r="R609" s="23">
        <v>11100018</v>
      </c>
      <c r="S609" s="24">
        <v>46153</v>
      </c>
      <c r="T609" s="24">
        <v>46013</v>
      </c>
      <c r="U609" s="24">
        <v>46752</v>
      </c>
      <c r="X609" s="24">
        <v>46006</v>
      </c>
      <c r="Y609" s="23">
        <v>1111</v>
      </c>
      <c r="Z609" s="23">
        <v>11100305</v>
      </c>
      <c r="AA609" s="23">
        <v>500103</v>
      </c>
      <c r="AB609" s="24">
        <v>46013</v>
      </c>
    </row>
    <row r="610" spans="2:28" x14ac:dyDescent="0.2">
      <c r="C610" s="23">
        <v>1100572202</v>
      </c>
      <c r="E610" s="23">
        <v>30</v>
      </c>
      <c r="F610" s="23" t="s">
        <v>2451</v>
      </c>
      <c r="G610" s="23" t="s">
        <v>2452</v>
      </c>
      <c r="H610" s="24">
        <v>46153</v>
      </c>
      <c r="I610" s="24">
        <v>46153</v>
      </c>
      <c r="J610" s="23" t="s">
        <v>503</v>
      </c>
      <c r="K610" s="23" t="s">
        <v>503</v>
      </c>
      <c r="L610" s="23">
        <v>1</v>
      </c>
      <c r="M610" s="23" t="s">
        <v>78</v>
      </c>
      <c r="N610" s="23" t="s">
        <v>78</v>
      </c>
      <c r="O610" s="23">
        <v>42550</v>
      </c>
      <c r="P610" s="23" t="s">
        <v>79</v>
      </c>
      <c r="Q610" s="23" t="s">
        <v>83</v>
      </c>
      <c r="R610" s="23">
        <v>11100018</v>
      </c>
      <c r="S610" s="24">
        <v>46153</v>
      </c>
      <c r="T610" s="24">
        <v>46013</v>
      </c>
      <c r="U610" s="24">
        <v>46752</v>
      </c>
      <c r="X610" s="24">
        <v>46006</v>
      </c>
      <c r="Y610" s="23">
        <v>1111</v>
      </c>
      <c r="Z610" s="23">
        <v>11100305</v>
      </c>
      <c r="AA610" s="23">
        <v>500103</v>
      </c>
      <c r="AB610" s="24">
        <v>46013</v>
      </c>
    </row>
    <row r="611" spans="2:28" x14ac:dyDescent="0.2">
      <c r="C611" s="23">
        <v>1100572202</v>
      </c>
      <c r="E611" s="23">
        <v>40</v>
      </c>
      <c r="F611" s="23" t="s">
        <v>84</v>
      </c>
      <c r="G611" s="23" t="s">
        <v>123</v>
      </c>
      <c r="H611" s="24">
        <v>46153</v>
      </c>
      <c r="I611" s="24">
        <v>46153</v>
      </c>
      <c r="J611" s="23" t="s">
        <v>503</v>
      </c>
      <c r="K611" s="23" t="s">
        <v>503</v>
      </c>
      <c r="L611" s="23">
        <v>1</v>
      </c>
      <c r="M611" s="23" t="s">
        <v>78</v>
      </c>
      <c r="N611" s="23" t="s">
        <v>78</v>
      </c>
      <c r="O611" s="23">
        <v>0.01</v>
      </c>
      <c r="P611" s="23" t="s">
        <v>79</v>
      </c>
      <c r="Q611" s="23" t="s">
        <v>83</v>
      </c>
      <c r="R611" s="23">
        <v>11100018</v>
      </c>
      <c r="S611" s="24">
        <v>46153</v>
      </c>
      <c r="T611" s="24">
        <v>46013</v>
      </c>
      <c r="U611" s="24">
        <v>46752</v>
      </c>
      <c r="X611" s="24">
        <v>46006</v>
      </c>
      <c r="Y611" s="23">
        <v>1111</v>
      </c>
      <c r="Z611" s="23">
        <v>11100305</v>
      </c>
      <c r="AA611" s="23">
        <v>500103</v>
      </c>
      <c r="AB611" s="24">
        <v>46013</v>
      </c>
    </row>
    <row r="612" spans="2:28" x14ac:dyDescent="0.2">
      <c r="C612" s="23">
        <v>1100572202</v>
      </c>
      <c r="E612" s="23">
        <v>50</v>
      </c>
      <c r="F612" s="23" t="s">
        <v>82</v>
      </c>
      <c r="G612" s="23" t="s">
        <v>139</v>
      </c>
      <c r="H612" s="24">
        <v>46153</v>
      </c>
      <c r="I612" s="24">
        <v>46153</v>
      </c>
      <c r="J612" s="23" t="s">
        <v>503</v>
      </c>
      <c r="K612" s="23" t="s">
        <v>503</v>
      </c>
      <c r="L612" s="23">
        <v>1</v>
      </c>
      <c r="M612" s="23" t="s">
        <v>78</v>
      </c>
      <c r="N612" s="23" t="s">
        <v>78</v>
      </c>
      <c r="O612" s="23">
        <v>0.01</v>
      </c>
      <c r="P612" s="23" t="s">
        <v>79</v>
      </c>
      <c r="Q612" s="23" t="s">
        <v>83</v>
      </c>
      <c r="R612" s="23">
        <v>11100018</v>
      </c>
      <c r="S612" s="24" t="s">
        <v>80</v>
      </c>
      <c r="T612" s="24">
        <v>46013</v>
      </c>
      <c r="U612" s="24">
        <v>46752</v>
      </c>
      <c r="X612" s="24">
        <v>46006</v>
      </c>
      <c r="Y612" s="23">
        <v>1111</v>
      </c>
      <c r="Z612" s="23">
        <v>11100305</v>
      </c>
      <c r="AA612" s="23">
        <v>500103</v>
      </c>
      <c r="AB612" s="24">
        <v>46013</v>
      </c>
    </row>
    <row r="613" spans="2:28" x14ac:dyDescent="0.2">
      <c r="B613" s="23" t="s">
        <v>81</v>
      </c>
      <c r="C613" s="23">
        <v>1100572202</v>
      </c>
      <c r="H613" s="24">
        <v>46153</v>
      </c>
      <c r="O613" s="23">
        <v>284120.02</v>
      </c>
      <c r="P613" s="23" t="s">
        <v>79</v>
      </c>
    </row>
    <row r="614" spans="2:28" x14ac:dyDescent="0.2">
      <c r="C614" s="23">
        <v>1100576436</v>
      </c>
      <c r="E614" s="23">
        <v>10</v>
      </c>
      <c r="F614" s="23" t="s">
        <v>87</v>
      </c>
      <c r="G614" s="23" t="s">
        <v>2453</v>
      </c>
      <c r="H614" s="24">
        <v>46153</v>
      </c>
      <c r="I614" s="24">
        <v>46153</v>
      </c>
      <c r="J614" s="23" t="s">
        <v>2454</v>
      </c>
      <c r="K614" s="23" t="s">
        <v>2454</v>
      </c>
      <c r="L614" s="23">
        <v>1</v>
      </c>
      <c r="M614" s="23" t="s">
        <v>78</v>
      </c>
      <c r="N614" s="23" t="s">
        <v>78</v>
      </c>
      <c r="O614" s="23">
        <v>64372</v>
      </c>
      <c r="P614" s="23" t="s">
        <v>79</v>
      </c>
      <c r="Q614" s="23" t="s">
        <v>83</v>
      </c>
      <c r="R614" s="23">
        <v>11100189</v>
      </c>
      <c r="S614" s="24">
        <v>46122</v>
      </c>
      <c r="T614" s="24">
        <v>46063</v>
      </c>
      <c r="U614" s="24" t="s">
        <v>80</v>
      </c>
      <c r="X614" s="24">
        <v>46009</v>
      </c>
      <c r="Y614" s="23">
        <v>1111</v>
      </c>
      <c r="Z614" s="23">
        <v>11100305</v>
      </c>
      <c r="AA614" s="23">
        <v>510103</v>
      </c>
      <c r="AB614" s="24">
        <v>46063</v>
      </c>
    </row>
    <row r="615" spans="2:28" x14ac:dyDescent="0.2">
      <c r="C615" s="23">
        <v>1100576436</v>
      </c>
      <c r="E615" s="23">
        <v>20</v>
      </c>
      <c r="F615" s="23" t="s">
        <v>84</v>
      </c>
      <c r="G615" s="23" t="s">
        <v>123</v>
      </c>
      <c r="H615" s="24">
        <v>46153</v>
      </c>
      <c r="I615" s="24">
        <v>46153</v>
      </c>
      <c r="J615" s="23" t="s">
        <v>2454</v>
      </c>
      <c r="K615" s="23" t="s">
        <v>2454</v>
      </c>
      <c r="L615" s="23">
        <v>1</v>
      </c>
      <c r="M615" s="23" t="s">
        <v>78</v>
      </c>
      <c r="N615" s="23" t="s">
        <v>78</v>
      </c>
      <c r="O615" s="23">
        <v>0.01</v>
      </c>
      <c r="P615" s="23" t="s">
        <v>79</v>
      </c>
      <c r="Q615" s="23" t="s">
        <v>83</v>
      </c>
      <c r="R615" s="23">
        <v>11100189</v>
      </c>
      <c r="S615" s="24">
        <v>46122</v>
      </c>
      <c r="T615" s="24">
        <v>46063</v>
      </c>
      <c r="U615" s="24" t="s">
        <v>80</v>
      </c>
      <c r="X615" s="24">
        <v>46009</v>
      </c>
      <c r="Y615" s="23">
        <v>1111</v>
      </c>
      <c r="Z615" s="23">
        <v>11100305</v>
      </c>
      <c r="AA615" s="23">
        <v>510103</v>
      </c>
      <c r="AB615" s="24">
        <v>46063</v>
      </c>
    </row>
    <row r="616" spans="2:28" x14ac:dyDescent="0.2">
      <c r="B616" s="23" t="s">
        <v>81</v>
      </c>
      <c r="C616" s="23">
        <v>1100576436</v>
      </c>
      <c r="H616" s="24">
        <v>46153</v>
      </c>
      <c r="O616" s="23">
        <v>64372.01</v>
      </c>
      <c r="P616" s="23" t="s">
        <v>79</v>
      </c>
    </row>
    <row r="617" spans="2:28" x14ac:dyDescent="0.2">
      <c r="C617" s="23">
        <v>1100557506</v>
      </c>
      <c r="E617" s="23">
        <v>10</v>
      </c>
      <c r="F617" s="23" t="s">
        <v>87</v>
      </c>
      <c r="G617" s="23" t="s">
        <v>142</v>
      </c>
      <c r="H617" s="24">
        <v>46154</v>
      </c>
      <c r="I617" s="24">
        <v>46154</v>
      </c>
      <c r="J617" s="23" t="s">
        <v>741</v>
      </c>
      <c r="K617" s="23" t="s">
        <v>741</v>
      </c>
      <c r="L617" s="23">
        <v>1</v>
      </c>
      <c r="M617" s="23" t="s">
        <v>78</v>
      </c>
      <c r="N617" s="23" t="s">
        <v>78</v>
      </c>
      <c r="O617" s="23">
        <v>38200</v>
      </c>
      <c r="P617" s="23" t="s">
        <v>79</v>
      </c>
      <c r="Q617" s="23" t="s">
        <v>83</v>
      </c>
      <c r="R617" s="23">
        <v>11100189</v>
      </c>
      <c r="S617" s="24">
        <v>46022</v>
      </c>
      <c r="T617" s="24">
        <v>45862</v>
      </c>
      <c r="U617" s="24" t="s">
        <v>80</v>
      </c>
      <c r="X617" s="24">
        <v>45371</v>
      </c>
      <c r="Y617" s="23">
        <v>1111</v>
      </c>
      <c r="Z617" s="23">
        <v>11100002</v>
      </c>
      <c r="AA617" s="23">
        <v>310103</v>
      </c>
      <c r="AB617" s="24">
        <v>45862</v>
      </c>
    </row>
    <row r="618" spans="2:28" x14ac:dyDescent="0.2">
      <c r="C618" s="23">
        <v>1100557506</v>
      </c>
      <c r="E618" s="23">
        <v>20</v>
      </c>
      <c r="F618" s="23" t="s">
        <v>84</v>
      </c>
      <c r="G618" s="23" t="s">
        <v>123</v>
      </c>
      <c r="H618" s="24">
        <v>46154</v>
      </c>
      <c r="I618" s="24">
        <v>46154</v>
      </c>
      <c r="J618" s="23" t="s">
        <v>741</v>
      </c>
      <c r="K618" s="23" t="s">
        <v>741</v>
      </c>
      <c r="L618" s="23">
        <v>1</v>
      </c>
      <c r="M618" s="23" t="s">
        <v>78</v>
      </c>
      <c r="N618" s="23" t="s">
        <v>78</v>
      </c>
      <c r="O618" s="23">
        <v>7000</v>
      </c>
      <c r="P618" s="23" t="s">
        <v>79</v>
      </c>
      <c r="Q618" s="23" t="s">
        <v>83</v>
      </c>
      <c r="R618" s="23">
        <v>11100189</v>
      </c>
      <c r="S618" s="24" t="s">
        <v>80</v>
      </c>
      <c r="T618" s="24">
        <v>45862</v>
      </c>
      <c r="U618" s="24" t="s">
        <v>80</v>
      </c>
      <c r="X618" s="24">
        <v>45371</v>
      </c>
      <c r="Y618" s="23">
        <v>1111</v>
      </c>
      <c r="Z618" s="23">
        <v>11100002</v>
      </c>
      <c r="AA618" s="23">
        <v>310103</v>
      </c>
      <c r="AB618" s="24">
        <v>45862</v>
      </c>
    </row>
    <row r="619" spans="2:28" x14ac:dyDescent="0.2">
      <c r="C619" s="23">
        <v>1100557506</v>
      </c>
      <c r="E619" s="23">
        <v>30</v>
      </c>
      <c r="F619" s="23" t="s">
        <v>1532</v>
      </c>
      <c r="G619" s="23" t="s">
        <v>486</v>
      </c>
      <c r="H619" s="24">
        <v>46154</v>
      </c>
      <c r="I619" s="24">
        <v>46154</v>
      </c>
      <c r="J619" s="23" t="s">
        <v>741</v>
      </c>
      <c r="K619" s="23" t="s">
        <v>741</v>
      </c>
      <c r="L619" s="23">
        <v>1</v>
      </c>
      <c r="M619" s="23" t="s">
        <v>78</v>
      </c>
      <c r="N619" s="23" t="s">
        <v>78</v>
      </c>
      <c r="O619" s="23">
        <v>54940</v>
      </c>
      <c r="P619" s="23" t="s">
        <v>79</v>
      </c>
      <c r="Q619" s="23" t="s">
        <v>83</v>
      </c>
      <c r="R619" s="23">
        <v>11100189</v>
      </c>
      <c r="S619" s="24" t="s">
        <v>80</v>
      </c>
      <c r="T619" s="24">
        <v>45862</v>
      </c>
      <c r="U619" s="24" t="s">
        <v>80</v>
      </c>
      <c r="X619" s="24">
        <v>45371</v>
      </c>
      <c r="Y619" s="23">
        <v>1111</v>
      </c>
      <c r="Z619" s="23">
        <v>11100002</v>
      </c>
      <c r="AA619" s="23">
        <v>310103</v>
      </c>
      <c r="AB619" s="24">
        <v>45862</v>
      </c>
    </row>
    <row r="620" spans="2:28" x14ac:dyDescent="0.2">
      <c r="C620" s="23">
        <v>1100557506</v>
      </c>
      <c r="E620" s="23">
        <v>40</v>
      </c>
      <c r="F620" s="23" t="s">
        <v>1533</v>
      </c>
      <c r="G620" s="23" t="s">
        <v>486</v>
      </c>
      <c r="H620" s="24">
        <v>46154</v>
      </c>
      <c r="I620" s="24">
        <v>46154</v>
      </c>
      <c r="J620" s="23" t="s">
        <v>741</v>
      </c>
      <c r="K620" s="23" t="s">
        <v>741</v>
      </c>
      <c r="L620" s="23">
        <v>1</v>
      </c>
      <c r="M620" s="23" t="s">
        <v>78</v>
      </c>
      <c r="N620" s="23" t="s">
        <v>78</v>
      </c>
      <c r="O620" s="23">
        <v>54940</v>
      </c>
      <c r="P620" s="23" t="s">
        <v>79</v>
      </c>
      <c r="Q620" s="23" t="s">
        <v>83</v>
      </c>
      <c r="R620" s="23">
        <v>11100189</v>
      </c>
      <c r="S620" s="24" t="s">
        <v>80</v>
      </c>
      <c r="T620" s="24">
        <v>45862</v>
      </c>
      <c r="U620" s="24" t="s">
        <v>80</v>
      </c>
      <c r="X620" s="24">
        <v>45371</v>
      </c>
      <c r="Y620" s="23">
        <v>1111</v>
      </c>
      <c r="Z620" s="23">
        <v>11100002</v>
      </c>
      <c r="AA620" s="23">
        <v>310103</v>
      </c>
      <c r="AB620" s="24">
        <v>45862</v>
      </c>
    </row>
    <row r="621" spans="2:28" x14ac:dyDescent="0.2">
      <c r="C621" s="23">
        <v>1100557506</v>
      </c>
      <c r="E621" s="23">
        <v>50</v>
      </c>
      <c r="F621" s="23" t="s">
        <v>1534</v>
      </c>
      <c r="G621" s="23" t="s">
        <v>486</v>
      </c>
      <c r="H621" s="24">
        <v>46154</v>
      </c>
      <c r="I621" s="24">
        <v>46154</v>
      </c>
      <c r="J621" s="23" t="s">
        <v>741</v>
      </c>
      <c r="K621" s="23" t="s">
        <v>741</v>
      </c>
      <c r="L621" s="23">
        <v>1</v>
      </c>
      <c r="M621" s="23" t="s">
        <v>78</v>
      </c>
      <c r="N621" s="23" t="s">
        <v>78</v>
      </c>
      <c r="O621" s="23">
        <v>54940</v>
      </c>
      <c r="P621" s="23" t="s">
        <v>79</v>
      </c>
      <c r="Q621" s="23" t="s">
        <v>83</v>
      </c>
      <c r="R621" s="23">
        <v>11100189</v>
      </c>
      <c r="S621" s="24" t="s">
        <v>80</v>
      </c>
      <c r="T621" s="24">
        <v>45862</v>
      </c>
      <c r="U621" s="24" t="s">
        <v>80</v>
      </c>
      <c r="X621" s="24">
        <v>45371</v>
      </c>
      <c r="Y621" s="23">
        <v>1111</v>
      </c>
      <c r="Z621" s="23">
        <v>11100002</v>
      </c>
      <c r="AA621" s="23">
        <v>310103</v>
      </c>
      <c r="AB621" s="24">
        <v>45862</v>
      </c>
    </row>
    <row r="622" spans="2:28" x14ac:dyDescent="0.2">
      <c r="C622" s="23">
        <v>1100557506</v>
      </c>
      <c r="E622" s="23">
        <v>60</v>
      </c>
      <c r="F622" s="23" t="s">
        <v>1535</v>
      </c>
      <c r="G622" s="23" t="s">
        <v>486</v>
      </c>
      <c r="H622" s="24">
        <v>46154</v>
      </c>
      <c r="I622" s="24">
        <v>46154</v>
      </c>
      <c r="J622" s="23" t="s">
        <v>741</v>
      </c>
      <c r="K622" s="23" t="s">
        <v>741</v>
      </c>
      <c r="L622" s="23">
        <v>1</v>
      </c>
      <c r="M622" s="23" t="s">
        <v>78</v>
      </c>
      <c r="N622" s="23" t="s">
        <v>78</v>
      </c>
      <c r="O622" s="23">
        <v>54940</v>
      </c>
      <c r="P622" s="23" t="s">
        <v>79</v>
      </c>
      <c r="Q622" s="23" t="s">
        <v>83</v>
      </c>
      <c r="R622" s="23">
        <v>11100189</v>
      </c>
      <c r="S622" s="24" t="s">
        <v>80</v>
      </c>
      <c r="T622" s="24">
        <v>45862</v>
      </c>
      <c r="U622" s="24" t="s">
        <v>80</v>
      </c>
      <c r="X622" s="24">
        <v>45371</v>
      </c>
      <c r="Y622" s="23">
        <v>1111</v>
      </c>
      <c r="Z622" s="23">
        <v>11100002</v>
      </c>
      <c r="AA622" s="23">
        <v>310103</v>
      </c>
      <c r="AB622" s="24">
        <v>45862</v>
      </c>
    </row>
    <row r="623" spans="2:28" x14ac:dyDescent="0.2">
      <c r="C623" s="23">
        <v>1100557506</v>
      </c>
      <c r="E623" s="23">
        <v>70</v>
      </c>
      <c r="F623" s="23" t="s">
        <v>1536</v>
      </c>
      <c r="G623" s="23" t="s">
        <v>486</v>
      </c>
      <c r="H623" s="24">
        <v>46154</v>
      </c>
      <c r="I623" s="24">
        <v>46154</v>
      </c>
      <c r="J623" s="23" t="s">
        <v>741</v>
      </c>
      <c r="K623" s="23" t="s">
        <v>741</v>
      </c>
      <c r="L623" s="23">
        <v>1</v>
      </c>
      <c r="M623" s="23" t="s">
        <v>78</v>
      </c>
      <c r="N623" s="23" t="s">
        <v>78</v>
      </c>
      <c r="O623" s="23">
        <v>54940</v>
      </c>
      <c r="P623" s="23" t="s">
        <v>79</v>
      </c>
      <c r="Q623" s="23" t="s">
        <v>83</v>
      </c>
      <c r="R623" s="23">
        <v>11100189</v>
      </c>
      <c r="S623" s="24" t="s">
        <v>80</v>
      </c>
      <c r="T623" s="24">
        <v>45862</v>
      </c>
      <c r="U623" s="24" t="s">
        <v>80</v>
      </c>
      <c r="X623" s="24">
        <v>45371</v>
      </c>
      <c r="Y623" s="23">
        <v>1111</v>
      </c>
      <c r="Z623" s="23">
        <v>11100002</v>
      </c>
      <c r="AA623" s="23">
        <v>310103</v>
      </c>
      <c r="AB623" s="24">
        <v>45862</v>
      </c>
    </row>
    <row r="624" spans="2:28" x14ac:dyDescent="0.2">
      <c r="C624" s="23">
        <v>1100557506</v>
      </c>
      <c r="E624" s="23">
        <v>90</v>
      </c>
      <c r="F624" s="23" t="s">
        <v>1537</v>
      </c>
      <c r="G624" s="23" t="s">
        <v>486</v>
      </c>
      <c r="H624" s="24">
        <v>46154</v>
      </c>
      <c r="I624" s="24">
        <v>46154</v>
      </c>
      <c r="J624" s="23" t="s">
        <v>741</v>
      </c>
      <c r="K624" s="23" t="s">
        <v>741</v>
      </c>
      <c r="L624" s="23">
        <v>1</v>
      </c>
      <c r="M624" s="23" t="s">
        <v>78</v>
      </c>
      <c r="N624" s="23" t="s">
        <v>78</v>
      </c>
      <c r="O624" s="23">
        <v>54940</v>
      </c>
      <c r="P624" s="23" t="s">
        <v>79</v>
      </c>
      <c r="Q624" s="23" t="s">
        <v>83</v>
      </c>
      <c r="R624" s="23">
        <v>11100189</v>
      </c>
      <c r="S624" s="24" t="s">
        <v>80</v>
      </c>
      <c r="T624" s="24">
        <v>45862</v>
      </c>
      <c r="U624" s="24" t="s">
        <v>80</v>
      </c>
      <c r="X624" s="24">
        <v>45371</v>
      </c>
      <c r="Y624" s="23">
        <v>1111</v>
      </c>
      <c r="Z624" s="23">
        <v>11100002</v>
      </c>
      <c r="AA624" s="23">
        <v>310103</v>
      </c>
      <c r="AB624" s="24">
        <v>45862</v>
      </c>
    </row>
    <row r="625" spans="2:28" x14ac:dyDescent="0.2">
      <c r="B625" s="23" t="s">
        <v>81</v>
      </c>
      <c r="C625" s="23">
        <v>1100557506</v>
      </c>
      <c r="H625" s="24">
        <v>46154</v>
      </c>
      <c r="O625" s="23">
        <v>374840</v>
      </c>
      <c r="P625" s="23" t="s">
        <v>79</v>
      </c>
    </row>
    <row r="626" spans="2:28" x14ac:dyDescent="0.2">
      <c r="C626" s="23">
        <v>1100561278</v>
      </c>
      <c r="E626" s="23">
        <v>10</v>
      </c>
      <c r="F626" s="23" t="s">
        <v>1456</v>
      </c>
      <c r="G626" s="23" t="s">
        <v>554</v>
      </c>
      <c r="H626" s="24">
        <v>46156</v>
      </c>
      <c r="I626" s="24">
        <v>46156</v>
      </c>
      <c r="J626" s="23" t="s">
        <v>1457</v>
      </c>
      <c r="K626" s="23" t="s">
        <v>1457</v>
      </c>
      <c r="L626" s="23">
        <v>1</v>
      </c>
      <c r="M626" s="23" t="s">
        <v>78</v>
      </c>
      <c r="N626" s="23" t="s">
        <v>78</v>
      </c>
      <c r="O626" s="23">
        <v>54820</v>
      </c>
      <c r="P626" s="23" t="s">
        <v>79</v>
      </c>
      <c r="Q626" s="23" t="s">
        <v>83</v>
      </c>
      <c r="R626" s="23">
        <v>11100018</v>
      </c>
      <c r="S626" s="24" t="s">
        <v>80</v>
      </c>
      <c r="T626" s="24">
        <v>45898</v>
      </c>
      <c r="U626" s="24">
        <v>46752</v>
      </c>
      <c r="X626" s="24">
        <v>45890</v>
      </c>
      <c r="Y626" s="23">
        <v>1111</v>
      </c>
      <c r="Z626" s="23">
        <v>11100303</v>
      </c>
      <c r="AA626" s="23">
        <v>330103</v>
      </c>
      <c r="AB626" s="24">
        <v>45898</v>
      </c>
    </row>
    <row r="627" spans="2:28" x14ac:dyDescent="0.2">
      <c r="C627" s="23">
        <v>1100561278</v>
      </c>
      <c r="E627" s="23">
        <v>20</v>
      </c>
      <c r="F627" s="23" t="s">
        <v>1458</v>
      </c>
      <c r="G627" s="23" t="s">
        <v>562</v>
      </c>
      <c r="H627" s="24">
        <v>46156</v>
      </c>
      <c r="I627" s="24">
        <v>46156</v>
      </c>
      <c r="J627" s="23" t="s">
        <v>1457</v>
      </c>
      <c r="K627" s="23" t="s">
        <v>1457</v>
      </c>
      <c r="L627" s="23">
        <v>1</v>
      </c>
      <c r="M627" s="23" t="s">
        <v>78</v>
      </c>
      <c r="N627" s="23" t="s">
        <v>78</v>
      </c>
      <c r="O627" s="23">
        <v>58340</v>
      </c>
      <c r="P627" s="23" t="s">
        <v>79</v>
      </c>
      <c r="Q627" s="23" t="s">
        <v>83</v>
      </c>
      <c r="R627" s="23">
        <v>11100018</v>
      </c>
      <c r="S627" s="24" t="s">
        <v>80</v>
      </c>
      <c r="T627" s="24">
        <v>45898</v>
      </c>
      <c r="U627" s="24">
        <v>46752</v>
      </c>
      <c r="X627" s="24">
        <v>45890</v>
      </c>
      <c r="Y627" s="23">
        <v>1111</v>
      </c>
      <c r="Z627" s="23">
        <v>11100303</v>
      </c>
      <c r="AA627" s="23">
        <v>330103</v>
      </c>
      <c r="AB627" s="24">
        <v>45898</v>
      </c>
    </row>
    <row r="628" spans="2:28" x14ac:dyDescent="0.2">
      <c r="C628" s="23">
        <v>1100561278</v>
      </c>
      <c r="E628" s="23">
        <v>30</v>
      </c>
      <c r="F628" s="23" t="s">
        <v>1459</v>
      </c>
      <c r="G628" s="23" t="s">
        <v>1460</v>
      </c>
      <c r="H628" s="24">
        <v>46156</v>
      </c>
      <c r="I628" s="24">
        <v>46156</v>
      </c>
      <c r="J628" s="23" t="s">
        <v>1457</v>
      </c>
      <c r="K628" s="23" t="s">
        <v>1457</v>
      </c>
      <c r="L628" s="23">
        <v>1</v>
      </c>
      <c r="M628" s="23" t="s">
        <v>78</v>
      </c>
      <c r="N628" s="23" t="s">
        <v>78</v>
      </c>
      <c r="O628" s="23">
        <v>66860</v>
      </c>
      <c r="P628" s="23" t="s">
        <v>79</v>
      </c>
      <c r="Q628" s="23" t="s">
        <v>83</v>
      </c>
      <c r="R628" s="23">
        <v>11100018</v>
      </c>
      <c r="S628" s="24" t="s">
        <v>80</v>
      </c>
      <c r="T628" s="24">
        <v>45898</v>
      </c>
      <c r="U628" s="24">
        <v>46752</v>
      </c>
      <c r="X628" s="24">
        <v>45890</v>
      </c>
      <c r="Y628" s="23">
        <v>1111</v>
      </c>
      <c r="Z628" s="23">
        <v>11100303</v>
      </c>
      <c r="AA628" s="23">
        <v>330103</v>
      </c>
      <c r="AB628" s="24">
        <v>45898</v>
      </c>
    </row>
    <row r="629" spans="2:28" x14ac:dyDescent="0.2">
      <c r="C629" s="23">
        <v>1100561278</v>
      </c>
      <c r="E629" s="23">
        <v>50</v>
      </c>
      <c r="F629" s="23" t="s">
        <v>84</v>
      </c>
      <c r="G629" s="23" t="s">
        <v>123</v>
      </c>
      <c r="H629" s="24">
        <v>46156</v>
      </c>
      <c r="I629" s="24">
        <v>46156</v>
      </c>
      <c r="J629" s="23" t="s">
        <v>1457</v>
      </c>
      <c r="K629" s="23" t="s">
        <v>1457</v>
      </c>
      <c r="L629" s="23">
        <v>1</v>
      </c>
      <c r="M629" s="23" t="s">
        <v>78</v>
      </c>
      <c r="N629" s="23" t="s">
        <v>78</v>
      </c>
      <c r="O629" s="23">
        <v>0.01</v>
      </c>
      <c r="P629" s="23" t="s">
        <v>79</v>
      </c>
      <c r="Q629" s="23" t="s">
        <v>83</v>
      </c>
      <c r="R629" s="23">
        <v>11100018</v>
      </c>
      <c r="S629" s="24" t="s">
        <v>80</v>
      </c>
      <c r="T629" s="24">
        <v>45898</v>
      </c>
      <c r="U629" s="24">
        <v>46752</v>
      </c>
      <c r="X629" s="24">
        <v>45890</v>
      </c>
      <c r="Y629" s="23">
        <v>1111</v>
      </c>
      <c r="Z629" s="23">
        <v>11100303</v>
      </c>
      <c r="AA629" s="23">
        <v>330103</v>
      </c>
      <c r="AB629" s="24">
        <v>45898</v>
      </c>
    </row>
    <row r="630" spans="2:28" x14ac:dyDescent="0.2">
      <c r="C630" s="23">
        <v>1100561278</v>
      </c>
      <c r="E630" s="23">
        <v>70</v>
      </c>
      <c r="F630" s="23" t="s">
        <v>82</v>
      </c>
      <c r="G630" s="23" t="s">
        <v>139</v>
      </c>
      <c r="H630" s="24">
        <v>46156</v>
      </c>
      <c r="I630" s="24">
        <v>46156</v>
      </c>
      <c r="J630" s="23" t="s">
        <v>1457</v>
      </c>
      <c r="K630" s="23" t="s">
        <v>1457</v>
      </c>
      <c r="L630" s="23">
        <v>1</v>
      </c>
      <c r="M630" s="23" t="s">
        <v>78</v>
      </c>
      <c r="N630" s="23" t="s">
        <v>78</v>
      </c>
      <c r="O630" s="23">
        <v>0.01</v>
      </c>
      <c r="P630" s="23" t="s">
        <v>79</v>
      </c>
      <c r="Q630" s="23" t="s">
        <v>83</v>
      </c>
      <c r="R630" s="23">
        <v>11100018</v>
      </c>
      <c r="S630" s="24" t="s">
        <v>80</v>
      </c>
      <c r="T630" s="24">
        <v>45898</v>
      </c>
      <c r="U630" s="24">
        <v>46752</v>
      </c>
      <c r="X630" s="24">
        <v>45890</v>
      </c>
      <c r="Y630" s="23">
        <v>1111</v>
      </c>
      <c r="Z630" s="23">
        <v>11100303</v>
      </c>
      <c r="AA630" s="23">
        <v>330103</v>
      </c>
      <c r="AB630" s="24">
        <v>45898</v>
      </c>
    </row>
    <row r="631" spans="2:28" x14ac:dyDescent="0.2">
      <c r="B631" s="23" t="s">
        <v>81</v>
      </c>
      <c r="C631" s="23">
        <v>1100561278</v>
      </c>
      <c r="H631" s="24">
        <v>46156</v>
      </c>
      <c r="O631" s="23">
        <v>180020.02</v>
      </c>
      <c r="P631" s="23" t="s">
        <v>79</v>
      </c>
    </row>
    <row r="632" spans="2:28" x14ac:dyDescent="0.2">
      <c r="C632" s="23">
        <v>1100565969</v>
      </c>
      <c r="E632" s="23">
        <v>10</v>
      </c>
      <c r="F632" s="23" t="s">
        <v>2455</v>
      </c>
      <c r="G632" s="23" t="s">
        <v>569</v>
      </c>
      <c r="H632" s="24">
        <v>46156</v>
      </c>
      <c r="I632" s="24">
        <v>46156</v>
      </c>
      <c r="J632" s="23" t="s">
        <v>1228</v>
      </c>
      <c r="K632" s="23" t="s">
        <v>1228</v>
      </c>
      <c r="L632" s="23">
        <v>1</v>
      </c>
      <c r="M632" s="23" t="s">
        <v>78</v>
      </c>
      <c r="N632" s="23" t="s">
        <v>78</v>
      </c>
      <c r="O632" s="23">
        <v>12120</v>
      </c>
      <c r="P632" s="23" t="s">
        <v>79</v>
      </c>
      <c r="Q632" s="23" t="s">
        <v>83</v>
      </c>
      <c r="R632" s="23">
        <v>11100018</v>
      </c>
      <c r="S632" s="24" t="s">
        <v>80</v>
      </c>
      <c r="T632" s="24">
        <v>45944</v>
      </c>
      <c r="U632" s="24" t="s">
        <v>80</v>
      </c>
      <c r="X632" s="24">
        <v>45896</v>
      </c>
      <c r="Y632" s="23">
        <v>1111</v>
      </c>
      <c r="Z632" s="23">
        <v>11100303</v>
      </c>
      <c r="AA632" s="23">
        <v>321203</v>
      </c>
      <c r="AB632" s="24">
        <v>45944</v>
      </c>
    </row>
    <row r="633" spans="2:28" x14ac:dyDescent="0.2">
      <c r="C633" s="23">
        <v>1100565969</v>
      </c>
      <c r="E633" s="23">
        <v>20</v>
      </c>
      <c r="F633" s="23" t="s">
        <v>84</v>
      </c>
      <c r="G633" s="23" t="s">
        <v>123</v>
      </c>
      <c r="H633" s="24">
        <v>46156</v>
      </c>
      <c r="I633" s="24">
        <v>46156</v>
      </c>
      <c r="J633" s="23" t="s">
        <v>1228</v>
      </c>
      <c r="K633" s="23" t="s">
        <v>1228</v>
      </c>
      <c r="L633" s="23">
        <v>1</v>
      </c>
      <c r="M633" s="23" t="s">
        <v>78</v>
      </c>
      <c r="N633" s="23" t="s">
        <v>78</v>
      </c>
      <c r="O633" s="23">
        <v>0.01</v>
      </c>
      <c r="P633" s="23" t="s">
        <v>79</v>
      </c>
      <c r="Q633" s="23" t="s">
        <v>83</v>
      </c>
      <c r="R633" s="23">
        <v>11100018</v>
      </c>
      <c r="S633" s="24" t="s">
        <v>80</v>
      </c>
      <c r="T633" s="24">
        <v>45944</v>
      </c>
      <c r="U633" s="24" t="s">
        <v>80</v>
      </c>
      <c r="X633" s="24">
        <v>45896</v>
      </c>
      <c r="Y633" s="23">
        <v>1111</v>
      </c>
      <c r="Z633" s="23">
        <v>11100303</v>
      </c>
      <c r="AA633" s="23">
        <v>321203</v>
      </c>
      <c r="AB633" s="24">
        <v>45944</v>
      </c>
    </row>
    <row r="634" spans="2:28" x14ac:dyDescent="0.2">
      <c r="B634" s="23" t="s">
        <v>81</v>
      </c>
      <c r="C634" s="23">
        <v>1100565969</v>
      </c>
      <c r="H634" s="24">
        <v>46156</v>
      </c>
      <c r="O634" s="23">
        <v>12120.01</v>
      </c>
      <c r="P634" s="23" t="s">
        <v>79</v>
      </c>
    </row>
    <row r="635" spans="2:28" x14ac:dyDescent="0.2">
      <c r="C635" s="23">
        <v>1100555640</v>
      </c>
      <c r="E635" s="23">
        <v>10</v>
      </c>
      <c r="F635" s="23" t="s">
        <v>402</v>
      </c>
      <c r="G635" s="23" t="s">
        <v>403</v>
      </c>
      <c r="H635" s="24">
        <v>46157</v>
      </c>
      <c r="I635" s="24">
        <v>46157</v>
      </c>
      <c r="J635" s="23" t="s">
        <v>157</v>
      </c>
      <c r="K635" s="23" t="s">
        <v>157</v>
      </c>
      <c r="L635" s="23">
        <v>1</v>
      </c>
      <c r="M635" s="23" t="s">
        <v>78</v>
      </c>
      <c r="N635" s="23" t="s">
        <v>78</v>
      </c>
      <c r="O635" s="23">
        <v>72742</v>
      </c>
      <c r="P635" s="23" t="s">
        <v>79</v>
      </c>
      <c r="Q635" s="23" t="s">
        <v>83</v>
      </c>
      <c r="R635" s="23">
        <v>11100008</v>
      </c>
      <c r="S635" s="24">
        <v>45958</v>
      </c>
      <c r="T635" s="24">
        <v>45845</v>
      </c>
      <c r="U635" s="24">
        <v>47116</v>
      </c>
      <c r="X635" s="24">
        <v>45840</v>
      </c>
      <c r="Y635" s="23">
        <v>1111</v>
      </c>
      <c r="Z635" s="23">
        <v>11100002</v>
      </c>
      <c r="AA635" s="23">
        <v>5124</v>
      </c>
      <c r="AB635" s="24">
        <v>45845</v>
      </c>
    </row>
    <row r="636" spans="2:28" x14ac:dyDescent="0.2">
      <c r="C636" s="23">
        <v>1100555640</v>
      </c>
      <c r="E636" s="23">
        <v>20</v>
      </c>
      <c r="F636" s="23" t="s">
        <v>402</v>
      </c>
      <c r="G636" s="23" t="s">
        <v>403</v>
      </c>
      <c r="H636" s="24">
        <v>46157</v>
      </c>
      <c r="I636" s="24">
        <v>46157</v>
      </c>
      <c r="J636" s="23" t="s">
        <v>157</v>
      </c>
      <c r="K636" s="23" t="s">
        <v>157</v>
      </c>
      <c r="L636" s="23">
        <v>1</v>
      </c>
      <c r="M636" s="23" t="s">
        <v>78</v>
      </c>
      <c r="N636" s="23" t="s">
        <v>78</v>
      </c>
      <c r="O636" s="23">
        <v>72742</v>
      </c>
      <c r="P636" s="23" t="s">
        <v>79</v>
      </c>
      <c r="Q636" s="23" t="s">
        <v>83</v>
      </c>
      <c r="R636" s="23">
        <v>11100008</v>
      </c>
      <c r="S636" s="24">
        <v>45958</v>
      </c>
      <c r="T636" s="24">
        <v>45845</v>
      </c>
      <c r="U636" s="24">
        <v>47116</v>
      </c>
      <c r="X636" s="24">
        <v>45840</v>
      </c>
      <c r="Y636" s="23">
        <v>1111</v>
      </c>
      <c r="Z636" s="23">
        <v>11100002</v>
      </c>
      <c r="AA636" s="23">
        <v>5124</v>
      </c>
      <c r="AB636" s="24">
        <v>45845</v>
      </c>
    </row>
    <row r="637" spans="2:28" x14ac:dyDescent="0.2">
      <c r="C637" s="23">
        <v>1100555640</v>
      </c>
      <c r="E637" s="23">
        <v>30</v>
      </c>
      <c r="F637" s="23" t="s">
        <v>402</v>
      </c>
      <c r="G637" s="23" t="s">
        <v>403</v>
      </c>
      <c r="H637" s="24">
        <v>46157</v>
      </c>
      <c r="I637" s="24">
        <v>46157</v>
      </c>
      <c r="J637" s="23" t="s">
        <v>157</v>
      </c>
      <c r="K637" s="23" t="s">
        <v>157</v>
      </c>
      <c r="L637" s="23">
        <v>1</v>
      </c>
      <c r="M637" s="23" t="s">
        <v>78</v>
      </c>
      <c r="N637" s="23" t="s">
        <v>78</v>
      </c>
      <c r="O637" s="23">
        <v>72742</v>
      </c>
      <c r="P637" s="23" t="s">
        <v>79</v>
      </c>
      <c r="Q637" s="23" t="s">
        <v>83</v>
      </c>
      <c r="R637" s="23">
        <v>11100008</v>
      </c>
      <c r="S637" s="24">
        <v>45958</v>
      </c>
      <c r="T637" s="24">
        <v>45845</v>
      </c>
      <c r="U637" s="24">
        <v>47116</v>
      </c>
      <c r="X637" s="24">
        <v>45840</v>
      </c>
      <c r="Y637" s="23">
        <v>1111</v>
      </c>
      <c r="Z637" s="23">
        <v>11100002</v>
      </c>
      <c r="AA637" s="23">
        <v>5124</v>
      </c>
      <c r="AB637" s="24">
        <v>45845</v>
      </c>
    </row>
    <row r="638" spans="2:28" x14ac:dyDescent="0.2">
      <c r="C638" s="23">
        <v>1100555640</v>
      </c>
      <c r="E638" s="23">
        <v>40</v>
      </c>
      <c r="F638" s="23" t="s">
        <v>402</v>
      </c>
      <c r="G638" s="23" t="s">
        <v>403</v>
      </c>
      <c r="H638" s="24">
        <v>46157</v>
      </c>
      <c r="I638" s="24">
        <v>46157</v>
      </c>
      <c r="J638" s="23" t="s">
        <v>157</v>
      </c>
      <c r="K638" s="23" t="s">
        <v>157</v>
      </c>
      <c r="L638" s="23">
        <v>1</v>
      </c>
      <c r="M638" s="23" t="s">
        <v>78</v>
      </c>
      <c r="N638" s="23" t="s">
        <v>78</v>
      </c>
      <c r="O638" s="23">
        <v>72742</v>
      </c>
      <c r="P638" s="23" t="s">
        <v>79</v>
      </c>
      <c r="Q638" s="23" t="s">
        <v>83</v>
      </c>
      <c r="R638" s="23">
        <v>11100008</v>
      </c>
      <c r="S638" s="24">
        <v>45958</v>
      </c>
      <c r="T638" s="24">
        <v>45845</v>
      </c>
      <c r="U638" s="24">
        <v>47116</v>
      </c>
      <c r="X638" s="24">
        <v>45840</v>
      </c>
      <c r="Y638" s="23">
        <v>1111</v>
      </c>
      <c r="Z638" s="23">
        <v>11100002</v>
      </c>
      <c r="AA638" s="23">
        <v>5124</v>
      </c>
      <c r="AB638" s="24">
        <v>45845</v>
      </c>
    </row>
    <row r="639" spans="2:28" x14ac:dyDescent="0.2">
      <c r="B639" s="23" t="s">
        <v>81</v>
      </c>
      <c r="C639" s="23">
        <v>1100555640</v>
      </c>
      <c r="H639" s="24">
        <v>46157</v>
      </c>
      <c r="O639" s="23">
        <v>290968</v>
      </c>
      <c r="P639" s="23" t="s">
        <v>79</v>
      </c>
    </row>
    <row r="640" spans="2:28" x14ac:dyDescent="0.2">
      <c r="C640" s="23">
        <v>1100557393</v>
      </c>
      <c r="E640" s="23">
        <v>30</v>
      </c>
      <c r="F640" s="23" t="s">
        <v>1208</v>
      </c>
      <c r="G640" s="23" t="s">
        <v>1209</v>
      </c>
      <c r="H640" s="24">
        <v>46157</v>
      </c>
      <c r="I640" s="24">
        <v>46157</v>
      </c>
      <c r="J640" s="23" t="s">
        <v>1046</v>
      </c>
      <c r="K640" s="23" t="s">
        <v>1046</v>
      </c>
      <c r="L640" s="23">
        <v>1</v>
      </c>
      <c r="M640" s="23" t="s">
        <v>78</v>
      </c>
      <c r="N640" s="23" t="s">
        <v>78</v>
      </c>
      <c r="O640" s="23">
        <v>186853.49</v>
      </c>
      <c r="P640" s="23" t="s">
        <v>79</v>
      </c>
      <c r="Q640" s="23" t="s">
        <v>83</v>
      </c>
      <c r="R640" s="23">
        <v>11100189</v>
      </c>
      <c r="S640" s="24">
        <v>45945</v>
      </c>
      <c r="T640" s="24">
        <v>45861</v>
      </c>
      <c r="U640" s="24">
        <v>46752</v>
      </c>
      <c r="X640" s="24">
        <v>45736</v>
      </c>
      <c r="Y640" s="23">
        <v>1111</v>
      </c>
      <c r="Z640" s="23">
        <v>11100002</v>
      </c>
      <c r="AA640" s="23">
        <v>330103</v>
      </c>
      <c r="AB640" s="24">
        <v>45861</v>
      </c>
    </row>
    <row r="641" spans="2:28" x14ac:dyDescent="0.2">
      <c r="C641" s="23">
        <v>1100557393</v>
      </c>
      <c r="E641" s="23">
        <v>120</v>
      </c>
      <c r="F641" s="23" t="s">
        <v>84</v>
      </c>
      <c r="G641" s="23" t="s">
        <v>123</v>
      </c>
      <c r="H641" s="24">
        <v>46157</v>
      </c>
      <c r="I641" s="24">
        <v>46094</v>
      </c>
      <c r="J641" s="23" t="s">
        <v>1046</v>
      </c>
      <c r="K641" s="23" t="s">
        <v>1046</v>
      </c>
      <c r="L641" s="23">
        <v>1</v>
      </c>
      <c r="M641" s="23" t="s">
        <v>78</v>
      </c>
      <c r="N641" s="23" t="s">
        <v>78</v>
      </c>
      <c r="O641" s="23">
        <v>0.01</v>
      </c>
      <c r="P641" s="23" t="s">
        <v>79</v>
      </c>
      <c r="Q641" s="23" t="s">
        <v>83</v>
      </c>
      <c r="R641" s="23">
        <v>11100189</v>
      </c>
      <c r="S641" s="24" t="s">
        <v>80</v>
      </c>
      <c r="T641" s="24">
        <v>45861</v>
      </c>
      <c r="U641" s="24">
        <v>46030</v>
      </c>
      <c r="X641" s="24">
        <v>45736</v>
      </c>
      <c r="Y641" s="23">
        <v>1111</v>
      </c>
      <c r="Z641" s="23">
        <v>11100002</v>
      </c>
      <c r="AA641" s="23">
        <v>330103</v>
      </c>
      <c r="AB641" s="24">
        <v>45861</v>
      </c>
    </row>
    <row r="642" spans="2:28" x14ac:dyDescent="0.2">
      <c r="C642" s="23">
        <v>1100557393</v>
      </c>
      <c r="E642" s="23">
        <v>130</v>
      </c>
      <c r="F642" s="23" t="s">
        <v>2456</v>
      </c>
      <c r="G642" s="23" t="s">
        <v>2457</v>
      </c>
      <c r="H642" s="24">
        <v>46157</v>
      </c>
      <c r="I642" s="24">
        <v>47118</v>
      </c>
      <c r="J642" s="23" t="s">
        <v>1046</v>
      </c>
      <c r="K642" s="23" t="s">
        <v>1046</v>
      </c>
      <c r="L642" s="23">
        <v>1</v>
      </c>
      <c r="M642" s="23" t="s">
        <v>78</v>
      </c>
      <c r="N642" s="23" t="s">
        <v>78</v>
      </c>
      <c r="O642" s="23">
        <v>5590</v>
      </c>
      <c r="P642" s="23" t="s">
        <v>79</v>
      </c>
      <c r="Q642" s="23" t="s">
        <v>83</v>
      </c>
      <c r="R642" s="23">
        <v>11100189</v>
      </c>
      <c r="S642" s="24" t="s">
        <v>80</v>
      </c>
      <c r="T642" s="24">
        <v>45861</v>
      </c>
      <c r="U642" s="24">
        <v>47116</v>
      </c>
      <c r="X642" s="24">
        <v>45736</v>
      </c>
      <c r="Y642" s="23">
        <v>1111</v>
      </c>
      <c r="Z642" s="23">
        <v>11100002</v>
      </c>
      <c r="AA642" s="23">
        <v>330103</v>
      </c>
      <c r="AB642" s="24">
        <v>45861</v>
      </c>
    </row>
    <row r="643" spans="2:28" x14ac:dyDescent="0.2">
      <c r="C643" s="23">
        <v>1100557393</v>
      </c>
      <c r="E643" s="23">
        <v>180</v>
      </c>
      <c r="F643" s="23" t="s">
        <v>4224</v>
      </c>
      <c r="G643" s="23" t="s">
        <v>4225</v>
      </c>
      <c r="H643" s="24">
        <v>46157</v>
      </c>
      <c r="I643" s="24">
        <v>47118</v>
      </c>
      <c r="J643" s="23" t="s">
        <v>1046</v>
      </c>
      <c r="K643" s="23" t="s">
        <v>1046</v>
      </c>
      <c r="L643" s="23">
        <v>2</v>
      </c>
      <c r="M643" s="23" t="s">
        <v>78</v>
      </c>
      <c r="N643" s="23" t="s">
        <v>78</v>
      </c>
      <c r="O643" s="23">
        <v>0.02</v>
      </c>
      <c r="P643" s="23" t="s">
        <v>79</v>
      </c>
      <c r="Q643" s="23" t="s">
        <v>83</v>
      </c>
      <c r="R643" s="23">
        <v>11100189</v>
      </c>
      <c r="S643" s="24" t="s">
        <v>80</v>
      </c>
      <c r="T643" s="24">
        <v>45861</v>
      </c>
      <c r="U643" s="24">
        <v>47116</v>
      </c>
      <c r="X643" s="24">
        <v>45736</v>
      </c>
      <c r="Y643" s="23">
        <v>1111</v>
      </c>
      <c r="Z643" s="23">
        <v>11100002</v>
      </c>
      <c r="AA643" s="23">
        <v>330103</v>
      </c>
      <c r="AB643" s="24">
        <v>45861</v>
      </c>
    </row>
    <row r="644" spans="2:28" x14ac:dyDescent="0.2">
      <c r="B644" s="23" t="s">
        <v>81</v>
      </c>
      <c r="C644" s="23">
        <v>1100557393</v>
      </c>
      <c r="H644" s="24">
        <v>46157</v>
      </c>
      <c r="O644" s="23">
        <v>192443.51999999999</v>
      </c>
      <c r="P644" s="23" t="s">
        <v>79</v>
      </c>
    </row>
    <row r="645" spans="2:28" x14ac:dyDescent="0.2">
      <c r="C645" s="23">
        <v>1100568941</v>
      </c>
      <c r="E645" s="23">
        <v>10</v>
      </c>
      <c r="F645" s="23" t="s">
        <v>1339</v>
      </c>
      <c r="G645" s="23" t="s">
        <v>1340</v>
      </c>
      <c r="H645" s="24">
        <v>46157</v>
      </c>
      <c r="I645" s="24">
        <v>46157</v>
      </c>
      <c r="J645" s="23" t="s">
        <v>290</v>
      </c>
      <c r="K645" s="23" t="s">
        <v>290</v>
      </c>
      <c r="L645" s="23">
        <v>1</v>
      </c>
      <c r="M645" s="23" t="s">
        <v>78</v>
      </c>
      <c r="N645" s="23" t="s">
        <v>78</v>
      </c>
      <c r="O645" s="23">
        <v>27788</v>
      </c>
      <c r="P645" s="23" t="s">
        <v>79</v>
      </c>
      <c r="Q645" s="23" t="s">
        <v>83</v>
      </c>
      <c r="R645" s="23">
        <v>11100299</v>
      </c>
      <c r="S645" s="24">
        <v>46069</v>
      </c>
      <c r="T645" s="24">
        <v>45975</v>
      </c>
      <c r="U645" s="24" t="s">
        <v>80</v>
      </c>
      <c r="X645" s="24">
        <v>45957</v>
      </c>
      <c r="Y645" s="23">
        <v>1111</v>
      </c>
      <c r="Z645" s="23">
        <v>11100002</v>
      </c>
      <c r="AA645" s="23">
        <v>5112</v>
      </c>
      <c r="AB645" s="24">
        <v>45975</v>
      </c>
    </row>
    <row r="646" spans="2:28" x14ac:dyDescent="0.2">
      <c r="C646" s="23">
        <v>1100568941</v>
      </c>
      <c r="E646" s="23">
        <v>20</v>
      </c>
      <c r="F646" s="23" t="s">
        <v>1341</v>
      </c>
      <c r="G646" s="23" t="s">
        <v>1340</v>
      </c>
      <c r="H646" s="24">
        <v>46157</v>
      </c>
      <c r="I646" s="24">
        <v>46157</v>
      </c>
      <c r="J646" s="23" t="s">
        <v>290</v>
      </c>
      <c r="K646" s="23" t="s">
        <v>290</v>
      </c>
      <c r="L646" s="23">
        <v>1</v>
      </c>
      <c r="M646" s="23" t="s">
        <v>78</v>
      </c>
      <c r="N646" s="23" t="s">
        <v>78</v>
      </c>
      <c r="O646" s="23">
        <v>27788</v>
      </c>
      <c r="P646" s="23" t="s">
        <v>79</v>
      </c>
      <c r="Q646" s="23" t="s">
        <v>83</v>
      </c>
      <c r="R646" s="23">
        <v>11100299</v>
      </c>
      <c r="S646" s="24">
        <v>46069</v>
      </c>
      <c r="T646" s="24">
        <v>45975</v>
      </c>
      <c r="U646" s="24" t="s">
        <v>80</v>
      </c>
      <c r="X646" s="24">
        <v>45957</v>
      </c>
      <c r="Y646" s="23">
        <v>1111</v>
      </c>
      <c r="Z646" s="23">
        <v>11100002</v>
      </c>
      <c r="AA646" s="23">
        <v>5112</v>
      </c>
      <c r="AB646" s="24">
        <v>45975</v>
      </c>
    </row>
    <row r="647" spans="2:28" x14ac:dyDescent="0.2">
      <c r="C647" s="23">
        <v>1100568941</v>
      </c>
      <c r="E647" s="23">
        <v>30</v>
      </c>
      <c r="F647" s="23" t="s">
        <v>84</v>
      </c>
      <c r="G647" s="23" t="s">
        <v>123</v>
      </c>
      <c r="H647" s="24">
        <v>46157</v>
      </c>
      <c r="I647" s="24">
        <v>46157</v>
      </c>
      <c r="J647" s="23" t="s">
        <v>290</v>
      </c>
      <c r="K647" s="23" t="s">
        <v>290</v>
      </c>
      <c r="L647" s="23">
        <v>1</v>
      </c>
      <c r="M647" s="23" t="s">
        <v>78</v>
      </c>
      <c r="N647" s="23" t="s">
        <v>78</v>
      </c>
      <c r="O647" s="23">
        <v>0.01</v>
      </c>
      <c r="P647" s="23" t="s">
        <v>79</v>
      </c>
      <c r="Q647" s="23" t="s">
        <v>83</v>
      </c>
      <c r="R647" s="23">
        <v>11100299</v>
      </c>
      <c r="S647" s="24" t="s">
        <v>80</v>
      </c>
      <c r="T647" s="24">
        <v>45975</v>
      </c>
      <c r="U647" s="24" t="s">
        <v>80</v>
      </c>
      <c r="X647" s="24">
        <v>45957</v>
      </c>
      <c r="Y647" s="23">
        <v>1111</v>
      </c>
      <c r="Z647" s="23">
        <v>11100002</v>
      </c>
      <c r="AA647" s="23">
        <v>5112</v>
      </c>
      <c r="AB647" s="24">
        <v>45975</v>
      </c>
    </row>
    <row r="648" spans="2:28" x14ac:dyDescent="0.2">
      <c r="B648" s="23" t="s">
        <v>81</v>
      </c>
      <c r="C648" s="23">
        <v>1100568941</v>
      </c>
      <c r="H648" s="24">
        <v>46157</v>
      </c>
      <c r="O648" s="23">
        <v>55576.01</v>
      </c>
      <c r="P648" s="23" t="s">
        <v>79</v>
      </c>
    </row>
    <row r="649" spans="2:28" x14ac:dyDescent="0.2">
      <c r="C649" s="23">
        <v>1100574382</v>
      </c>
      <c r="E649" s="23">
        <v>10</v>
      </c>
      <c r="F649" s="23" t="s">
        <v>87</v>
      </c>
      <c r="G649" s="23" t="s">
        <v>2458</v>
      </c>
      <c r="H649" s="24">
        <v>46157</v>
      </c>
      <c r="I649" s="24">
        <v>46157</v>
      </c>
      <c r="J649" s="23" t="s">
        <v>2459</v>
      </c>
      <c r="K649" s="23" t="s">
        <v>2459</v>
      </c>
      <c r="L649" s="23">
        <v>3</v>
      </c>
      <c r="M649" s="23" t="s">
        <v>78</v>
      </c>
      <c r="N649" s="23" t="s">
        <v>78</v>
      </c>
      <c r="O649" s="23">
        <v>44970</v>
      </c>
      <c r="P649" s="23" t="s">
        <v>79</v>
      </c>
      <c r="Q649" s="23" t="s">
        <v>83</v>
      </c>
      <c r="R649" s="23">
        <v>11100189</v>
      </c>
      <c r="S649" s="24">
        <v>46120</v>
      </c>
      <c r="T649" s="24">
        <v>46044</v>
      </c>
      <c r="U649" s="24" t="s">
        <v>80</v>
      </c>
      <c r="X649" s="24">
        <v>45961</v>
      </c>
      <c r="Y649" s="23">
        <v>1111</v>
      </c>
      <c r="Z649" s="23">
        <v>11100305</v>
      </c>
      <c r="AA649" s="23">
        <v>391203</v>
      </c>
      <c r="AB649" s="24">
        <v>46043</v>
      </c>
    </row>
    <row r="650" spans="2:28" x14ac:dyDescent="0.2">
      <c r="C650" s="23">
        <v>1100574382</v>
      </c>
      <c r="E650" s="23">
        <v>20</v>
      </c>
      <c r="F650" s="23" t="s">
        <v>84</v>
      </c>
      <c r="G650" s="23" t="s">
        <v>123</v>
      </c>
      <c r="H650" s="24">
        <v>46157</v>
      </c>
      <c r="I650" s="24">
        <v>46157</v>
      </c>
      <c r="J650" s="23" t="s">
        <v>2459</v>
      </c>
      <c r="K650" s="23" t="s">
        <v>2459</v>
      </c>
      <c r="L650" s="23">
        <v>1</v>
      </c>
      <c r="M650" s="23" t="s">
        <v>78</v>
      </c>
      <c r="N650" s="23" t="s">
        <v>78</v>
      </c>
      <c r="O650" s="23">
        <v>0.01</v>
      </c>
      <c r="P650" s="23" t="s">
        <v>79</v>
      </c>
      <c r="Q650" s="23" t="s">
        <v>83</v>
      </c>
      <c r="R650" s="23">
        <v>11100189</v>
      </c>
      <c r="S650" s="24">
        <v>46120</v>
      </c>
      <c r="T650" s="24">
        <v>46044</v>
      </c>
      <c r="U650" s="24" t="s">
        <v>80</v>
      </c>
      <c r="X650" s="24">
        <v>45961</v>
      </c>
      <c r="Y650" s="23">
        <v>1111</v>
      </c>
      <c r="Z650" s="23">
        <v>11100305</v>
      </c>
      <c r="AA650" s="23">
        <v>391203</v>
      </c>
      <c r="AB650" s="24">
        <v>46043</v>
      </c>
    </row>
    <row r="651" spans="2:28" x14ac:dyDescent="0.2">
      <c r="B651" s="23" t="s">
        <v>81</v>
      </c>
      <c r="C651" s="23">
        <v>1100574382</v>
      </c>
      <c r="H651" s="24">
        <v>46157</v>
      </c>
      <c r="O651" s="23">
        <v>44970.01</v>
      </c>
      <c r="P651" s="23" t="s">
        <v>79</v>
      </c>
    </row>
    <row r="652" spans="2:28" x14ac:dyDescent="0.2">
      <c r="C652" s="23">
        <v>1100569276</v>
      </c>
      <c r="E652" s="23">
        <v>10</v>
      </c>
      <c r="F652" s="23" t="s">
        <v>2460</v>
      </c>
      <c r="G652" s="23" t="s">
        <v>547</v>
      </c>
      <c r="H652" s="24">
        <v>46162</v>
      </c>
      <c r="I652" s="24">
        <v>46162</v>
      </c>
      <c r="J652" s="23" t="s">
        <v>1050</v>
      </c>
      <c r="K652" s="23" t="s">
        <v>1050</v>
      </c>
      <c r="L652" s="23">
        <v>1</v>
      </c>
      <c r="M652" s="23" t="s">
        <v>78</v>
      </c>
      <c r="N652" s="23" t="s">
        <v>78</v>
      </c>
      <c r="O652" s="23">
        <v>37540</v>
      </c>
      <c r="P652" s="23" t="s">
        <v>79</v>
      </c>
      <c r="Q652" s="23" t="s">
        <v>83</v>
      </c>
      <c r="R652" s="23">
        <v>11100018</v>
      </c>
      <c r="S652" s="24" t="s">
        <v>80</v>
      </c>
      <c r="T652" s="24">
        <v>45980</v>
      </c>
      <c r="U652" s="24">
        <v>46752</v>
      </c>
      <c r="X652" s="24">
        <v>45972</v>
      </c>
      <c r="Y652" s="23">
        <v>1111</v>
      </c>
      <c r="Z652" s="23">
        <v>11100303</v>
      </c>
      <c r="AA652" s="23">
        <v>330103</v>
      </c>
      <c r="AB652" s="24">
        <v>45980</v>
      </c>
    </row>
    <row r="653" spans="2:28" x14ac:dyDescent="0.2">
      <c r="C653" s="23">
        <v>1100569276</v>
      </c>
      <c r="E653" s="23">
        <v>20</v>
      </c>
      <c r="F653" s="23" t="s">
        <v>84</v>
      </c>
      <c r="G653" s="23" t="s">
        <v>123</v>
      </c>
      <c r="H653" s="24">
        <v>46162</v>
      </c>
      <c r="I653" s="24">
        <v>46162</v>
      </c>
      <c r="J653" s="23" t="s">
        <v>1050</v>
      </c>
      <c r="K653" s="23" t="s">
        <v>1050</v>
      </c>
      <c r="L653" s="23">
        <v>1</v>
      </c>
      <c r="M653" s="23" t="s">
        <v>78</v>
      </c>
      <c r="N653" s="23" t="s">
        <v>78</v>
      </c>
      <c r="O653" s="23">
        <v>0.01</v>
      </c>
      <c r="P653" s="23" t="s">
        <v>79</v>
      </c>
      <c r="Q653" s="23" t="s">
        <v>83</v>
      </c>
      <c r="R653" s="23">
        <v>11100018</v>
      </c>
      <c r="S653" s="24" t="s">
        <v>80</v>
      </c>
      <c r="T653" s="24">
        <v>45980</v>
      </c>
      <c r="U653" s="24">
        <v>46752</v>
      </c>
      <c r="X653" s="24">
        <v>45972</v>
      </c>
      <c r="Y653" s="23">
        <v>1111</v>
      </c>
      <c r="Z653" s="23">
        <v>11100303</v>
      </c>
      <c r="AA653" s="23">
        <v>330103</v>
      </c>
      <c r="AB653" s="24">
        <v>45980</v>
      </c>
    </row>
    <row r="654" spans="2:28" x14ac:dyDescent="0.2">
      <c r="C654" s="23">
        <v>1100569276</v>
      </c>
      <c r="E654" s="23">
        <v>30</v>
      </c>
      <c r="F654" s="23" t="s">
        <v>82</v>
      </c>
      <c r="G654" s="23" t="s">
        <v>139</v>
      </c>
      <c r="H654" s="24">
        <v>46162</v>
      </c>
      <c r="I654" s="24">
        <v>46162</v>
      </c>
      <c r="J654" s="23" t="s">
        <v>1050</v>
      </c>
      <c r="K654" s="23" t="s">
        <v>1050</v>
      </c>
      <c r="L654" s="23">
        <v>1</v>
      </c>
      <c r="M654" s="23" t="s">
        <v>78</v>
      </c>
      <c r="N654" s="23" t="s">
        <v>78</v>
      </c>
      <c r="O654" s="23">
        <v>0.01</v>
      </c>
      <c r="P654" s="23" t="s">
        <v>79</v>
      </c>
      <c r="Q654" s="23" t="s">
        <v>83</v>
      </c>
      <c r="R654" s="23">
        <v>11100018</v>
      </c>
      <c r="S654" s="24" t="s">
        <v>80</v>
      </c>
      <c r="T654" s="24">
        <v>45980</v>
      </c>
      <c r="U654" s="24">
        <v>46752</v>
      </c>
      <c r="X654" s="24">
        <v>45972</v>
      </c>
      <c r="Y654" s="23">
        <v>1111</v>
      </c>
      <c r="Z654" s="23">
        <v>11100303</v>
      </c>
      <c r="AA654" s="23">
        <v>330103</v>
      </c>
      <c r="AB654" s="24">
        <v>45980</v>
      </c>
    </row>
    <row r="655" spans="2:28" x14ac:dyDescent="0.2">
      <c r="B655" s="23" t="s">
        <v>81</v>
      </c>
      <c r="C655" s="23">
        <v>1100569276</v>
      </c>
      <c r="H655" s="24">
        <v>46162</v>
      </c>
      <c r="O655" s="23">
        <v>37540.019999999997</v>
      </c>
      <c r="P655" s="23" t="s">
        <v>79</v>
      </c>
    </row>
    <row r="656" spans="2:28" x14ac:dyDescent="0.2">
      <c r="C656" s="23">
        <v>1100102720</v>
      </c>
      <c r="E656" s="23">
        <v>750</v>
      </c>
      <c r="F656" s="23" t="s">
        <v>1342</v>
      </c>
      <c r="G656" s="23" t="s">
        <v>305</v>
      </c>
      <c r="H656" s="24">
        <v>46163</v>
      </c>
      <c r="I656" s="24">
        <v>46163</v>
      </c>
      <c r="J656" s="23" t="s">
        <v>1343</v>
      </c>
      <c r="K656" s="23" t="s">
        <v>1343</v>
      </c>
      <c r="L656" s="23">
        <v>1</v>
      </c>
      <c r="M656" s="23" t="s">
        <v>78</v>
      </c>
      <c r="N656" s="23" t="s">
        <v>78</v>
      </c>
      <c r="O656" s="23">
        <v>0</v>
      </c>
      <c r="P656" s="23" t="s">
        <v>79</v>
      </c>
      <c r="Q656" s="23" t="s">
        <v>83</v>
      </c>
      <c r="R656" s="23">
        <v>11100008</v>
      </c>
      <c r="S656" s="24" t="s">
        <v>80</v>
      </c>
      <c r="T656" s="24">
        <v>45923</v>
      </c>
      <c r="U656" s="24">
        <v>46751</v>
      </c>
      <c r="X656" s="24">
        <v>45923</v>
      </c>
      <c r="Y656" s="23">
        <v>1111</v>
      </c>
      <c r="Z656" s="23">
        <v>11400912</v>
      </c>
      <c r="AA656" s="23">
        <v>5061</v>
      </c>
      <c r="AB656" s="24">
        <v>45947</v>
      </c>
    </row>
    <row r="657" spans="2:28" x14ac:dyDescent="0.2">
      <c r="C657" s="23">
        <v>1100102720</v>
      </c>
      <c r="E657" s="23">
        <v>800</v>
      </c>
      <c r="F657" s="23" t="s">
        <v>1344</v>
      </c>
      <c r="G657" s="23" t="s">
        <v>1345</v>
      </c>
      <c r="H657" s="24">
        <v>46163</v>
      </c>
      <c r="I657" s="24">
        <v>46163</v>
      </c>
      <c r="J657" s="23" t="s">
        <v>1343</v>
      </c>
      <c r="K657" s="23" t="s">
        <v>1343</v>
      </c>
      <c r="L657" s="23">
        <v>1</v>
      </c>
      <c r="M657" s="23" t="s">
        <v>78</v>
      </c>
      <c r="N657" s="23" t="s">
        <v>78</v>
      </c>
      <c r="O657" s="23">
        <v>62604</v>
      </c>
      <c r="P657" s="23" t="s">
        <v>79</v>
      </c>
      <c r="Q657" s="23" t="s">
        <v>119</v>
      </c>
      <c r="R657" s="23">
        <v>11100008</v>
      </c>
      <c r="S657" s="24">
        <v>46096</v>
      </c>
      <c r="T657" s="24">
        <v>45923</v>
      </c>
      <c r="U657" s="24">
        <v>46751</v>
      </c>
      <c r="X657" s="24">
        <v>45923</v>
      </c>
      <c r="Y657" s="23">
        <v>1111</v>
      </c>
      <c r="Z657" s="23">
        <v>11400912</v>
      </c>
      <c r="AA657" s="23">
        <v>500103</v>
      </c>
      <c r="AB657" s="24">
        <v>45947</v>
      </c>
    </row>
    <row r="658" spans="2:28" x14ac:dyDescent="0.2">
      <c r="B658" s="23" t="s">
        <v>81</v>
      </c>
      <c r="C658" s="23">
        <v>1100102720</v>
      </c>
      <c r="H658" s="24">
        <v>46163</v>
      </c>
      <c r="O658" s="23">
        <v>62604</v>
      </c>
      <c r="P658" s="23" t="s">
        <v>79</v>
      </c>
    </row>
    <row r="659" spans="2:28" x14ac:dyDescent="0.2">
      <c r="C659" s="23">
        <v>1100557606</v>
      </c>
      <c r="E659" s="23">
        <v>10</v>
      </c>
      <c r="F659" s="23" t="s">
        <v>2461</v>
      </c>
      <c r="G659" s="23" t="s">
        <v>2462</v>
      </c>
      <c r="H659" s="24">
        <v>46164</v>
      </c>
      <c r="I659" s="24">
        <v>46164</v>
      </c>
      <c r="J659" s="23" t="s">
        <v>968</v>
      </c>
      <c r="K659" s="23" t="s">
        <v>968</v>
      </c>
      <c r="L659" s="23">
        <v>1</v>
      </c>
      <c r="M659" s="23" t="s">
        <v>78</v>
      </c>
      <c r="N659" s="23" t="s">
        <v>78</v>
      </c>
      <c r="O659" s="23">
        <v>73724</v>
      </c>
      <c r="P659" s="23" t="s">
        <v>79</v>
      </c>
      <c r="Q659" s="23" t="s">
        <v>83</v>
      </c>
      <c r="R659" s="23">
        <v>11100189</v>
      </c>
      <c r="S659" s="24">
        <v>46009</v>
      </c>
      <c r="T659" s="24">
        <v>45863</v>
      </c>
      <c r="U659" s="24" t="s">
        <v>80</v>
      </c>
      <c r="X659" s="24">
        <v>45861</v>
      </c>
      <c r="Y659" s="23">
        <v>1111</v>
      </c>
      <c r="Z659" s="23">
        <v>11100305</v>
      </c>
      <c r="AA659" s="23">
        <v>310103</v>
      </c>
      <c r="AB659" s="24">
        <v>45863</v>
      </c>
    </row>
    <row r="660" spans="2:28" x14ac:dyDescent="0.2">
      <c r="C660" s="23">
        <v>1100557606</v>
      </c>
      <c r="E660" s="23">
        <v>30</v>
      </c>
      <c r="F660" s="23" t="s">
        <v>84</v>
      </c>
      <c r="G660" s="23" t="s">
        <v>123</v>
      </c>
      <c r="H660" s="24">
        <v>46164</v>
      </c>
      <c r="I660" s="24">
        <v>46164</v>
      </c>
      <c r="J660" s="23" t="s">
        <v>968</v>
      </c>
      <c r="K660" s="23" t="s">
        <v>968</v>
      </c>
      <c r="L660" s="23">
        <v>1</v>
      </c>
      <c r="M660" s="23" t="s">
        <v>78</v>
      </c>
      <c r="N660" s="23" t="s">
        <v>78</v>
      </c>
      <c r="O660" s="23">
        <v>0.01</v>
      </c>
      <c r="P660" s="23" t="s">
        <v>79</v>
      </c>
      <c r="Q660" s="23" t="s">
        <v>83</v>
      </c>
      <c r="R660" s="23">
        <v>11100189</v>
      </c>
      <c r="S660" s="24">
        <v>46009</v>
      </c>
      <c r="T660" s="24">
        <v>45863</v>
      </c>
      <c r="U660" s="24" t="s">
        <v>80</v>
      </c>
      <c r="X660" s="24">
        <v>45861</v>
      </c>
      <c r="Y660" s="23">
        <v>1111</v>
      </c>
      <c r="Z660" s="23">
        <v>11100305</v>
      </c>
      <c r="AA660" s="23">
        <v>310103</v>
      </c>
      <c r="AB660" s="24">
        <v>45863</v>
      </c>
    </row>
    <row r="661" spans="2:28" x14ac:dyDescent="0.2">
      <c r="C661" s="23">
        <v>1100557606</v>
      </c>
      <c r="E661" s="23">
        <v>40</v>
      </c>
      <c r="F661" s="23" t="s">
        <v>82</v>
      </c>
      <c r="G661" s="23" t="s">
        <v>139</v>
      </c>
      <c r="H661" s="24">
        <v>46164</v>
      </c>
      <c r="I661" s="24">
        <v>46164</v>
      </c>
      <c r="J661" s="23" t="s">
        <v>968</v>
      </c>
      <c r="K661" s="23" t="s">
        <v>968</v>
      </c>
      <c r="L661" s="23">
        <v>1</v>
      </c>
      <c r="M661" s="23" t="s">
        <v>78</v>
      </c>
      <c r="N661" s="23" t="s">
        <v>78</v>
      </c>
      <c r="O661" s="23">
        <v>0.01</v>
      </c>
      <c r="P661" s="23" t="s">
        <v>79</v>
      </c>
      <c r="Q661" s="23" t="s">
        <v>83</v>
      </c>
      <c r="R661" s="23">
        <v>11100189</v>
      </c>
      <c r="S661" s="24">
        <v>46009</v>
      </c>
      <c r="T661" s="24">
        <v>45863</v>
      </c>
      <c r="U661" s="24" t="s">
        <v>80</v>
      </c>
      <c r="X661" s="24">
        <v>45861</v>
      </c>
      <c r="Y661" s="23">
        <v>1111</v>
      </c>
      <c r="Z661" s="23">
        <v>11100305</v>
      </c>
      <c r="AA661" s="23">
        <v>310103</v>
      </c>
      <c r="AB661" s="24">
        <v>45863</v>
      </c>
    </row>
    <row r="662" spans="2:28" x14ac:dyDescent="0.2">
      <c r="B662" s="23" t="s">
        <v>81</v>
      </c>
      <c r="C662" s="23">
        <v>1100557606</v>
      </c>
      <c r="H662" s="24">
        <v>46164</v>
      </c>
      <c r="O662" s="23">
        <v>73724.02</v>
      </c>
      <c r="P662" s="23" t="s">
        <v>79</v>
      </c>
    </row>
    <row r="663" spans="2:28" x14ac:dyDescent="0.2">
      <c r="C663" s="23">
        <v>1100569354</v>
      </c>
      <c r="E663" s="23">
        <v>10</v>
      </c>
      <c r="F663" s="23" t="s">
        <v>1468</v>
      </c>
      <c r="G663" s="23" t="s">
        <v>1469</v>
      </c>
      <c r="H663" s="24">
        <v>46164</v>
      </c>
      <c r="I663" s="24">
        <v>46164</v>
      </c>
      <c r="J663" s="23" t="s">
        <v>219</v>
      </c>
      <c r="K663" s="23" t="s">
        <v>219</v>
      </c>
      <c r="L663" s="23">
        <v>2</v>
      </c>
      <c r="M663" s="23" t="s">
        <v>78</v>
      </c>
      <c r="N663" s="23" t="s">
        <v>78</v>
      </c>
      <c r="O663" s="23">
        <v>128659.44</v>
      </c>
      <c r="P663" s="23" t="s">
        <v>79</v>
      </c>
      <c r="Q663" s="23" t="s">
        <v>83</v>
      </c>
      <c r="R663" s="23">
        <v>11100008</v>
      </c>
      <c r="S663" s="24">
        <v>46130</v>
      </c>
      <c r="T663" s="24">
        <v>45980</v>
      </c>
      <c r="U663" s="24">
        <v>46129</v>
      </c>
      <c r="X663" s="24">
        <v>45879</v>
      </c>
      <c r="Y663" s="23">
        <v>1111</v>
      </c>
      <c r="Z663" s="23">
        <v>11100002</v>
      </c>
      <c r="AA663" s="23">
        <v>3949</v>
      </c>
      <c r="AB663" s="24">
        <v>45980</v>
      </c>
    </row>
    <row r="664" spans="2:28" x14ac:dyDescent="0.2">
      <c r="B664" s="23" t="s">
        <v>81</v>
      </c>
      <c r="C664" s="23">
        <v>1100569354</v>
      </c>
      <c r="H664" s="24">
        <v>46164</v>
      </c>
      <c r="O664" s="23">
        <v>128659.44</v>
      </c>
      <c r="P664" s="23" t="s">
        <v>79</v>
      </c>
    </row>
    <row r="665" spans="2:28" x14ac:dyDescent="0.2">
      <c r="C665" s="23">
        <v>1100576719</v>
      </c>
      <c r="E665" s="23">
        <v>10</v>
      </c>
      <c r="F665" s="23" t="s">
        <v>2463</v>
      </c>
      <c r="G665" s="23" t="s">
        <v>2464</v>
      </c>
      <c r="H665" s="24">
        <v>46164</v>
      </c>
      <c r="I665" s="24">
        <v>46164</v>
      </c>
      <c r="J665" s="23" t="s">
        <v>386</v>
      </c>
      <c r="K665" s="23" t="s">
        <v>386</v>
      </c>
      <c r="L665" s="23">
        <v>1</v>
      </c>
      <c r="M665" s="23" t="s">
        <v>78</v>
      </c>
      <c r="N665" s="23" t="s">
        <v>78</v>
      </c>
      <c r="O665" s="23">
        <v>0</v>
      </c>
      <c r="P665" s="23" t="s">
        <v>79</v>
      </c>
      <c r="Q665" s="23" t="s">
        <v>83</v>
      </c>
      <c r="R665" s="23">
        <v>11100189</v>
      </c>
      <c r="S665" s="24" t="s">
        <v>80</v>
      </c>
      <c r="T665" s="24">
        <v>46065</v>
      </c>
      <c r="U665" s="24" t="s">
        <v>80</v>
      </c>
      <c r="X665" s="24">
        <v>46065</v>
      </c>
      <c r="Y665" s="23">
        <v>1111</v>
      </c>
      <c r="Z665" s="23">
        <v>11100303</v>
      </c>
      <c r="AA665" s="23">
        <v>514903</v>
      </c>
      <c r="AB665" s="24">
        <v>46065</v>
      </c>
    </row>
    <row r="666" spans="2:28" x14ac:dyDescent="0.2">
      <c r="C666" s="23">
        <v>1100576719</v>
      </c>
      <c r="E666" s="23">
        <v>20</v>
      </c>
      <c r="F666" s="23" t="s">
        <v>2465</v>
      </c>
      <c r="G666" s="23" t="s">
        <v>2466</v>
      </c>
      <c r="H666" s="24">
        <v>46164</v>
      </c>
      <c r="I666" s="24">
        <v>46164</v>
      </c>
      <c r="J666" s="23" t="s">
        <v>386</v>
      </c>
      <c r="K666" s="23" t="s">
        <v>386</v>
      </c>
      <c r="L666" s="23">
        <v>1</v>
      </c>
      <c r="M666" s="23" t="s">
        <v>78</v>
      </c>
      <c r="N666" s="23" t="s">
        <v>78</v>
      </c>
      <c r="O666" s="23">
        <v>0</v>
      </c>
      <c r="P666" s="23" t="s">
        <v>79</v>
      </c>
      <c r="Q666" s="23" t="s">
        <v>83</v>
      </c>
      <c r="R666" s="23">
        <v>11100189</v>
      </c>
      <c r="S666" s="24" t="s">
        <v>80</v>
      </c>
      <c r="T666" s="24">
        <v>46065</v>
      </c>
      <c r="U666" s="24" t="s">
        <v>80</v>
      </c>
      <c r="X666" s="24">
        <v>46065</v>
      </c>
      <c r="Y666" s="23">
        <v>1111</v>
      </c>
      <c r="Z666" s="23">
        <v>11100303</v>
      </c>
      <c r="AA666" s="23">
        <v>514903</v>
      </c>
      <c r="AB666" s="24">
        <v>46065</v>
      </c>
    </row>
    <row r="667" spans="2:28" x14ac:dyDescent="0.2">
      <c r="C667" s="23">
        <v>1100576719</v>
      </c>
      <c r="E667" s="23">
        <v>30</v>
      </c>
      <c r="F667" s="23" t="s">
        <v>2467</v>
      </c>
      <c r="G667" s="23" t="s">
        <v>2468</v>
      </c>
      <c r="H667" s="24">
        <v>46164</v>
      </c>
      <c r="I667" s="24">
        <v>46164</v>
      </c>
      <c r="J667" s="23" t="s">
        <v>386</v>
      </c>
      <c r="K667" s="23" t="s">
        <v>386</v>
      </c>
      <c r="L667" s="23">
        <v>1</v>
      </c>
      <c r="M667" s="23" t="s">
        <v>566</v>
      </c>
      <c r="N667" s="23" t="s">
        <v>566</v>
      </c>
      <c r="O667" s="23">
        <v>0</v>
      </c>
      <c r="P667" s="23" t="s">
        <v>79</v>
      </c>
      <c r="Q667" s="23" t="s">
        <v>83</v>
      </c>
      <c r="R667" s="23">
        <v>11100189</v>
      </c>
      <c r="S667" s="24" t="s">
        <v>80</v>
      </c>
      <c r="T667" s="24">
        <v>46065</v>
      </c>
      <c r="U667" s="24" t="s">
        <v>80</v>
      </c>
      <c r="X667" s="24">
        <v>46065</v>
      </c>
      <c r="Y667" s="23">
        <v>1111</v>
      </c>
      <c r="Z667" s="23">
        <v>11100303</v>
      </c>
      <c r="AA667" s="23">
        <v>514903</v>
      </c>
      <c r="AB667" s="24">
        <v>46065</v>
      </c>
    </row>
    <row r="668" spans="2:28" x14ac:dyDescent="0.2">
      <c r="B668" s="23" t="s">
        <v>81</v>
      </c>
      <c r="C668" s="23">
        <v>1100576719</v>
      </c>
      <c r="H668" s="24">
        <v>46164</v>
      </c>
      <c r="O668" s="23">
        <v>0</v>
      </c>
      <c r="P668" s="23" t="s">
        <v>79</v>
      </c>
    </row>
    <row r="669" spans="2:28" x14ac:dyDescent="0.2">
      <c r="C669" s="23">
        <v>1100576780</v>
      </c>
      <c r="E669" s="23">
        <v>10</v>
      </c>
      <c r="F669" s="23" t="s">
        <v>300</v>
      </c>
      <c r="G669" s="23" t="s">
        <v>301</v>
      </c>
      <c r="H669" s="24">
        <v>46164</v>
      </c>
      <c r="I669" s="24">
        <v>46164</v>
      </c>
      <c r="J669" s="23" t="s">
        <v>157</v>
      </c>
      <c r="K669" s="23" t="s">
        <v>157</v>
      </c>
      <c r="L669" s="23">
        <v>1</v>
      </c>
      <c r="M669" s="23" t="s">
        <v>78</v>
      </c>
      <c r="N669" s="23" t="s">
        <v>78</v>
      </c>
      <c r="O669" s="23">
        <v>19780</v>
      </c>
      <c r="P669" s="23" t="s">
        <v>79</v>
      </c>
      <c r="Q669" s="23" t="s">
        <v>83</v>
      </c>
      <c r="R669" s="23">
        <v>11100299</v>
      </c>
      <c r="S669" s="24">
        <v>46192</v>
      </c>
      <c r="T669" s="24">
        <v>46066</v>
      </c>
      <c r="U669" s="24" t="s">
        <v>80</v>
      </c>
      <c r="X669" s="24">
        <v>46064</v>
      </c>
      <c r="Y669" s="23">
        <v>1111</v>
      </c>
      <c r="Z669" s="23">
        <v>11100002</v>
      </c>
      <c r="AA669" s="23">
        <v>5424</v>
      </c>
      <c r="AB669" s="24">
        <v>46066</v>
      </c>
    </row>
    <row r="670" spans="2:28" x14ac:dyDescent="0.2">
      <c r="C670" s="23">
        <v>1100576780</v>
      </c>
      <c r="E670" s="23">
        <v>20</v>
      </c>
      <c r="F670" s="23" t="s">
        <v>300</v>
      </c>
      <c r="G670" s="23" t="s">
        <v>301</v>
      </c>
      <c r="H670" s="24">
        <v>46164</v>
      </c>
      <c r="I670" s="24">
        <v>46164</v>
      </c>
      <c r="J670" s="23" t="s">
        <v>157</v>
      </c>
      <c r="K670" s="23" t="s">
        <v>157</v>
      </c>
      <c r="L670" s="23">
        <v>1</v>
      </c>
      <c r="M670" s="23" t="s">
        <v>78</v>
      </c>
      <c r="N670" s="23" t="s">
        <v>78</v>
      </c>
      <c r="O670" s="23">
        <v>19780</v>
      </c>
      <c r="P670" s="23" t="s">
        <v>79</v>
      </c>
      <c r="Q670" s="23" t="s">
        <v>83</v>
      </c>
      <c r="R670" s="23">
        <v>11100299</v>
      </c>
      <c r="S670" s="24" t="s">
        <v>80</v>
      </c>
      <c r="T670" s="24">
        <v>46066</v>
      </c>
      <c r="U670" s="24" t="s">
        <v>80</v>
      </c>
      <c r="X670" s="24">
        <v>46064</v>
      </c>
      <c r="Y670" s="23">
        <v>1111</v>
      </c>
      <c r="Z670" s="23">
        <v>11100002</v>
      </c>
      <c r="AA670" s="23">
        <v>5424</v>
      </c>
      <c r="AB670" s="24">
        <v>46066</v>
      </c>
    </row>
    <row r="671" spans="2:28" x14ac:dyDescent="0.2">
      <c r="C671" s="23">
        <v>1100576780</v>
      </c>
      <c r="E671" s="23">
        <v>30</v>
      </c>
      <c r="F671" s="23" t="s">
        <v>300</v>
      </c>
      <c r="G671" s="23" t="s">
        <v>301</v>
      </c>
      <c r="H671" s="24">
        <v>46164</v>
      </c>
      <c r="I671" s="24">
        <v>46178</v>
      </c>
      <c r="J671" s="23" t="s">
        <v>157</v>
      </c>
      <c r="K671" s="23" t="s">
        <v>157</v>
      </c>
      <c r="L671" s="23">
        <v>1</v>
      </c>
      <c r="M671" s="23" t="s">
        <v>78</v>
      </c>
      <c r="N671" s="23" t="s">
        <v>78</v>
      </c>
      <c r="O671" s="23">
        <v>19780</v>
      </c>
      <c r="P671" s="23" t="s">
        <v>79</v>
      </c>
      <c r="Q671" s="23" t="s">
        <v>83</v>
      </c>
      <c r="R671" s="23">
        <v>11100299</v>
      </c>
      <c r="S671" s="24" t="s">
        <v>80</v>
      </c>
      <c r="T671" s="24">
        <v>46066</v>
      </c>
      <c r="U671" s="24" t="s">
        <v>80</v>
      </c>
      <c r="X671" s="24">
        <v>46064</v>
      </c>
      <c r="Y671" s="23">
        <v>1111</v>
      </c>
      <c r="Z671" s="23">
        <v>11100002</v>
      </c>
      <c r="AA671" s="23">
        <v>5424</v>
      </c>
      <c r="AB671" s="24">
        <v>46066</v>
      </c>
    </row>
    <row r="672" spans="2:28" x14ac:dyDescent="0.2">
      <c r="C672" s="23">
        <v>1100576780</v>
      </c>
      <c r="E672" s="23">
        <v>40</v>
      </c>
      <c r="F672" s="23" t="s">
        <v>300</v>
      </c>
      <c r="G672" s="23" t="s">
        <v>301</v>
      </c>
      <c r="H672" s="24">
        <v>46164</v>
      </c>
      <c r="I672" s="24">
        <v>46178</v>
      </c>
      <c r="J672" s="23" t="s">
        <v>157</v>
      </c>
      <c r="K672" s="23" t="s">
        <v>157</v>
      </c>
      <c r="L672" s="23">
        <v>1</v>
      </c>
      <c r="M672" s="23" t="s">
        <v>78</v>
      </c>
      <c r="N672" s="23" t="s">
        <v>78</v>
      </c>
      <c r="O672" s="23">
        <v>19780</v>
      </c>
      <c r="P672" s="23" t="s">
        <v>79</v>
      </c>
      <c r="Q672" s="23" t="s">
        <v>83</v>
      </c>
      <c r="R672" s="23">
        <v>11100299</v>
      </c>
      <c r="S672" s="24" t="s">
        <v>80</v>
      </c>
      <c r="T672" s="24">
        <v>46066</v>
      </c>
      <c r="U672" s="24" t="s">
        <v>80</v>
      </c>
      <c r="X672" s="24">
        <v>46064</v>
      </c>
      <c r="Y672" s="23">
        <v>1111</v>
      </c>
      <c r="Z672" s="23">
        <v>11100002</v>
      </c>
      <c r="AA672" s="23">
        <v>5424</v>
      </c>
      <c r="AB672" s="24">
        <v>46066</v>
      </c>
    </row>
    <row r="673" spans="2:28" x14ac:dyDescent="0.2">
      <c r="C673" s="23">
        <v>1100576780</v>
      </c>
      <c r="E673" s="23">
        <v>50</v>
      </c>
      <c r="F673" s="23" t="s">
        <v>300</v>
      </c>
      <c r="G673" s="23" t="s">
        <v>301</v>
      </c>
      <c r="H673" s="24">
        <v>46164</v>
      </c>
      <c r="I673" s="24">
        <v>46192</v>
      </c>
      <c r="J673" s="23" t="s">
        <v>157</v>
      </c>
      <c r="K673" s="23" t="s">
        <v>157</v>
      </c>
      <c r="L673" s="23">
        <v>1</v>
      </c>
      <c r="M673" s="23" t="s">
        <v>78</v>
      </c>
      <c r="N673" s="23" t="s">
        <v>78</v>
      </c>
      <c r="O673" s="23">
        <v>19780</v>
      </c>
      <c r="P673" s="23" t="s">
        <v>79</v>
      </c>
      <c r="Q673" s="23" t="s">
        <v>83</v>
      </c>
      <c r="R673" s="23">
        <v>11100299</v>
      </c>
      <c r="S673" s="24" t="s">
        <v>80</v>
      </c>
      <c r="T673" s="24">
        <v>46066</v>
      </c>
      <c r="U673" s="24" t="s">
        <v>80</v>
      </c>
      <c r="X673" s="24">
        <v>46064</v>
      </c>
      <c r="Y673" s="23">
        <v>1111</v>
      </c>
      <c r="Z673" s="23">
        <v>11100002</v>
      </c>
      <c r="AA673" s="23">
        <v>5424</v>
      </c>
      <c r="AB673" s="24">
        <v>46066</v>
      </c>
    </row>
    <row r="674" spans="2:28" x14ac:dyDescent="0.2">
      <c r="C674" s="23">
        <v>1100576780</v>
      </c>
      <c r="E674" s="23">
        <v>60</v>
      </c>
      <c r="F674" s="23" t="s">
        <v>300</v>
      </c>
      <c r="G674" s="23" t="s">
        <v>301</v>
      </c>
      <c r="H674" s="24">
        <v>46164</v>
      </c>
      <c r="I674" s="24">
        <v>46192</v>
      </c>
      <c r="J674" s="23" t="s">
        <v>157</v>
      </c>
      <c r="K674" s="23" t="s">
        <v>157</v>
      </c>
      <c r="L674" s="23">
        <v>1</v>
      </c>
      <c r="M674" s="23" t="s">
        <v>78</v>
      </c>
      <c r="N674" s="23" t="s">
        <v>78</v>
      </c>
      <c r="O674" s="23">
        <v>19780</v>
      </c>
      <c r="P674" s="23" t="s">
        <v>79</v>
      </c>
      <c r="Q674" s="23" t="s">
        <v>83</v>
      </c>
      <c r="R674" s="23">
        <v>11100299</v>
      </c>
      <c r="S674" s="24" t="s">
        <v>80</v>
      </c>
      <c r="T674" s="24">
        <v>46066</v>
      </c>
      <c r="U674" s="24" t="s">
        <v>80</v>
      </c>
      <c r="X674" s="24">
        <v>46064</v>
      </c>
      <c r="Y674" s="23">
        <v>1111</v>
      </c>
      <c r="Z674" s="23">
        <v>11100002</v>
      </c>
      <c r="AA674" s="23">
        <v>5424</v>
      </c>
      <c r="AB674" s="24">
        <v>46066</v>
      </c>
    </row>
    <row r="675" spans="2:28" x14ac:dyDescent="0.2">
      <c r="B675" s="23" t="s">
        <v>81</v>
      </c>
      <c r="C675" s="23">
        <v>1100576780</v>
      </c>
      <c r="H675" s="24">
        <v>46164</v>
      </c>
      <c r="O675" s="23">
        <v>118680</v>
      </c>
      <c r="P675" s="23" t="s">
        <v>79</v>
      </c>
    </row>
    <row r="676" spans="2:28" x14ac:dyDescent="0.2">
      <c r="C676" s="23">
        <v>1100576796</v>
      </c>
      <c r="E676" s="23">
        <v>10</v>
      </c>
      <c r="F676" s="23" t="s">
        <v>976</v>
      </c>
      <c r="G676" s="23" t="s">
        <v>977</v>
      </c>
      <c r="H676" s="24">
        <v>46164</v>
      </c>
      <c r="I676" s="24">
        <v>46164</v>
      </c>
      <c r="J676" s="23" t="s">
        <v>157</v>
      </c>
      <c r="K676" s="23" t="s">
        <v>157</v>
      </c>
      <c r="L676" s="23">
        <v>1</v>
      </c>
      <c r="M676" s="23" t="s">
        <v>78</v>
      </c>
      <c r="N676" s="23" t="s">
        <v>78</v>
      </c>
      <c r="O676" s="23">
        <v>18296</v>
      </c>
      <c r="P676" s="23" t="s">
        <v>79</v>
      </c>
      <c r="Q676" s="23" t="s">
        <v>83</v>
      </c>
      <c r="R676" s="23">
        <v>11100176</v>
      </c>
      <c r="S676" s="24">
        <v>46203</v>
      </c>
      <c r="T676" s="24">
        <v>46066</v>
      </c>
      <c r="U676" s="24" t="s">
        <v>80</v>
      </c>
      <c r="X676" s="24">
        <v>46064</v>
      </c>
      <c r="Y676" s="23">
        <v>1111</v>
      </c>
      <c r="Z676" s="23">
        <v>11100002</v>
      </c>
      <c r="AA676" s="23">
        <v>5424</v>
      </c>
      <c r="AB676" s="24">
        <v>46066</v>
      </c>
    </row>
    <row r="677" spans="2:28" x14ac:dyDescent="0.2">
      <c r="C677" s="23">
        <v>1100576796</v>
      </c>
      <c r="E677" s="23">
        <v>20</v>
      </c>
      <c r="F677" s="23" t="s">
        <v>976</v>
      </c>
      <c r="G677" s="23" t="s">
        <v>977</v>
      </c>
      <c r="H677" s="24">
        <v>46164</v>
      </c>
      <c r="I677" s="24">
        <v>46164</v>
      </c>
      <c r="J677" s="23" t="s">
        <v>157</v>
      </c>
      <c r="K677" s="23" t="s">
        <v>157</v>
      </c>
      <c r="L677" s="23">
        <v>1</v>
      </c>
      <c r="M677" s="23" t="s">
        <v>78</v>
      </c>
      <c r="N677" s="23" t="s">
        <v>78</v>
      </c>
      <c r="O677" s="23">
        <v>18296</v>
      </c>
      <c r="P677" s="23" t="s">
        <v>79</v>
      </c>
      <c r="Q677" s="23" t="s">
        <v>83</v>
      </c>
      <c r="R677" s="23">
        <v>11100176</v>
      </c>
      <c r="S677" s="24">
        <v>46203</v>
      </c>
      <c r="T677" s="24">
        <v>46066</v>
      </c>
      <c r="U677" s="24" t="s">
        <v>80</v>
      </c>
      <c r="X677" s="24">
        <v>46064</v>
      </c>
      <c r="Y677" s="23">
        <v>1111</v>
      </c>
      <c r="Z677" s="23">
        <v>11100002</v>
      </c>
      <c r="AA677" s="23">
        <v>5424</v>
      </c>
      <c r="AB677" s="24">
        <v>46066</v>
      </c>
    </row>
    <row r="678" spans="2:28" x14ac:dyDescent="0.2">
      <c r="C678" s="23">
        <v>1100576796</v>
      </c>
      <c r="E678" s="23">
        <v>30</v>
      </c>
      <c r="F678" s="23" t="s">
        <v>976</v>
      </c>
      <c r="G678" s="23" t="s">
        <v>977</v>
      </c>
      <c r="H678" s="24">
        <v>46164</v>
      </c>
      <c r="I678" s="24">
        <v>46178</v>
      </c>
      <c r="J678" s="23" t="s">
        <v>157</v>
      </c>
      <c r="K678" s="23" t="s">
        <v>157</v>
      </c>
      <c r="L678" s="23">
        <v>1</v>
      </c>
      <c r="M678" s="23" t="s">
        <v>78</v>
      </c>
      <c r="N678" s="23" t="s">
        <v>78</v>
      </c>
      <c r="O678" s="23">
        <v>18296</v>
      </c>
      <c r="P678" s="23" t="s">
        <v>79</v>
      </c>
      <c r="Q678" s="23" t="s">
        <v>83</v>
      </c>
      <c r="R678" s="23">
        <v>11100176</v>
      </c>
      <c r="S678" s="24">
        <v>46203</v>
      </c>
      <c r="T678" s="24">
        <v>46066</v>
      </c>
      <c r="U678" s="24" t="s">
        <v>80</v>
      </c>
      <c r="X678" s="24">
        <v>46064</v>
      </c>
      <c r="Y678" s="23">
        <v>1111</v>
      </c>
      <c r="Z678" s="23">
        <v>11100002</v>
      </c>
      <c r="AA678" s="23">
        <v>5424</v>
      </c>
      <c r="AB678" s="24">
        <v>46066</v>
      </c>
    </row>
    <row r="679" spans="2:28" x14ac:dyDescent="0.2">
      <c r="C679" s="23">
        <v>1100576796</v>
      </c>
      <c r="E679" s="23">
        <v>40</v>
      </c>
      <c r="F679" s="23" t="s">
        <v>976</v>
      </c>
      <c r="G679" s="23" t="s">
        <v>977</v>
      </c>
      <c r="H679" s="24">
        <v>46164</v>
      </c>
      <c r="I679" s="24">
        <v>46178</v>
      </c>
      <c r="J679" s="23" t="s">
        <v>157</v>
      </c>
      <c r="K679" s="23" t="s">
        <v>157</v>
      </c>
      <c r="L679" s="23">
        <v>1</v>
      </c>
      <c r="M679" s="23" t="s">
        <v>78</v>
      </c>
      <c r="N679" s="23" t="s">
        <v>78</v>
      </c>
      <c r="O679" s="23">
        <v>18296</v>
      </c>
      <c r="P679" s="23" t="s">
        <v>79</v>
      </c>
      <c r="Q679" s="23" t="s">
        <v>83</v>
      </c>
      <c r="R679" s="23">
        <v>11100176</v>
      </c>
      <c r="S679" s="24">
        <v>46203</v>
      </c>
      <c r="T679" s="24">
        <v>46066</v>
      </c>
      <c r="U679" s="24" t="s">
        <v>80</v>
      </c>
      <c r="X679" s="24">
        <v>46064</v>
      </c>
      <c r="Y679" s="23">
        <v>1111</v>
      </c>
      <c r="Z679" s="23">
        <v>11100002</v>
      </c>
      <c r="AA679" s="23">
        <v>5424</v>
      </c>
      <c r="AB679" s="24">
        <v>46066</v>
      </c>
    </row>
    <row r="680" spans="2:28" x14ac:dyDescent="0.2">
      <c r="C680" s="23">
        <v>1100576796</v>
      </c>
      <c r="E680" s="23">
        <v>50</v>
      </c>
      <c r="F680" s="23" t="s">
        <v>976</v>
      </c>
      <c r="G680" s="23" t="s">
        <v>977</v>
      </c>
      <c r="H680" s="24">
        <v>46164</v>
      </c>
      <c r="I680" s="24">
        <v>46192</v>
      </c>
      <c r="J680" s="23" t="s">
        <v>157</v>
      </c>
      <c r="K680" s="23" t="s">
        <v>157</v>
      </c>
      <c r="L680" s="23">
        <v>1</v>
      </c>
      <c r="M680" s="23" t="s">
        <v>78</v>
      </c>
      <c r="N680" s="23" t="s">
        <v>78</v>
      </c>
      <c r="O680" s="23">
        <v>18296</v>
      </c>
      <c r="P680" s="23" t="s">
        <v>79</v>
      </c>
      <c r="Q680" s="23" t="s">
        <v>83</v>
      </c>
      <c r="R680" s="23">
        <v>11100176</v>
      </c>
      <c r="S680" s="24">
        <v>46203</v>
      </c>
      <c r="T680" s="24">
        <v>46066</v>
      </c>
      <c r="U680" s="24" t="s">
        <v>80</v>
      </c>
      <c r="X680" s="24">
        <v>46064</v>
      </c>
      <c r="Y680" s="23">
        <v>1111</v>
      </c>
      <c r="Z680" s="23">
        <v>11100002</v>
      </c>
      <c r="AA680" s="23">
        <v>5424</v>
      </c>
      <c r="AB680" s="24">
        <v>46066</v>
      </c>
    </row>
    <row r="681" spans="2:28" x14ac:dyDescent="0.2">
      <c r="C681" s="23">
        <v>1100576796</v>
      </c>
      <c r="E681" s="23">
        <v>60</v>
      </c>
      <c r="F681" s="23" t="s">
        <v>976</v>
      </c>
      <c r="G681" s="23" t="s">
        <v>977</v>
      </c>
      <c r="H681" s="24">
        <v>46164</v>
      </c>
      <c r="I681" s="24">
        <v>46192</v>
      </c>
      <c r="J681" s="23" t="s">
        <v>157</v>
      </c>
      <c r="K681" s="23" t="s">
        <v>157</v>
      </c>
      <c r="L681" s="23">
        <v>1</v>
      </c>
      <c r="M681" s="23" t="s">
        <v>78</v>
      </c>
      <c r="N681" s="23" t="s">
        <v>78</v>
      </c>
      <c r="O681" s="23">
        <v>18296</v>
      </c>
      <c r="P681" s="23" t="s">
        <v>79</v>
      </c>
      <c r="Q681" s="23" t="s">
        <v>83</v>
      </c>
      <c r="R681" s="23">
        <v>11100176</v>
      </c>
      <c r="S681" s="24">
        <v>46203</v>
      </c>
      <c r="T681" s="24">
        <v>46066</v>
      </c>
      <c r="U681" s="24" t="s">
        <v>80</v>
      </c>
      <c r="X681" s="24">
        <v>46064</v>
      </c>
      <c r="Y681" s="23">
        <v>1111</v>
      </c>
      <c r="Z681" s="23">
        <v>11100002</v>
      </c>
      <c r="AA681" s="23">
        <v>5424</v>
      </c>
      <c r="AB681" s="24">
        <v>46066</v>
      </c>
    </row>
    <row r="682" spans="2:28" x14ac:dyDescent="0.2">
      <c r="B682" s="23" t="s">
        <v>81</v>
      </c>
      <c r="C682" s="23">
        <v>1100576796</v>
      </c>
      <c r="H682" s="24">
        <v>46164</v>
      </c>
      <c r="O682" s="23">
        <v>109776</v>
      </c>
      <c r="P682" s="23" t="s">
        <v>79</v>
      </c>
    </row>
    <row r="683" spans="2:28" x14ac:dyDescent="0.2">
      <c r="C683" s="23">
        <v>1100572001</v>
      </c>
      <c r="E683" s="23">
        <v>10</v>
      </c>
      <c r="F683" s="23" t="s">
        <v>87</v>
      </c>
      <c r="G683" s="23" t="s">
        <v>1406</v>
      </c>
      <c r="H683" s="24">
        <v>46167</v>
      </c>
      <c r="I683" s="24">
        <v>46167</v>
      </c>
      <c r="J683" s="23" t="s">
        <v>821</v>
      </c>
      <c r="K683" s="23" t="s">
        <v>821</v>
      </c>
      <c r="L683" s="23">
        <v>1</v>
      </c>
      <c r="M683" s="23" t="s">
        <v>78</v>
      </c>
      <c r="N683" s="23" t="s">
        <v>78</v>
      </c>
      <c r="O683" s="23">
        <v>63609</v>
      </c>
      <c r="P683" s="23" t="s">
        <v>79</v>
      </c>
      <c r="Q683" s="23" t="s">
        <v>83</v>
      </c>
      <c r="R683" s="23">
        <v>11100008</v>
      </c>
      <c r="S683" s="24">
        <v>46104</v>
      </c>
      <c r="T683" s="24">
        <v>46009</v>
      </c>
      <c r="U683" s="24">
        <v>46752</v>
      </c>
      <c r="X683" s="24">
        <v>46001</v>
      </c>
      <c r="Y683" s="23">
        <v>1111</v>
      </c>
      <c r="Z683" s="23">
        <v>11100305</v>
      </c>
      <c r="AA683" s="23">
        <v>510103</v>
      </c>
      <c r="AB683" s="24">
        <v>46009</v>
      </c>
    </row>
    <row r="684" spans="2:28" x14ac:dyDescent="0.2">
      <c r="C684" s="23">
        <v>1100572001</v>
      </c>
      <c r="E684" s="23">
        <v>20</v>
      </c>
      <c r="F684" s="23" t="s">
        <v>84</v>
      </c>
      <c r="G684" s="23" t="s">
        <v>123</v>
      </c>
      <c r="H684" s="24">
        <v>46167</v>
      </c>
      <c r="I684" s="24">
        <v>46167</v>
      </c>
      <c r="J684" s="23" t="s">
        <v>821</v>
      </c>
      <c r="K684" s="23" t="s">
        <v>821</v>
      </c>
      <c r="L684" s="23">
        <v>1</v>
      </c>
      <c r="M684" s="23" t="s">
        <v>78</v>
      </c>
      <c r="N684" s="23" t="s">
        <v>78</v>
      </c>
      <c r="O684" s="23">
        <v>0.01</v>
      </c>
      <c r="P684" s="23" t="s">
        <v>79</v>
      </c>
      <c r="Q684" s="23" t="s">
        <v>83</v>
      </c>
      <c r="R684" s="23">
        <v>11100008</v>
      </c>
      <c r="S684" s="24">
        <v>46104</v>
      </c>
      <c r="T684" s="24">
        <v>46009</v>
      </c>
      <c r="U684" s="24">
        <v>46752</v>
      </c>
      <c r="X684" s="24">
        <v>46001</v>
      </c>
      <c r="Y684" s="23">
        <v>1111</v>
      </c>
      <c r="Z684" s="23">
        <v>11100305</v>
      </c>
      <c r="AA684" s="23">
        <v>510103</v>
      </c>
      <c r="AB684" s="24">
        <v>46009</v>
      </c>
    </row>
    <row r="685" spans="2:28" x14ac:dyDescent="0.2">
      <c r="C685" s="23">
        <v>1100572001</v>
      </c>
      <c r="E685" s="23">
        <v>30</v>
      </c>
      <c r="F685" s="23" t="s">
        <v>82</v>
      </c>
      <c r="G685" s="23" t="s">
        <v>139</v>
      </c>
      <c r="H685" s="24">
        <v>46167</v>
      </c>
      <c r="I685" s="24">
        <v>46167</v>
      </c>
      <c r="J685" s="23" t="s">
        <v>821</v>
      </c>
      <c r="K685" s="23" t="s">
        <v>821</v>
      </c>
      <c r="L685" s="23">
        <v>1</v>
      </c>
      <c r="M685" s="23" t="s">
        <v>78</v>
      </c>
      <c r="N685" s="23" t="s">
        <v>78</v>
      </c>
      <c r="O685" s="23">
        <v>0.01</v>
      </c>
      <c r="P685" s="23" t="s">
        <v>79</v>
      </c>
      <c r="Q685" s="23" t="s">
        <v>83</v>
      </c>
      <c r="R685" s="23">
        <v>11100008</v>
      </c>
      <c r="S685" s="24" t="s">
        <v>80</v>
      </c>
      <c r="T685" s="24">
        <v>46009</v>
      </c>
      <c r="U685" s="24">
        <v>46752</v>
      </c>
      <c r="X685" s="24">
        <v>46001</v>
      </c>
      <c r="Y685" s="23">
        <v>1111</v>
      </c>
      <c r="Z685" s="23">
        <v>11100305</v>
      </c>
      <c r="AA685" s="23">
        <v>510103</v>
      </c>
      <c r="AB685" s="24">
        <v>46009</v>
      </c>
    </row>
    <row r="686" spans="2:28" x14ac:dyDescent="0.2">
      <c r="B686" s="23" t="s">
        <v>81</v>
      </c>
      <c r="C686" s="23">
        <v>1100572001</v>
      </c>
      <c r="H686" s="24">
        <v>46167</v>
      </c>
      <c r="O686" s="23">
        <v>63609.02</v>
      </c>
      <c r="P686" s="23" t="s">
        <v>79</v>
      </c>
    </row>
    <row r="687" spans="2:28" x14ac:dyDescent="0.2">
      <c r="C687" s="23">
        <v>1100570309</v>
      </c>
      <c r="E687" s="23">
        <v>10</v>
      </c>
      <c r="F687" s="23" t="s">
        <v>2469</v>
      </c>
      <c r="G687" s="23" t="s">
        <v>2470</v>
      </c>
      <c r="H687" s="24">
        <v>46170</v>
      </c>
      <c r="I687" s="24">
        <v>46170</v>
      </c>
      <c r="J687" s="23" t="s">
        <v>1433</v>
      </c>
      <c r="K687" s="23" t="s">
        <v>1433</v>
      </c>
      <c r="L687" s="23">
        <v>6</v>
      </c>
      <c r="M687" s="23" t="s">
        <v>78</v>
      </c>
      <c r="N687" s="23" t="s">
        <v>78</v>
      </c>
      <c r="O687" s="23">
        <v>76260</v>
      </c>
      <c r="P687" s="23" t="s">
        <v>79</v>
      </c>
      <c r="Q687" s="23" t="s">
        <v>83</v>
      </c>
      <c r="R687" s="23">
        <v>11100018</v>
      </c>
      <c r="S687" s="24" t="s">
        <v>80</v>
      </c>
      <c r="T687" s="24">
        <v>45993</v>
      </c>
      <c r="U687" s="24" t="s">
        <v>80</v>
      </c>
      <c r="X687" s="24">
        <v>45953</v>
      </c>
      <c r="Y687" s="23">
        <v>1111</v>
      </c>
      <c r="Z687" s="23">
        <v>11100303</v>
      </c>
      <c r="AA687" s="23">
        <v>330103</v>
      </c>
      <c r="AB687" s="24">
        <v>45993</v>
      </c>
    </row>
    <row r="688" spans="2:28" x14ac:dyDescent="0.2">
      <c r="C688" s="23">
        <v>1100570309</v>
      </c>
      <c r="E688" s="23">
        <v>20</v>
      </c>
      <c r="F688" s="23" t="s">
        <v>84</v>
      </c>
      <c r="G688" s="23" t="s">
        <v>123</v>
      </c>
      <c r="H688" s="24">
        <v>46170</v>
      </c>
      <c r="I688" s="24">
        <v>46170</v>
      </c>
      <c r="J688" s="23" t="s">
        <v>1433</v>
      </c>
      <c r="K688" s="23" t="s">
        <v>1433</v>
      </c>
      <c r="L688" s="23">
        <v>1</v>
      </c>
      <c r="M688" s="23" t="s">
        <v>78</v>
      </c>
      <c r="N688" s="23" t="s">
        <v>78</v>
      </c>
      <c r="O688" s="23">
        <v>0.01</v>
      </c>
      <c r="P688" s="23" t="s">
        <v>79</v>
      </c>
      <c r="Q688" s="23" t="s">
        <v>83</v>
      </c>
      <c r="R688" s="23">
        <v>11100018</v>
      </c>
      <c r="S688" s="24" t="s">
        <v>80</v>
      </c>
      <c r="T688" s="24">
        <v>45993</v>
      </c>
      <c r="U688" s="24" t="s">
        <v>80</v>
      </c>
      <c r="X688" s="24">
        <v>45953</v>
      </c>
      <c r="Y688" s="23">
        <v>1111</v>
      </c>
      <c r="Z688" s="23">
        <v>11100303</v>
      </c>
      <c r="AA688" s="23">
        <v>330103</v>
      </c>
      <c r="AB688" s="24">
        <v>45993</v>
      </c>
    </row>
    <row r="689" spans="2:28" x14ac:dyDescent="0.2">
      <c r="C689" s="23">
        <v>1100570309</v>
      </c>
      <c r="E689" s="23">
        <v>30</v>
      </c>
      <c r="F689" s="23" t="s">
        <v>82</v>
      </c>
      <c r="G689" s="23" t="s">
        <v>139</v>
      </c>
      <c r="H689" s="24">
        <v>46170</v>
      </c>
      <c r="I689" s="24">
        <v>46170</v>
      </c>
      <c r="J689" s="23" t="s">
        <v>1433</v>
      </c>
      <c r="K689" s="23" t="s">
        <v>1433</v>
      </c>
      <c r="L689" s="23">
        <v>1</v>
      </c>
      <c r="M689" s="23" t="s">
        <v>78</v>
      </c>
      <c r="N689" s="23" t="s">
        <v>78</v>
      </c>
      <c r="O689" s="23">
        <v>0.01</v>
      </c>
      <c r="P689" s="23" t="s">
        <v>79</v>
      </c>
      <c r="Q689" s="23" t="s">
        <v>83</v>
      </c>
      <c r="R689" s="23">
        <v>11100018</v>
      </c>
      <c r="S689" s="24" t="s">
        <v>80</v>
      </c>
      <c r="T689" s="24">
        <v>45993</v>
      </c>
      <c r="U689" s="24" t="s">
        <v>80</v>
      </c>
      <c r="X689" s="24">
        <v>45953</v>
      </c>
      <c r="Y689" s="23">
        <v>1111</v>
      </c>
      <c r="Z689" s="23">
        <v>11100303</v>
      </c>
      <c r="AA689" s="23">
        <v>330103</v>
      </c>
      <c r="AB689" s="24">
        <v>45993</v>
      </c>
    </row>
    <row r="690" spans="2:28" x14ac:dyDescent="0.2">
      <c r="B690" s="23" t="s">
        <v>81</v>
      </c>
      <c r="C690" s="23">
        <v>1100570309</v>
      </c>
      <c r="H690" s="24">
        <v>46170</v>
      </c>
      <c r="O690" s="23">
        <v>76260.02</v>
      </c>
      <c r="P690" s="23" t="s">
        <v>79</v>
      </c>
    </row>
    <row r="691" spans="2:28" x14ac:dyDescent="0.2">
      <c r="C691" s="23">
        <v>1100555289</v>
      </c>
      <c r="E691" s="23">
        <v>10</v>
      </c>
      <c r="F691" s="23" t="s">
        <v>1434</v>
      </c>
      <c r="G691" s="23" t="s">
        <v>1435</v>
      </c>
      <c r="H691" s="24">
        <v>46171</v>
      </c>
      <c r="I691" s="24">
        <v>46171</v>
      </c>
      <c r="J691" s="23" t="s">
        <v>1043</v>
      </c>
      <c r="K691" s="23" t="s">
        <v>1043</v>
      </c>
      <c r="L691" s="23">
        <v>1</v>
      </c>
      <c r="M691" s="23" t="s">
        <v>78</v>
      </c>
      <c r="N691" s="23" t="s">
        <v>78</v>
      </c>
      <c r="O691" s="23">
        <v>77636</v>
      </c>
      <c r="P691" s="23" t="s">
        <v>79</v>
      </c>
      <c r="Q691" s="23" t="s">
        <v>83</v>
      </c>
      <c r="R691" s="23">
        <v>11100299</v>
      </c>
      <c r="S691" s="24">
        <v>46059</v>
      </c>
      <c r="T691" s="24">
        <v>45838</v>
      </c>
      <c r="U691" s="24">
        <v>46752</v>
      </c>
      <c r="X691" s="24">
        <v>45894</v>
      </c>
      <c r="Y691" s="23">
        <v>1111</v>
      </c>
      <c r="Z691" s="23">
        <v>11100002</v>
      </c>
      <c r="AA691" s="23">
        <v>3902</v>
      </c>
      <c r="AB691" s="24">
        <v>45838</v>
      </c>
    </row>
    <row r="692" spans="2:28" x14ac:dyDescent="0.2">
      <c r="C692" s="23">
        <v>1100555289</v>
      </c>
      <c r="E692" s="23">
        <v>20</v>
      </c>
      <c r="F692" s="23" t="s">
        <v>1436</v>
      </c>
      <c r="G692" s="23" t="s">
        <v>936</v>
      </c>
      <c r="H692" s="24">
        <v>46171</v>
      </c>
      <c r="I692" s="24">
        <v>46171</v>
      </c>
      <c r="J692" s="23" t="s">
        <v>1043</v>
      </c>
      <c r="K692" s="23" t="s">
        <v>1043</v>
      </c>
      <c r="L692" s="23">
        <v>1</v>
      </c>
      <c r="M692" s="23" t="s">
        <v>78</v>
      </c>
      <c r="N692" s="23" t="s">
        <v>78</v>
      </c>
      <c r="O692" s="23">
        <v>0.01</v>
      </c>
      <c r="P692" s="23" t="s">
        <v>79</v>
      </c>
      <c r="Q692" s="23" t="s">
        <v>83</v>
      </c>
      <c r="R692" s="23">
        <v>11100299</v>
      </c>
      <c r="S692" s="24">
        <v>46059</v>
      </c>
      <c r="T692" s="24">
        <v>45838</v>
      </c>
      <c r="U692" s="24">
        <v>46752</v>
      </c>
      <c r="X692" s="24">
        <v>45894</v>
      </c>
      <c r="Y692" s="23">
        <v>1111</v>
      </c>
      <c r="Z692" s="23">
        <v>11100002</v>
      </c>
      <c r="AA692" s="23">
        <v>3902</v>
      </c>
      <c r="AB692" s="24">
        <v>45838</v>
      </c>
    </row>
    <row r="693" spans="2:28" x14ac:dyDescent="0.2">
      <c r="C693" s="23">
        <v>1100555289</v>
      </c>
      <c r="E693" s="23">
        <v>30</v>
      </c>
      <c r="F693" s="23" t="s">
        <v>1437</v>
      </c>
      <c r="G693" s="23" t="s">
        <v>1438</v>
      </c>
      <c r="H693" s="24">
        <v>46171</v>
      </c>
      <c r="I693" s="24">
        <v>46171</v>
      </c>
      <c r="J693" s="23" t="s">
        <v>1043</v>
      </c>
      <c r="K693" s="23" t="s">
        <v>1043</v>
      </c>
      <c r="L693" s="23">
        <v>1</v>
      </c>
      <c r="M693" s="23" t="s">
        <v>78</v>
      </c>
      <c r="N693" s="23" t="s">
        <v>78</v>
      </c>
      <c r="O693" s="23">
        <v>78290</v>
      </c>
      <c r="P693" s="23" t="s">
        <v>79</v>
      </c>
      <c r="Q693" s="23" t="s">
        <v>83</v>
      </c>
      <c r="R693" s="23">
        <v>11100299</v>
      </c>
      <c r="S693" s="24">
        <v>46059</v>
      </c>
      <c r="T693" s="24">
        <v>45838</v>
      </c>
      <c r="U693" s="24">
        <v>46752</v>
      </c>
      <c r="X693" s="24">
        <v>45894</v>
      </c>
      <c r="Y693" s="23">
        <v>1111</v>
      </c>
      <c r="Z693" s="23">
        <v>11100002</v>
      </c>
      <c r="AA693" s="23">
        <v>3902</v>
      </c>
      <c r="AB693" s="24">
        <v>45838</v>
      </c>
    </row>
    <row r="694" spans="2:28" x14ac:dyDescent="0.2">
      <c r="C694" s="23">
        <v>1100555289</v>
      </c>
      <c r="E694" s="23">
        <v>40</v>
      </c>
      <c r="F694" s="23" t="s">
        <v>1436</v>
      </c>
      <c r="G694" s="23" t="s">
        <v>936</v>
      </c>
      <c r="H694" s="24">
        <v>46171</v>
      </c>
      <c r="I694" s="24">
        <v>46171</v>
      </c>
      <c r="J694" s="23" t="s">
        <v>1043</v>
      </c>
      <c r="K694" s="23" t="s">
        <v>1043</v>
      </c>
      <c r="L694" s="23">
        <v>1</v>
      </c>
      <c r="M694" s="23" t="s">
        <v>78</v>
      </c>
      <c r="N694" s="23" t="s">
        <v>78</v>
      </c>
      <c r="O694" s="23">
        <v>0.01</v>
      </c>
      <c r="P694" s="23" t="s">
        <v>79</v>
      </c>
      <c r="Q694" s="23" t="s">
        <v>83</v>
      </c>
      <c r="R694" s="23">
        <v>11100299</v>
      </c>
      <c r="S694" s="24">
        <v>46059</v>
      </c>
      <c r="T694" s="24">
        <v>45838</v>
      </c>
      <c r="U694" s="24">
        <v>46752</v>
      </c>
      <c r="X694" s="24">
        <v>45894</v>
      </c>
      <c r="Y694" s="23">
        <v>1111</v>
      </c>
      <c r="Z694" s="23">
        <v>11100002</v>
      </c>
      <c r="AA694" s="23">
        <v>3902</v>
      </c>
      <c r="AB694" s="24">
        <v>45838</v>
      </c>
    </row>
    <row r="695" spans="2:28" x14ac:dyDescent="0.2">
      <c r="C695" s="23">
        <v>1100555289</v>
      </c>
      <c r="E695" s="23">
        <v>50</v>
      </c>
      <c r="F695" s="23" t="s">
        <v>1439</v>
      </c>
      <c r="G695" s="23" t="s">
        <v>1440</v>
      </c>
      <c r="H695" s="24">
        <v>46171</v>
      </c>
      <c r="I695" s="24">
        <v>46171</v>
      </c>
      <c r="J695" s="23" t="s">
        <v>1043</v>
      </c>
      <c r="K695" s="23" t="s">
        <v>1043</v>
      </c>
      <c r="L695" s="23">
        <v>1</v>
      </c>
      <c r="M695" s="23" t="s">
        <v>78</v>
      </c>
      <c r="N695" s="23" t="s">
        <v>78</v>
      </c>
      <c r="O695" s="23">
        <v>99911</v>
      </c>
      <c r="P695" s="23" t="s">
        <v>79</v>
      </c>
      <c r="Q695" s="23" t="s">
        <v>83</v>
      </c>
      <c r="R695" s="23">
        <v>11100299</v>
      </c>
      <c r="S695" s="24">
        <v>46059</v>
      </c>
      <c r="T695" s="24">
        <v>45838</v>
      </c>
      <c r="U695" s="24">
        <v>46752</v>
      </c>
      <c r="X695" s="24">
        <v>45894</v>
      </c>
      <c r="Y695" s="23">
        <v>1111</v>
      </c>
      <c r="Z695" s="23">
        <v>11100002</v>
      </c>
      <c r="AA695" s="23">
        <v>3902</v>
      </c>
      <c r="AB695" s="24">
        <v>45838</v>
      </c>
    </row>
    <row r="696" spans="2:28" x14ac:dyDescent="0.2">
      <c r="C696" s="23">
        <v>1100555289</v>
      </c>
      <c r="E696" s="23">
        <v>60</v>
      </c>
      <c r="F696" s="23" t="s">
        <v>1436</v>
      </c>
      <c r="G696" s="23" t="s">
        <v>936</v>
      </c>
      <c r="H696" s="24">
        <v>46171</v>
      </c>
      <c r="I696" s="24">
        <v>46171</v>
      </c>
      <c r="J696" s="23" t="s">
        <v>1043</v>
      </c>
      <c r="K696" s="23" t="s">
        <v>1043</v>
      </c>
      <c r="L696" s="23">
        <v>1</v>
      </c>
      <c r="M696" s="23" t="s">
        <v>78</v>
      </c>
      <c r="N696" s="23" t="s">
        <v>78</v>
      </c>
      <c r="O696" s="23">
        <v>0.01</v>
      </c>
      <c r="P696" s="23" t="s">
        <v>79</v>
      </c>
      <c r="Q696" s="23" t="s">
        <v>83</v>
      </c>
      <c r="R696" s="23">
        <v>11100299</v>
      </c>
      <c r="S696" s="24">
        <v>46059</v>
      </c>
      <c r="T696" s="24">
        <v>45838</v>
      </c>
      <c r="U696" s="24">
        <v>46752</v>
      </c>
      <c r="X696" s="24">
        <v>45894</v>
      </c>
      <c r="Y696" s="23">
        <v>1111</v>
      </c>
      <c r="Z696" s="23">
        <v>11100002</v>
      </c>
      <c r="AA696" s="23">
        <v>3902</v>
      </c>
      <c r="AB696" s="24">
        <v>45838</v>
      </c>
    </row>
    <row r="697" spans="2:28" x14ac:dyDescent="0.2">
      <c r="C697" s="23">
        <v>1100555289</v>
      </c>
      <c r="E697" s="23">
        <v>70</v>
      </c>
      <c r="F697" s="23" t="s">
        <v>1441</v>
      </c>
      <c r="G697" s="23" t="s">
        <v>1440</v>
      </c>
      <c r="H697" s="24">
        <v>46171</v>
      </c>
      <c r="I697" s="24">
        <v>46171</v>
      </c>
      <c r="J697" s="23" t="s">
        <v>1043</v>
      </c>
      <c r="K697" s="23" t="s">
        <v>1043</v>
      </c>
      <c r="L697" s="23">
        <v>1</v>
      </c>
      <c r="M697" s="23" t="s">
        <v>78</v>
      </c>
      <c r="N697" s="23" t="s">
        <v>78</v>
      </c>
      <c r="O697" s="23">
        <v>101870</v>
      </c>
      <c r="P697" s="23" t="s">
        <v>79</v>
      </c>
      <c r="Q697" s="23" t="s">
        <v>83</v>
      </c>
      <c r="R697" s="23">
        <v>11100299</v>
      </c>
      <c r="S697" s="24">
        <v>46059</v>
      </c>
      <c r="T697" s="24">
        <v>45838</v>
      </c>
      <c r="U697" s="24">
        <v>46752</v>
      </c>
      <c r="X697" s="24">
        <v>45894</v>
      </c>
      <c r="Y697" s="23">
        <v>1111</v>
      </c>
      <c r="Z697" s="23">
        <v>11100002</v>
      </c>
      <c r="AA697" s="23">
        <v>3902</v>
      </c>
      <c r="AB697" s="24">
        <v>45838</v>
      </c>
    </row>
    <row r="698" spans="2:28" x14ac:dyDescent="0.2">
      <c r="C698" s="23">
        <v>1100555289</v>
      </c>
      <c r="E698" s="23">
        <v>80</v>
      </c>
      <c r="F698" s="23" t="s">
        <v>1436</v>
      </c>
      <c r="G698" s="23" t="s">
        <v>936</v>
      </c>
      <c r="H698" s="24">
        <v>46171</v>
      </c>
      <c r="I698" s="24">
        <v>46171</v>
      </c>
      <c r="J698" s="23" t="s">
        <v>1043</v>
      </c>
      <c r="K698" s="23" t="s">
        <v>1043</v>
      </c>
      <c r="L698" s="23">
        <v>1</v>
      </c>
      <c r="M698" s="23" t="s">
        <v>78</v>
      </c>
      <c r="N698" s="23" t="s">
        <v>78</v>
      </c>
      <c r="O698" s="23">
        <v>0.01</v>
      </c>
      <c r="P698" s="23" t="s">
        <v>79</v>
      </c>
      <c r="Q698" s="23" t="s">
        <v>83</v>
      </c>
      <c r="R698" s="23">
        <v>11100299</v>
      </c>
      <c r="S698" s="24">
        <v>46059</v>
      </c>
      <c r="T698" s="24">
        <v>45838</v>
      </c>
      <c r="U698" s="24">
        <v>46752</v>
      </c>
      <c r="X698" s="24">
        <v>45894</v>
      </c>
      <c r="Y698" s="23">
        <v>1111</v>
      </c>
      <c r="Z698" s="23">
        <v>11100002</v>
      </c>
      <c r="AA698" s="23">
        <v>3902</v>
      </c>
      <c r="AB698" s="24">
        <v>45838</v>
      </c>
    </row>
    <row r="699" spans="2:28" x14ac:dyDescent="0.2">
      <c r="C699" s="23">
        <v>1100555289</v>
      </c>
      <c r="E699" s="23">
        <v>90</v>
      </c>
      <c r="F699" s="23" t="s">
        <v>1442</v>
      </c>
      <c r="G699" s="23" t="s">
        <v>1443</v>
      </c>
      <c r="H699" s="24">
        <v>46171</v>
      </c>
      <c r="I699" s="24">
        <v>46171</v>
      </c>
      <c r="J699" s="23" t="s">
        <v>1043</v>
      </c>
      <c r="K699" s="23" t="s">
        <v>1043</v>
      </c>
      <c r="L699" s="23">
        <v>1</v>
      </c>
      <c r="M699" s="23" t="s">
        <v>78</v>
      </c>
      <c r="N699" s="23" t="s">
        <v>78</v>
      </c>
      <c r="O699" s="23">
        <v>47359</v>
      </c>
      <c r="P699" s="23" t="s">
        <v>79</v>
      </c>
      <c r="Q699" s="23" t="s">
        <v>83</v>
      </c>
      <c r="R699" s="23">
        <v>11100299</v>
      </c>
      <c r="S699" s="24">
        <v>46059</v>
      </c>
      <c r="T699" s="24">
        <v>45838</v>
      </c>
      <c r="U699" s="24">
        <v>46752</v>
      </c>
      <c r="X699" s="24">
        <v>45894</v>
      </c>
      <c r="Y699" s="23">
        <v>1111</v>
      </c>
      <c r="Z699" s="23">
        <v>11100002</v>
      </c>
      <c r="AA699" s="23">
        <v>3902</v>
      </c>
      <c r="AB699" s="24">
        <v>45838</v>
      </c>
    </row>
    <row r="700" spans="2:28" x14ac:dyDescent="0.2">
      <c r="C700" s="23">
        <v>1100555289</v>
      </c>
      <c r="E700" s="23">
        <v>100</v>
      </c>
      <c r="F700" s="23" t="s">
        <v>88</v>
      </c>
      <c r="G700" s="23" t="s">
        <v>158</v>
      </c>
      <c r="H700" s="24">
        <v>46171</v>
      </c>
      <c r="I700" s="24">
        <v>46171</v>
      </c>
      <c r="J700" s="23" t="s">
        <v>1043</v>
      </c>
      <c r="K700" s="23" t="s">
        <v>1043</v>
      </c>
      <c r="L700" s="23">
        <v>1</v>
      </c>
      <c r="M700" s="23" t="s">
        <v>78</v>
      </c>
      <c r="N700" s="23" t="s">
        <v>78</v>
      </c>
      <c r="O700" s="23">
        <v>0.01</v>
      </c>
      <c r="P700" s="23" t="s">
        <v>79</v>
      </c>
      <c r="Q700" s="23" t="s">
        <v>83</v>
      </c>
      <c r="R700" s="23">
        <v>11100299</v>
      </c>
      <c r="S700" s="24">
        <v>46059</v>
      </c>
      <c r="T700" s="24">
        <v>45838</v>
      </c>
      <c r="U700" s="24">
        <v>46752</v>
      </c>
      <c r="X700" s="24">
        <v>45894</v>
      </c>
      <c r="Y700" s="23">
        <v>1111</v>
      </c>
      <c r="Z700" s="23">
        <v>11100002</v>
      </c>
      <c r="AA700" s="23">
        <v>3902</v>
      </c>
      <c r="AB700" s="24">
        <v>45838</v>
      </c>
    </row>
    <row r="701" spans="2:28" x14ac:dyDescent="0.2">
      <c r="C701" s="23">
        <v>1100555289</v>
      </c>
      <c r="E701" s="23">
        <v>110</v>
      </c>
      <c r="F701" s="23" t="s">
        <v>288</v>
      </c>
      <c r="G701" s="23" t="s">
        <v>289</v>
      </c>
      <c r="H701" s="24">
        <v>46171</v>
      </c>
      <c r="I701" s="24">
        <v>46171</v>
      </c>
      <c r="J701" s="23" t="s">
        <v>1043</v>
      </c>
      <c r="K701" s="23" t="s">
        <v>1043</v>
      </c>
      <c r="L701" s="23">
        <v>1</v>
      </c>
      <c r="M701" s="23" t="s">
        <v>131</v>
      </c>
      <c r="N701" s="23" t="s">
        <v>131</v>
      </c>
      <c r="O701" s="23">
        <v>14500</v>
      </c>
      <c r="P701" s="23" t="s">
        <v>79</v>
      </c>
      <c r="Q701" s="23" t="s">
        <v>83</v>
      </c>
      <c r="R701" s="23">
        <v>11100299</v>
      </c>
      <c r="S701" s="24">
        <v>46059</v>
      </c>
      <c r="T701" s="24">
        <v>45838</v>
      </c>
      <c r="U701" s="24">
        <v>46752</v>
      </c>
      <c r="X701" s="24">
        <v>45894</v>
      </c>
      <c r="Y701" s="23">
        <v>1111</v>
      </c>
      <c r="Z701" s="23">
        <v>11100002</v>
      </c>
      <c r="AA701" s="23">
        <v>3902</v>
      </c>
      <c r="AB701" s="24">
        <v>45838</v>
      </c>
    </row>
    <row r="702" spans="2:28" x14ac:dyDescent="0.2">
      <c r="C702" s="23">
        <v>1100555289</v>
      </c>
      <c r="E702" s="23">
        <v>120</v>
      </c>
      <c r="F702" s="23" t="s">
        <v>84</v>
      </c>
      <c r="G702" s="23" t="s">
        <v>123</v>
      </c>
      <c r="H702" s="24">
        <v>46171</v>
      </c>
      <c r="I702" s="24">
        <v>46171</v>
      </c>
      <c r="J702" s="23" t="s">
        <v>1043</v>
      </c>
      <c r="K702" s="23" t="s">
        <v>1043</v>
      </c>
      <c r="L702" s="23">
        <v>1</v>
      </c>
      <c r="M702" s="23" t="s">
        <v>78</v>
      </c>
      <c r="N702" s="23" t="s">
        <v>78</v>
      </c>
      <c r="O702" s="23">
        <v>0.01</v>
      </c>
      <c r="P702" s="23" t="s">
        <v>79</v>
      </c>
      <c r="Q702" s="23" t="s">
        <v>83</v>
      </c>
      <c r="R702" s="23">
        <v>11100299</v>
      </c>
      <c r="S702" s="24">
        <v>46059</v>
      </c>
      <c r="T702" s="24">
        <v>45838</v>
      </c>
      <c r="U702" s="24">
        <v>46752</v>
      </c>
      <c r="X702" s="24">
        <v>45894</v>
      </c>
      <c r="Y702" s="23">
        <v>1111</v>
      </c>
      <c r="Z702" s="23">
        <v>11100002</v>
      </c>
      <c r="AA702" s="23">
        <v>3902</v>
      </c>
      <c r="AB702" s="24">
        <v>45838</v>
      </c>
    </row>
    <row r="703" spans="2:28" x14ac:dyDescent="0.2">
      <c r="C703" s="23">
        <v>1100555289</v>
      </c>
      <c r="E703" s="23">
        <v>130</v>
      </c>
      <c r="F703" s="23" t="s">
        <v>94</v>
      </c>
      <c r="G703" s="23" t="s">
        <v>2471</v>
      </c>
      <c r="H703" s="24">
        <v>46171</v>
      </c>
      <c r="I703" s="24">
        <v>46171</v>
      </c>
      <c r="J703" s="23" t="s">
        <v>1043</v>
      </c>
      <c r="K703" s="23" t="s">
        <v>1043</v>
      </c>
      <c r="L703" s="23">
        <v>1</v>
      </c>
      <c r="M703" s="23" t="s">
        <v>78</v>
      </c>
      <c r="N703" s="23" t="s">
        <v>78</v>
      </c>
      <c r="O703" s="23">
        <v>15870</v>
      </c>
      <c r="P703" s="23" t="s">
        <v>79</v>
      </c>
      <c r="Q703" s="23" t="s">
        <v>83</v>
      </c>
      <c r="R703" s="23">
        <v>11100299</v>
      </c>
      <c r="S703" s="24">
        <v>46059</v>
      </c>
      <c r="T703" s="24">
        <v>45838</v>
      </c>
      <c r="U703" s="24">
        <v>46752</v>
      </c>
      <c r="X703" s="24">
        <v>45894</v>
      </c>
      <c r="Y703" s="23">
        <v>1111</v>
      </c>
      <c r="Z703" s="23">
        <v>11100002</v>
      </c>
      <c r="AA703" s="23">
        <v>3902</v>
      </c>
      <c r="AB703" s="24">
        <v>45838</v>
      </c>
    </row>
    <row r="704" spans="2:28" x14ac:dyDescent="0.2">
      <c r="C704" s="23">
        <v>1100555289</v>
      </c>
      <c r="E704" s="23">
        <v>140</v>
      </c>
      <c r="F704" s="23" t="s">
        <v>2472</v>
      </c>
      <c r="G704" s="23" t="s">
        <v>2473</v>
      </c>
      <c r="H704" s="24">
        <v>46171</v>
      </c>
      <c r="I704" s="24">
        <v>46171</v>
      </c>
      <c r="J704" s="23" t="s">
        <v>1043</v>
      </c>
      <c r="K704" s="23" t="s">
        <v>1043</v>
      </c>
      <c r="L704" s="23">
        <v>1</v>
      </c>
      <c r="M704" s="23" t="s">
        <v>78</v>
      </c>
      <c r="N704" s="23" t="s">
        <v>78</v>
      </c>
      <c r="O704" s="23">
        <v>23927.5</v>
      </c>
      <c r="P704" s="23" t="s">
        <v>79</v>
      </c>
      <c r="Q704" s="23" t="s">
        <v>83</v>
      </c>
      <c r="R704" s="23">
        <v>11100299</v>
      </c>
      <c r="S704" s="24" t="s">
        <v>80</v>
      </c>
      <c r="T704" s="24">
        <v>45838</v>
      </c>
      <c r="U704" s="24">
        <v>46114</v>
      </c>
      <c r="X704" s="24">
        <v>45894</v>
      </c>
      <c r="Y704" s="23">
        <v>1111</v>
      </c>
      <c r="Z704" s="23">
        <v>11100002</v>
      </c>
      <c r="AA704" s="23">
        <v>3902</v>
      </c>
      <c r="AB704" s="24">
        <v>45838</v>
      </c>
    </row>
    <row r="705" spans="2:28" x14ac:dyDescent="0.2">
      <c r="B705" s="23" t="s">
        <v>81</v>
      </c>
      <c r="C705" s="23">
        <v>1100555289</v>
      </c>
      <c r="H705" s="24">
        <v>46171</v>
      </c>
      <c r="O705" s="23">
        <v>459363.56</v>
      </c>
      <c r="P705" s="23" t="s">
        <v>79</v>
      </c>
    </row>
    <row r="706" spans="2:28" x14ac:dyDescent="0.2">
      <c r="C706" s="23">
        <v>1100577983</v>
      </c>
      <c r="E706" s="23">
        <v>10</v>
      </c>
      <c r="F706" s="23" t="s">
        <v>2474</v>
      </c>
      <c r="G706" s="23" t="s">
        <v>972</v>
      </c>
      <c r="H706" s="24">
        <v>46171</v>
      </c>
      <c r="I706" s="24">
        <v>46171</v>
      </c>
      <c r="J706" s="23" t="s">
        <v>1401</v>
      </c>
      <c r="K706" s="23" t="s">
        <v>1401</v>
      </c>
      <c r="L706" s="23">
        <v>2</v>
      </c>
      <c r="M706" s="23" t="s">
        <v>78</v>
      </c>
      <c r="N706" s="23" t="s">
        <v>78</v>
      </c>
      <c r="O706" s="23">
        <v>13930</v>
      </c>
      <c r="P706" s="23" t="s">
        <v>79</v>
      </c>
      <c r="Q706" s="23" t="s">
        <v>83</v>
      </c>
      <c r="R706" s="23">
        <v>11100018</v>
      </c>
      <c r="S706" s="24">
        <v>46171</v>
      </c>
      <c r="T706" s="24">
        <v>46078</v>
      </c>
      <c r="U706" s="24" t="s">
        <v>80</v>
      </c>
      <c r="X706" s="24">
        <v>46077</v>
      </c>
      <c r="Y706" s="23">
        <v>1111</v>
      </c>
      <c r="Z706" s="23">
        <v>11100002</v>
      </c>
      <c r="AA706" s="23">
        <v>3112</v>
      </c>
      <c r="AB706" s="24">
        <v>46078</v>
      </c>
    </row>
    <row r="707" spans="2:28" x14ac:dyDescent="0.2">
      <c r="B707" s="23" t="s">
        <v>81</v>
      </c>
      <c r="C707" s="23">
        <v>1100577983</v>
      </c>
      <c r="H707" s="24">
        <v>46171</v>
      </c>
      <c r="O707" s="23">
        <v>13930</v>
      </c>
      <c r="P707" s="23" t="s">
        <v>79</v>
      </c>
    </row>
    <row r="708" spans="2:28" x14ac:dyDescent="0.2">
      <c r="C708" s="23">
        <v>1100572958</v>
      </c>
      <c r="E708" s="23">
        <v>10</v>
      </c>
      <c r="F708" s="23" t="s">
        <v>87</v>
      </c>
      <c r="G708" s="23" t="s">
        <v>642</v>
      </c>
      <c r="H708" s="24">
        <v>46172</v>
      </c>
      <c r="I708" s="24">
        <v>46172</v>
      </c>
      <c r="J708" s="23" t="s">
        <v>968</v>
      </c>
      <c r="K708" s="23" t="s">
        <v>968</v>
      </c>
      <c r="L708" s="23">
        <v>1</v>
      </c>
      <c r="M708" s="23" t="s">
        <v>78</v>
      </c>
      <c r="N708" s="23" t="s">
        <v>78</v>
      </c>
      <c r="O708" s="23">
        <v>31490</v>
      </c>
      <c r="P708" s="23" t="s">
        <v>79</v>
      </c>
      <c r="Q708" s="23" t="s">
        <v>83</v>
      </c>
      <c r="R708" s="23">
        <v>11100299</v>
      </c>
      <c r="S708" s="24">
        <v>46172</v>
      </c>
      <c r="T708" s="24">
        <v>46029</v>
      </c>
      <c r="U708" s="24" t="s">
        <v>80</v>
      </c>
      <c r="X708" s="24">
        <v>45996</v>
      </c>
      <c r="Y708" s="23">
        <v>1111</v>
      </c>
      <c r="Z708" s="23">
        <v>11100303</v>
      </c>
      <c r="AA708" s="23">
        <v>320103</v>
      </c>
      <c r="AB708" s="24">
        <v>46029</v>
      </c>
    </row>
    <row r="709" spans="2:28" x14ac:dyDescent="0.2">
      <c r="C709" s="23">
        <v>1100572958</v>
      </c>
      <c r="E709" s="23">
        <v>20</v>
      </c>
      <c r="F709" s="23" t="s">
        <v>87</v>
      </c>
      <c r="G709" s="23" t="s">
        <v>982</v>
      </c>
      <c r="H709" s="24">
        <v>46172</v>
      </c>
      <c r="I709" s="24">
        <v>46172</v>
      </c>
      <c r="J709" s="23" t="s">
        <v>968</v>
      </c>
      <c r="K709" s="23" t="s">
        <v>968</v>
      </c>
      <c r="L709" s="23">
        <v>1</v>
      </c>
      <c r="M709" s="23" t="s">
        <v>78</v>
      </c>
      <c r="N709" s="23" t="s">
        <v>78</v>
      </c>
      <c r="O709" s="23">
        <v>33310</v>
      </c>
      <c r="P709" s="23" t="s">
        <v>79</v>
      </c>
      <c r="Q709" s="23" t="s">
        <v>83</v>
      </c>
      <c r="R709" s="23">
        <v>11100299</v>
      </c>
      <c r="S709" s="24">
        <v>46172</v>
      </c>
      <c r="T709" s="24">
        <v>46029</v>
      </c>
      <c r="U709" s="24" t="s">
        <v>80</v>
      </c>
      <c r="X709" s="24">
        <v>45996</v>
      </c>
      <c r="Y709" s="23">
        <v>1111</v>
      </c>
      <c r="Z709" s="23">
        <v>11100303</v>
      </c>
      <c r="AA709" s="23">
        <v>320103</v>
      </c>
      <c r="AB709" s="24">
        <v>46029</v>
      </c>
    </row>
    <row r="710" spans="2:28" x14ac:dyDescent="0.2">
      <c r="C710" s="23">
        <v>1100572958</v>
      </c>
      <c r="E710" s="23">
        <v>30</v>
      </c>
      <c r="F710" s="23" t="s">
        <v>87</v>
      </c>
      <c r="G710" s="23" t="s">
        <v>545</v>
      </c>
      <c r="H710" s="24">
        <v>46172</v>
      </c>
      <c r="I710" s="24">
        <v>46172</v>
      </c>
      <c r="J710" s="23" t="s">
        <v>968</v>
      </c>
      <c r="K710" s="23" t="s">
        <v>968</v>
      </c>
      <c r="L710" s="23">
        <v>1</v>
      </c>
      <c r="M710" s="23" t="s">
        <v>78</v>
      </c>
      <c r="N710" s="23" t="s">
        <v>78</v>
      </c>
      <c r="O710" s="23">
        <v>29110</v>
      </c>
      <c r="P710" s="23" t="s">
        <v>79</v>
      </c>
      <c r="Q710" s="23" t="s">
        <v>83</v>
      </c>
      <c r="R710" s="23">
        <v>11100299</v>
      </c>
      <c r="S710" s="24">
        <v>46172</v>
      </c>
      <c r="T710" s="24">
        <v>46029</v>
      </c>
      <c r="U710" s="24" t="s">
        <v>80</v>
      </c>
      <c r="X710" s="24">
        <v>45996</v>
      </c>
      <c r="Y710" s="23">
        <v>1111</v>
      </c>
      <c r="Z710" s="23">
        <v>11100303</v>
      </c>
      <c r="AA710" s="23">
        <v>320103</v>
      </c>
      <c r="AB710" s="24">
        <v>46029</v>
      </c>
    </row>
    <row r="711" spans="2:28" x14ac:dyDescent="0.2">
      <c r="C711" s="23">
        <v>1100572958</v>
      </c>
      <c r="E711" s="23">
        <v>40</v>
      </c>
      <c r="F711" s="23" t="s">
        <v>87</v>
      </c>
      <c r="G711" s="23" t="s">
        <v>545</v>
      </c>
      <c r="H711" s="24">
        <v>46172</v>
      </c>
      <c r="I711" s="24">
        <v>46172</v>
      </c>
      <c r="J711" s="23" t="s">
        <v>968</v>
      </c>
      <c r="K711" s="23" t="s">
        <v>968</v>
      </c>
      <c r="L711" s="23">
        <v>1</v>
      </c>
      <c r="M711" s="23" t="s">
        <v>78</v>
      </c>
      <c r="N711" s="23" t="s">
        <v>78</v>
      </c>
      <c r="O711" s="23">
        <v>29110</v>
      </c>
      <c r="P711" s="23" t="s">
        <v>79</v>
      </c>
      <c r="Q711" s="23" t="s">
        <v>83</v>
      </c>
      <c r="R711" s="23">
        <v>11100299</v>
      </c>
      <c r="S711" s="24">
        <v>46172</v>
      </c>
      <c r="T711" s="24">
        <v>46029</v>
      </c>
      <c r="U711" s="24" t="s">
        <v>80</v>
      </c>
      <c r="X711" s="24">
        <v>45996</v>
      </c>
      <c r="Y711" s="23">
        <v>1111</v>
      </c>
      <c r="Z711" s="23">
        <v>11100303</v>
      </c>
      <c r="AA711" s="23">
        <v>320103</v>
      </c>
      <c r="AB711" s="24">
        <v>46029</v>
      </c>
    </row>
    <row r="712" spans="2:28" x14ac:dyDescent="0.2">
      <c r="C712" s="23">
        <v>1100572958</v>
      </c>
      <c r="E712" s="23">
        <v>50</v>
      </c>
      <c r="F712" s="23" t="s">
        <v>84</v>
      </c>
      <c r="G712" s="23" t="s">
        <v>123</v>
      </c>
      <c r="H712" s="24">
        <v>46172</v>
      </c>
      <c r="I712" s="24">
        <v>46172</v>
      </c>
      <c r="J712" s="23" t="s">
        <v>968</v>
      </c>
      <c r="K712" s="23" t="s">
        <v>968</v>
      </c>
      <c r="L712" s="23">
        <v>1</v>
      </c>
      <c r="M712" s="23" t="s">
        <v>78</v>
      </c>
      <c r="N712" s="23" t="s">
        <v>78</v>
      </c>
      <c r="O712" s="23">
        <v>0.01</v>
      </c>
      <c r="P712" s="23" t="s">
        <v>79</v>
      </c>
      <c r="Q712" s="23" t="s">
        <v>83</v>
      </c>
      <c r="R712" s="23">
        <v>11100299</v>
      </c>
      <c r="S712" s="24" t="s">
        <v>80</v>
      </c>
      <c r="T712" s="24">
        <v>46029</v>
      </c>
      <c r="U712" s="24" t="s">
        <v>80</v>
      </c>
      <c r="X712" s="24">
        <v>45996</v>
      </c>
      <c r="Y712" s="23">
        <v>1111</v>
      </c>
      <c r="Z712" s="23">
        <v>11100303</v>
      </c>
      <c r="AA712" s="23">
        <v>320103</v>
      </c>
      <c r="AB712" s="24">
        <v>46029</v>
      </c>
    </row>
    <row r="713" spans="2:28" x14ac:dyDescent="0.2">
      <c r="C713" s="23">
        <v>1100572958</v>
      </c>
      <c r="E713" s="23">
        <v>60</v>
      </c>
      <c r="F713" s="23" t="s">
        <v>82</v>
      </c>
      <c r="G713" s="23" t="s">
        <v>139</v>
      </c>
      <c r="H713" s="24">
        <v>46172</v>
      </c>
      <c r="I713" s="24">
        <v>46172</v>
      </c>
      <c r="J713" s="23" t="s">
        <v>968</v>
      </c>
      <c r="K713" s="23" t="s">
        <v>968</v>
      </c>
      <c r="L713" s="23">
        <v>1</v>
      </c>
      <c r="M713" s="23" t="s">
        <v>78</v>
      </c>
      <c r="N713" s="23" t="s">
        <v>78</v>
      </c>
      <c r="O713" s="23">
        <v>0.01</v>
      </c>
      <c r="P713" s="23" t="s">
        <v>79</v>
      </c>
      <c r="Q713" s="23" t="s">
        <v>83</v>
      </c>
      <c r="R713" s="23">
        <v>11100299</v>
      </c>
      <c r="S713" s="24" t="s">
        <v>80</v>
      </c>
      <c r="T713" s="24">
        <v>46029</v>
      </c>
      <c r="U713" s="24" t="s">
        <v>80</v>
      </c>
      <c r="X713" s="24">
        <v>45996</v>
      </c>
      <c r="Y713" s="23">
        <v>1111</v>
      </c>
      <c r="Z713" s="23">
        <v>11100303</v>
      </c>
      <c r="AA713" s="23">
        <v>320103</v>
      </c>
      <c r="AB713" s="24">
        <v>46029</v>
      </c>
    </row>
    <row r="714" spans="2:28" x14ac:dyDescent="0.2">
      <c r="B714" s="23" t="s">
        <v>81</v>
      </c>
      <c r="C714" s="23">
        <v>1100572958</v>
      </c>
      <c r="H714" s="24">
        <v>46172</v>
      </c>
      <c r="O714" s="23">
        <v>123020.02</v>
      </c>
      <c r="P714" s="23" t="s">
        <v>79</v>
      </c>
    </row>
    <row r="715" spans="2:28" x14ac:dyDescent="0.2">
      <c r="C715" s="23">
        <v>1100102743</v>
      </c>
      <c r="E715" s="23">
        <v>1300</v>
      </c>
      <c r="F715" s="23" t="s">
        <v>1538</v>
      </c>
      <c r="G715" s="23" t="s">
        <v>1539</v>
      </c>
      <c r="H715" s="24">
        <v>46174</v>
      </c>
      <c r="I715" s="24">
        <v>46174</v>
      </c>
      <c r="J715" s="23" t="s">
        <v>1540</v>
      </c>
      <c r="K715" s="23" t="s">
        <v>1540</v>
      </c>
      <c r="L715" s="23">
        <v>1</v>
      </c>
      <c r="M715" s="23" t="s">
        <v>78</v>
      </c>
      <c r="N715" s="23" t="s">
        <v>78</v>
      </c>
      <c r="O715" s="23">
        <v>139128</v>
      </c>
      <c r="P715" s="23" t="s">
        <v>79</v>
      </c>
      <c r="Q715" s="23" t="s">
        <v>119</v>
      </c>
      <c r="R715" s="23">
        <v>11100299</v>
      </c>
      <c r="S715" s="24">
        <v>46174</v>
      </c>
      <c r="T715" s="24">
        <v>45980</v>
      </c>
      <c r="U715" s="24">
        <v>46751</v>
      </c>
      <c r="X715" s="24">
        <v>45980</v>
      </c>
      <c r="Y715" s="23">
        <v>1111</v>
      </c>
      <c r="Z715" s="23">
        <v>11400912</v>
      </c>
      <c r="AA715" s="23">
        <v>540103</v>
      </c>
      <c r="AB715" s="24">
        <v>45980</v>
      </c>
    </row>
    <row r="716" spans="2:28" x14ac:dyDescent="0.2">
      <c r="C716" s="23">
        <v>1100102743</v>
      </c>
      <c r="E716" s="23">
        <v>1900</v>
      </c>
      <c r="F716" s="23" t="s">
        <v>1541</v>
      </c>
      <c r="G716" s="23" t="s">
        <v>1542</v>
      </c>
      <c r="H716" s="24">
        <v>46174</v>
      </c>
      <c r="I716" s="24">
        <v>46174</v>
      </c>
      <c r="J716" s="23" t="s">
        <v>1540</v>
      </c>
      <c r="K716" s="23" t="s">
        <v>1540</v>
      </c>
      <c r="L716" s="23">
        <v>1</v>
      </c>
      <c r="M716" s="23" t="s">
        <v>78</v>
      </c>
      <c r="N716" s="23" t="s">
        <v>78</v>
      </c>
      <c r="O716" s="23">
        <v>139128</v>
      </c>
      <c r="P716" s="23" t="s">
        <v>79</v>
      </c>
      <c r="Q716" s="23" t="s">
        <v>119</v>
      </c>
      <c r="R716" s="23">
        <v>11100299</v>
      </c>
      <c r="S716" s="24">
        <v>46174</v>
      </c>
      <c r="T716" s="24">
        <v>45980</v>
      </c>
      <c r="U716" s="24">
        <v>46751</v>
      </c>
      <c r="X716" s="24">
        <v>45980</v>
      </c>
      <c r="Y716" s="23">
        <v>1111</v>
      </c>
      <c r="Z716" s="23">
        <v>11400912</v>
      </c>
      <c r="AA716" s="23">
        <v>540103</v>
      </c>
      <c r="AB716" s="24">
        <v>45980</v>
      </c>
    </row>
    <row r="717" spans="2:28" x14ac:dyDescent="0.2">
      <c r="C717" s="23">
        <v>1100102743</v>
      </c>
      <c r="E717" s="23">
        <v>2000</v>
      </c>
      <c r="F717" s="23" t="s">
        <v>1543</v>
      </c>
      <c r="G717" s="23" t="s">
        <v>1544</v>
      </c>
      <c r="H717" s="24">
        <v>46174</v>
      </c>
      <c r="I717" s="24">
        <v>46174</v>
      </c>
      <c r="J717" s="23" t="s">
        <v>1540</v>
      </c>
      <c r="K717" s="23" t="s">
        <v>1540</v>
      </c>
      <c r="L717" s="23">
        <v>1</v>
      </c>
      <c r="M717" s="23" t="s">
        <v>78</v>
      </c>
      <c r="N717" s="23" t="s">
        <v>78</v>
      </c>
      <c r="O717" s="23">
        <v>76656</v>
      </c>
      <c r="P717" s="23" t="s">
        <v>79</v>
      </c>
      <c r="Q717" s="23" t="s">
        <v>119</v>
      </c>
      <c r="R717" s="23">
        <v>11100299</v>
      </c>
      <c r="S717" s="24">
        <v>46174</v>
      </c>
      <c r="T717" s="24">
        <v>45980</v>
      </c>
      <c r="U717" s="24">
        <v>46751</v>
      </c>
      <c r="X717" s="24">
        <v>45980</v>
      </c>
      <c r="Y717" s="23">
        <v>1111</v>
      </c>
      <c r="Z717" s="23">
        <v>11400912</v>
      </c>
      <c r="AA717" s="23">
        <v>5461</v>
      </c>
      <c r="AB717" s="24">
        <v>45980</v>
      </c>
    </row>
    <row r="718" spans="2:28" x14ac:dyDescent="0.2">
      <c r="C718" s="23">
        <v>1100102743</v>
      </c>
      <c r="E718" s="23">
        <v>2800</v>
      </c>
      <c r="F718" s="23" t="s">
        <v>1545</v>
      </c>
      <c r="G718" s="23" t="s">
        <v>1546</v>
      </c>
      <c r="H718" s="24">
        <v>46174</v>
      </c>
      <c r="I718" s="24">
        <v>46174</v>
      </c>
      <c r="J718" s="23" t="s">
        <v>1540</v>
      </c>
      <c r="K718" s="23" t="s">
        <v>1540</v>
      </c>
      <c r="L718" s="23">
        <v>1</v>
      </c>
      <c r="M718" s="23" t="s">
        <v>78</v>
      </c>
      <c r="N718" s="23" t="s">
        <v>78</v>
      </c>
      <c r="O718" s="23">
        <v>78166</v>
      </c>
      <c r="P718" s="23" t="s">
        <v>79</v>
      </c>
      <c r="Q718" s="23" t="s">
        <v>119</v>
      </c>
      <c r="R718" s="23">
        <v>11100299</v>
      </c>
      <c r="S718" s="24">
        <v>46174</v>
      </c>
      <c r="T718" s="24">
        <v>45980</v>
      </c>
      <c r="U718" s="24">
        <v>46751</v>
      </c>
      <c r="X718" s="24">
        <v>45980</v>
      </c>
      <c r="Y718" s="23">
        <v>1111</v>
      </c>
      <c r="Z718" s="23">
        <v>11400912</v>
      </c>
      <c r="AA718" s="23">
        <v>540103</v>
      </c>
      <c r="AB718" s="24">
        <v>45980</v>
      </c>
    </row>
    <row r="719" spans="2:28" x14ac:dyDescent="0.2">
      <c r="C719" s="23">
        <v>1100102743</v>
      </c>
      <c r="E719" s="23">
        <v>3600</v>
      </c>
      <c r="F719" s="23" t="s">
        <v>1547</v>
      </c>
      <c r="G719" s="23" t="s">
        <v>1548</v>
      </c>
      <c r="H719" s="24">
        <v>46174</v>
      </c>
      <c r="I719" s="24">
        <v>46174</v>
      </c>
      <c r="J719" s="23" t="s">
        <v>1540</v>
      </c>
      <c r="K719" s="23" t="s">
        <v>1540</v>
      </c>
      <c r="L719" s="23">
        <v>1</v>
      </c>
      <c r="M719" s="23" t="s">
        <v>78</v>
      </c>
      <c r="N719" s="23" t="s">
        <v>78</v>
      </c>
      <c r="O719" s="23">
        <v>76656</v>
      </c>
      <c r="P719" s="23" t="s">
        <v>79</v>
      </c>
      <c r="Q719" s="23" t="s">
        <v>119</v>
      </c>
      <c r="R719" s="23">
        <v>11100299</v>
      </c>
      <c r="S719" s="24">
        <v>46174</v>
      </c>
      <c r="T719" s="24">
        <v>45980</v>
      </c>
      <c r="U719" s="24">
        <v>46751</v>
      </c>
      <c r="X719" s="24">
        <v>45980</v>
      </c>
      <c r="Y719" s="23">
        <v>1111</v>
      </c>
      <c r="Z719" s="23">
        <v>11400912</v>
      </c>
      <c r="AA719" s="23">
        <v>5461</v>
      </c>
      <c r="AB719" s="24">
        <v>45980</v>
      </c>
    </row>
    <row r="720" spans="2:28" x14ac:dyDescent="0.2">
      <c r="C720" s="23">
        <v>1100102743</v>
      </c>
      <c r="E720" s="23">
        <v>4400</v>
      </c>
      <c r="F720" s="23" t="s">
        <v>1549</v>
      </c>
      <c r="G720" s="23" t="s">
        <v>1550</v>
      </c>
      <c r="H720" s="24">
        <v>46174</v>
      </c>
      <c r="I720" s="24">
        <v>47118</v>
      </c>
      <c r="J720" s="23" t="s">
        <v>1540</v>
      </c>
      <c r="K720" s="23" t="s">
        <v>1540</v>
      </c>
      <c r="L720" s="23">
        <v>1</v>
      </c>
      <c r="M720" s="23" t="s">
        <v>78</v>
      </c>
      <c r="N720" s="23" t="s">
        <v>78</v>
      </c>
      <c r="O720" s="23">
        <v>81953</v>
      </c>
      <c r="P720" s="23" t="s">
        <v>79</v>
      </c>
      <c r="Q720" s="23" t="s">
        <v>119</v>
      </c>
      <c r="R720" s="23">
        <v>11100299</v>
      </c>
      <c r="S720" s="24">
        <v>46174</v>
      </c>
      <c r="T720" s="24">
        <v>45980</v>
      </c>
      <c r="U720" s="24">
        <v>46751</v>
      </c>
      <c r="X720" s="24">
        <v>45980</v>
      </c>
      <c r="Y720" s="23">
        <v>1111</v>
      </c>
      <c r="Z720" s="23">
        <v>11400912</v>
      </c>
      <c r="AA720" s="23">
        <v>5461</v>
      </c>
      <c r="AB720" s="24">
        <v>45980</v>
      </c>
    </row>
    <row r="721" spans="2:28" x14ac:dyDescent="0.2">
      <c r="C721" s="23">
        <v>1100102743</v>
      </c>
      <c r="E721" s="23">
        <v>4900</v>
      </c>
      <c r="F721" s="23" t="s">
        <v>1551</v>
      </c>
      <c r="G721" s="23" t="s">
        <v>1552</v>
      </c>
      <c r="H721" s="24">
        <v>46174</v>
      </c>
      <c r="I721" s="24">
        <v>46174</v>
      </c>
      <c r="J721" s="23" t="s">
        <v>1540</v>
      </c>
      <c r="K721" s="23" t="s">
        <v>1540</v>
      </c>
      <c r="L721" s="23">
        <v>1</v>
      </c>
      <c r="M721" s="23" t="s">
        <v>78</v>
      </c>
      <c r="N721" s="23" t="s">
        <v>78</v>
      </c>
      <c r="O721" s="23">
        <v>157300</v>
      </c>
      <c r="P721" s="23" t="s">
        <v>79</v>
      </c>
      <c r="Q721" s="23" t="s">
        <v>119</v>
      </c>
      <c r="R721" s="23">
        <v>11100299</v>
      </c>
      <c r="S721" s="24">
        <v>46174</v>
      </c>
      <c r="T721" s="24">
        <v>45980</v>
      </c>
      <c r="U721" s="24">
        <v>46751</v>
      </c>
      <c r="X721" s="24">
        <v>45980</v>
      </c>
      <c r="Y721" s="23">
        <v>1111</v>
      </c>
      <c r="Z721" s="23">
        <v>11400912</v>
      </c>
      <c r="AA721" s="23">
        <v>540103</v>
      </c>
      <c r="AB721" s="24">
        <v>45980</v>
      </c>
    </row>
    <row r="722" spans="2:28" x14ac:dyDescent="0.2">
      <c r="C722" s="23">
        <v>1100102743</v>
      </c>
      <c r="E722" s="23">
        <v>5300</v>
      </c>
      <c r="F722" s="23" t="s">
        <v>1553</v>
      </c>
      <c r="G722" s="23" t="s">
        <v>1554</v>
      </c>
      <c r="H722" s="24">
        <v>46174</v>
      </c>
      <c r="I722" s="24">
        <v>47118</v>
      </c>
      <c r="J722" s="23" t="s">
        <v>1540</v>
      </c>
      <c r="K722" s="23" t="s">
        <v>1540</v>
      </c>
      <c r="L722" s="23">
        <v>1</v>
      </c>
      <c r="M722" s="23" t="s">
        <v>78</v>
      </c>
      <c r="N722" s="23" t="s">
        <v>78</v>
      </c>
      <c r="O722" s="23">
        <v>69879</v>
      </c>
      <c r="P722" s="23" t="s">
        <v>79</v>
      </c>
      <c r="Q722" s="23" t="s">
        <v>119</v>
      </c>
      <c r="R722" s="23">
        <v>11100299</v>
      </c>
      <c r="S722" s="24">
        <v>111917</v>
      </c>
      <c r="T722" s="24">
        <v>45980</v>
      </c>
      <c r="U722" s="24">
        <v>46751</v>
      </c>
      <c r="X722" s="24">
        <v>45980</v>
      </c>
      <c r="Y722" s="23">
        <v>1111</v>
      </c>
      <c r="Z722" s="23">
        <v>11400912</v>
      </c>
      <c r="AA722" s="23">
        <v>5461</v>
      </c>
      <c r="AB722" s="24">
        <v>45980</v>
      </c>
    </row>
    <row r="723" spans="2:28" x14ac:dyDescent="0.2">
      <c r="C723" s="23">
        <v>1100102743</v>
      </c>
      <c r="E723" s="23">
        <v>5800</v>
      </c>
      <c r="F723" s="23" t="s">
        <v>1555</v>
      </c>
      <c r="G723" s="23" t="s">
        <v>1556</v>
      </c>
      <c r="H723" s="24">
        <v>46174</v>
      </c>
      <c r="I723" s="24">
        <v>46174</v>
      </c>
      <c r="J723" s="23" t="s">
        <v>1540</v>
      </c>
      <c r="K723" s="23" t="s">
        <v>1540</v>
      </c>
      <c r="L723" s="23">
        <v>1</v>
      </c>
      <c r="M723" s="23" t="s">
        <v>78</v>
      </c>
      <c r="N723" s="23" t="s">
        <v>78</v>
      </c>
      <c r="O723" s="23">
        <v>77462</v>
      </c>
      <c r="P723" s="23" t="s">
        <v>79</v>
      </c>
      <c r="Q723" s="23" t="s">
        <v>119</v>
      </c>
      <c r="R723" s="23">
        <v>11100299</v>
      </c>
      <c r="S723" s="24">
        <v>46174</v>
      </c>
      <c r="T723" s="24">
        <v>45980</v>
      </c>
      <c r="U723" s="24">
        <v>46751</v>
      </c>
      <c r="X723" s="24">
        <v>45980</v>
      </c>
      <c r="Y723" s="23">
        <v>1111</v>
      </c>
      <c r="Z723" s="23">
        <v>11400912</v>
      </c>
      <c r="AA723" s="23">
        <v>540103</v>
      </c>
      <c r="AB723" s="24">
        <v>45980</v>
      </c>
    </row>
    <row r="724" spans="2:28" x14ac:dyDescent="0.2">
      <c r="C724" s="23">
        <v>1100102743</v>
      </c>
      <c r="E724" s="23">
        <v>5900</v>
      </c>
      <c r="F724" s="23" t="s">
        <v>1557</v>
      </c>
      <c r="G724" s="23" t="s">
        <v>2475</v>
      </c>
      <c r="H724" s="24">
        <v>46174</v>
      </c>
      <c r="I724" s="24">
        <v>46174</v>
      </c>
      <c r="J724" s="23" t="s">
        <v>1540</v>
      </c>
      <c r="K724" s="23" t="s">
        <v>1540</v>
      </c>
      <c r="L724" s="23">
        <v>1</v>
      </c>
      <c r="M724" s="23" t="s">
        <v>78</v>
      </c>
      <c r="N724" s="23" t="s">
        <v>78</v>
      </c>
      <c r="O724" s="23">
        <v>64207</v>
      </c>
      <c r="P724" s="23" t="s">
        <v>79</v>
      </c>
      <c r="Q724" s="23" t="s">
        <v>119</v>
      </c>
      <c r="R724" s="23">
        <v>11100299</v>
      </c>
      <c r="S724" s="24">
        <v>46174</v>
      </c>
      <c r="T724" s="24">
        <v>45980</v>
      </c>
      <c r="U724" s="24">
        <v>46751</v>
      </c>
      <c r="X724" s="24">
        <v>45980</v>
      </c>
      <c r="Y724" s="23">
        <v>1111</v>
      </c>
      <c r="Z724" s="23">
        <v>11400912</v>
      </c>
      <c r="AA724" s="23">
        <v>540103</v>
      </c>
      <c r="AB724" s="24">
        <v>45980</v>
      </c>
    </row>
    <row r="725" spans="2:28" x14ac:dyDescent="0.2">
      <c r="C725" s="23">
        <v>1100102743</v>
      </c>
      <c r="E725" s="23">
        <v>6900</v>
      </c>
      <c r="F725" s="23" t="s">
        <v>1558</v>
      </c>
      <c r="G725" s="23" t="s">
        <v>2476</v>
      </c>
      <c r="H725" s="24">
        <v>46174</v>
      </c>
      <c r="I725" s="24">
        <v>46174</v>
      </c>
      <c r="J725" s="23" t="s">
        <v>1540</v>
      </c>
      <c r="K725" s="23" t="s">
        <v>1540</v>
      </c>
      <c r="L725" s="23">
        <v>1</v>
      </c>
      <c r="M725" s="23" t="s">
        <v>78</v>
      </c>
      <c r="N725" s="23" t="s">
        <v>78</v>
      </c>
      <c r="O725" s="23">
        <v>77462</v>
      </c>
      <c r="P725" s="23" t="s">
        <v>79</v>
      </c>
      <c r="Q725" s="23" t="s">
        <v>119</v>
      </c>
      <c r="R725" s="23">
        <v>11100299</v>
      </c>
      <c r="S725" s="24">
        <v>46174</v>
      </c>
      <c r="T725" s="24">
        <v>45980</v>
      </c>
      <c r="U725" s="24">
        <v>46751</v>
      </c>
      <c r="X725" s="24">
        <v>45980</v>
      </c>
      <c r="Y725" s="23">
        <v>1111</v>
      </c>
      <c r="Z725" s="23">
        <v>11400912</v>
      </c>
      <c r="AA725" s="23">
        <v>540103</v>
      </c>
      <c r="AB725" s="24">
        <v>45980</v>
      </c>
    </row>
    <row r="726" spans="2:28" x14ac:dyDescent="0.2">
      <c r="B726" s="23" t="s">
        <v>81</v>
      </c>
      <c r="C726" s="23">
        <v>1100102743</v>
      </c>
      <c r="H726" s="24">
        <v>46174</v>
      </c>
      <c r="O726" s="23">
        <v>1037997</v>
      </c>
      <c r="P726" s="23" t="s">
        <v>79</v>
      </c>
    </row>
    <row r="727" spans="2:28" x14ac:dyDescent="0.2">
      <c r="C727" s="23">
        <v>1100568379</v>
      </c>
      <c r="E727" s="23">
        <v>10</v>
      </c>
      <c r="F727" s="23" t="s">
        <v>2477</v>
      </c>
      <c r="G727" s="23" t="s">
        <v>484</v>
      </c>
      <c r="H727" s="24">
        <v>46174</v>
      </c>
      <c r="I727" s="24">
        <v>46174</v>
      </c>
      <c r="J727" s="23" t="s">
        <v>165</v>
      </c>
      <c r="K727" s="23" t="s">
        <v>165</v>
      </c>
      <c r="L727" s="23">
        <v>1</v>
      </c>
      <c r="M727" s="23" t="s">
        <v>78</v>
      </c>
      <c r="N727" s="23" t="s">
        <v>78</v>
      </c>
      <c r="O727" s="23">
        <v>13768</v>
      </c>
      <c r="P727" s="23" t="s">
        <v>79</v>
      </c>
      <c r="Q727" s="23" t="s">
        <v>83</v>
      </c>
      <c r="R727" s="23">
        <v>11100018</v>
      </c>
      <c r="S727" s="24">
        <v>46183</v>
      </c>
      <c r="T727" s="24">
        <v>45968</v>
      </c>
      <c r="U727" s="24" t="s">
        <v>80</v>
      </c>
      <c r="X727" s="24">
        <v>45964</v>
      </c>
      <c r="Y727" s="23">
        <v>1111</v>
      </c>
      <c r="Z727" s="23">
        <v>11100303</v>
      </c>
      <c r="AA727" s="23">
        <v>320103</v>
      </c>
      <c r="AB727" s="24">
        <v>45968</v>
      </c>
    </row>
    <row r="728" spans="2:28" x14ac:dyDescent="0.2">
      <c r="C728" s="23">
        <v>1100568379</v>
      </c>
      <c r="E728" s="23">
        <v>20</v>
      </c>
      <c r="F728" s="23" t="s">
        <v>84</v>
      </c>
      <c r="G728" s="23" t="s">
        <v>123</v>
      </c>
      <c r="H728" s="24">
        <v>46174</v>
      </c>
      <c r="I728" s="24">
        <v>46174</v>
      </c>
      <c r="J728" s="23" t="s">
        <v>165</v>
      </c>
      <c r="K728" s="23" t="s">
        <v>165</v>
      </c>
      <c r="L728" s="23">
        <v>1</v>
      </c>
      <c r="M728" s="23" t="s">
        <v>78</v>
      </c>
      <c r="N728" s="23" t="s">
        <v>78</v>
      </c>
      <c r="O728" s="23">
        <v>0.01</v>
      </c>
      <c r="P728" s="23" t="s">
        <v>79</v>
      </c>
      <c r="Q728" s="23" t="s">
        <v>83</v>
      </c>
      <c r="R728" s="23">
        <v>11100018</v>
      </c>
      <c r="S728" s="24" t="s">
        <v>80</v>
      </c>
      <c r="T728" s="24">
        <v>45968</v>
      </c>
      <c r="U728" s="24" t="s">
        <v>80</v>
      </c>
      <c r="X728" s="24">
        <v>45964</v>
      </c>
      <c r="Y728" s="23">
        <v>1111</v>
      </c>
      <c r="Z728" s="23">
        <v>11100303</v>
      </c>
      <c r="AA728" s="23">
        <v>320103</v>
      </c>
      <c r="AB728" s="24">
        <v>45968</v>
      </c>
    </row>
    <row r="729" spans="2:28" x14ac:dyDescent="0.2">
      <c r="C729" s="23">
        <v>1100568379</v>
      </c>
      <c r="E729" s="23">
        <v>30</v>
      </c>
      <c r="F729" s="23" t="s">
        <v>82</v>
      </c>
      <c r="G729" s="23" t="s">
        <v>139</v>
      </c>
      <c r="H729" s="24">
        <v>46174</v>
      </c>
      <c r="I729" s="24">
        <v>46174</v>
      </c>
      <c r="J729" s="23" t="s">
        <v>165</v>
      </c>
      <c r="K729" s="23" t="s">
        <v>165</v>
      </c>
      <c r="L729" s="23">
        <v>1</v>
      </c>
      <c r="M729" s="23" t="s">
        <v>78</v>
      </c>
      <c r="N729" s="23" t="s">
        <v>78</v>
      </c>
      <c r="O729" s="23">
        <v>0.01</v>
      </c>
      <c r="P729" s="23" t="s">
        <v>79</v>
      </c>
      <c r="Q729" s="23" t="s">
        <v>83</v>
      </c>
      <c r="R729" s="23">
        <v>11100018</v>
      </c>
      <c r="S729" s="24" t="s">
        <v>80</v>
      </c>
      <c r="T729" s="24">
        <v>45968</v>
      </c>
      <c r="U729" s="24" t="s">
        <v>80</v>
      </c>
      <c r="X729" s="24">
        <v>45964</v>
      </c>
      <c r="Y729" s="23">
        <v>1111</v>
      </c>
      <c r="Z729" s="23">
        <v>11100303</v>
      </c>
      <c r="AA729" s="23">
        <v>320103</v>
      </c>
      <c r="AB729" s="24">
        <v>45968</v>
      </c>
    </row>
    <row r="730" spans="2:28" x14ac:dyDescent="0.2">
      <c r="B730" s="23" t="s">
        <v>81</v>
      </c>
      <c r="C730" s="23">
        <v>1100568379</v>
      </c>
      <c r="H730" s="24">
        <v>46174</v>
      </c>
      <c r="O730" s="23">
        <v>13768.02</v>
      </c>
      <c r="P730" s="23" t="s">
        <v>79</v>
      </c>
    </row>
    <row r="731" spans="2:28" x14ac:dyDescent="0.2">
      <c r="C731" s="23">
        <v>1100578106</v>
      </c>
      <c r="E731" s="23">
        <v>10</v>
      </c>
      <c r="F731" s="23" t="s">
        <v>2478</v>
      </c>
      <c r="G731" s="23" t="s">
        <v>2479</v>
      </c>
      <c r="H731" s="24">
        <v>46177</v>
      </c>
      <c r="I731" s="24">
        <v>46177</v>
      </c>
      <c r="J731" s="23" t="s">
        <v>2480</v>
      </c>
      <c r="K731" s="23" t="s">
        <v>2480</v>
      </c>
      <c r="L731" s="23">
        <v>1</v>
      </c>
      <c r="M731" s="23" t="s">
        <v>78</v>
      </c>
      <c r="N731" s="23" t="s">
        <v>78</v>
      </c>
      <c r="O731" s="23">
        <v>13815</v>
      </c>
      <c r="P731" s="23" t="s">
        <v>79</v>
      </c>
      <c r="Q731" s="23" t="s">
        <v>83</v>
      </c>
      <c r="R731" s="23">
        <v>11100018</v>
      </c>
      <c r="S731" s="24">
        <v>46177</v>
      </c>
      <c r="T731" s="24">
        <v>46079</v>
      </c>
      <c r="U731" s="24" t="s">
        <v>80</v>
      </c>
      <c r="X731" s="24">
        <v>46079</v>
      </c>
      <c r="Y731" s="23">
        <v>1111</v>
      </c>
      <c r="Z731" s="23">
        <v>11100002</v>
      </c>
      <c r="AA731" s="23">
        <v>3312</v>
      </c>
      <c r="AB731" s="24">
        <v>46079</v>
      </c>
    </row>
    <row r="732" spans="2:28" x14ac:dyDescent="0.2">
      <c r="C732" s="23">
        <v>1100578106</v>
      </c>
      <c r="E732" s="23">
        <v>20</v>
      </c>
      <c r="F732" s="23" t="s">
        <v>84</v>
      </c>
      <c r="G732" s="23" t="s">
        <v>123</v>
      </c>
      <c r="H732" s="24">
        <v>46177</v>
      </c>
      <c r="I732" s="24">
        <v>46177</v>
      </c>
      <c r="J732" s="23" t="s">
        <v>2480</v>
      </c>
      <c r="K732" s="23" t="s">
        <v>2480</v>
      </c>
      <c r="L732" s="23">
        <v>1</v>
      </c>
      <c r="M732" s="23" t="s">
        <v>78</v>
      </c>
      <c r="N732" s="23" t="s">
        <v>78</v>
      </c>
      <c r="O732" s="23">
        <v>0.01</v>
      </c>
      <c r="P732" s="23" t="s">
        <v>79</v>
      </c>
      <c r="Q732" s="23" t="s">
        <v>83</v>
      </c>
      <c r="R732" s="23">
        <v>11100018</v>
      </c>
      <c r="S732" s="24" t="s">
        <v>80</v>
      </c>
      <c r="T732" s="24">
        <v>46079</v>
      </c>
      <c r="U732" s="24" t="s">
        <v>80</v>
      </c>
      <c r="X732" s="24">
        <v>46079</v>
      </c>
      <c r="Y732" s="23">
        <v>1111</v>
      </c>
      <c r="Z732" s="23">
        <v>11100002</v>
      </c>
      <c r="AA732" s="23">
        <v>3312</v>
      </c>
      <c r="AB732" s="24">
        <v>46079</v>
      </c>
    </row>
    <row r="733" spans="2:28" x14ac:dyDescent="0.2">
      <c r="B733" s="23" t="s">
        <v>81</v>
      </c>
      <c r="C733" s="23">
        <v>1100578106</v>
      </c>
      <c r="H733" s="24">
        <v>46177</v>
      </c>
      <c r="O733" s="23">
        <v>13815.01</v>
      </c>
      <c r="P733" s="23" t="s">
        <v>79</v>
      </c>
    </row>
    <row r="734" spans="2:28" x14ac:dyDescent="0.2">
      <c r="C734" s="23">
        <v>1100555809</v>
      </c>
      <c r="E734" s="23">
        <v>10</v>
      </c>
      <c r="F734" s="23" t="s">
        <v>84</v>
      </c>
      <c r="G734" s="23" t="s">
        <v>123</v>
      </c>
      <c r="H734" s="24">
        <v>46183</v>
      </c>
      <c r="I734" s="24">
        <v>46183</v>
      </c>
      <c r="J734" s="23" t="s">
        <v>992</v>
      </c>
      <c r="K734" s="23" t="s">
        <v>992</v>
      </c>
      <c r="L734" s="23">
        <v>1</v>
      </c>
      <c r="M734" s="23" t="s">
        <v>78</v>
      </c>
      <c r="N734" s="23" t="s">
        <v>78</v>
      </c>
      <c r="O734" s="23">
        <v>12360</v>
      </c>
      <c r="P734" s="23" t="s">
        <v>79</v>
      </c>
      <c r="Q734" s="23" t="s">
        <v>83</v>
      </c>
      <c r="R734" s="23">
        <v>11100018</v>
      </c>
      <c r="S734" s="24">
        <v>46081</v>
      </c>
      <c r="T734" s="24">
        <v>45846</v>
      </c>
      <c r="U734" s="24" t="s">
        <v>80</v>
      </c>
      <c r="X734" s="24">
        <v>45548</v>
      </c>
      <c r="Y734" s="23">
        <v>1111</v>
      </c>
      <c r="Z734" s="23">
        <v>11100002</v>
      </c>
      <c r="AA734" s="23">
        <v>310103</v>
      </c>
      <c r="AB734" s="24">
        <v>45846</v>
      </c>
    </row>
    <row r="735" spans="2:28" x14ac:dyDescent="0.2">
      <c r="C735" s="23">
        <v>1100555809</v>
      </c>
      <c r="E735" s="23">
        <v>20</v>
      </c>
      <c r="F735" s="23" t="s">
        <v>993</v>
      </c>
      <c r="G735" s="23" t="s">
        <v>994</v>
      </c>
      <c r="H735" s="24">
        <v>46183</v>
      </c>
      <c r="I735" s="24">
        <v>46183</v>
      </c>
      <c r="J735" s="23" t="s">
        <v>992</v>
      </c>
      <c r="K735" s="23" t="s">
        <v>992</v>
      </c>
      <c r="L735" s="23">
        <v>1</v>
      </c>
      <c r="M735" s="23" t="s">
        <v>78</v>
      </c>
      <c r="N735" s="23" t="s">
        <v>78</v>
      </c>
      <c r="O735" s="23">
        <v>142283.17000000001</v>
      </c>
      <c r="P735" s="23" t="s">
        <v>79</v>
      </c>
      <c r="Q735" s="23" t="s">
        <v>83</v>
      </c>
      <c r="R735" s="23">
        <v>11100018</v>
      </c>
      <c r="S735" s="24">
        <v>46081</v>
      </c>
      <c r="T735" s="24">
        <v>45846</v>
      </c>
      <c r="U735" s="24" t="s">
        <v>80</v>
      </c>
      <c r="X735" s="24">
        <v>45548</v>
      </c>
      <c r="Y735" s="23">
        <v>1111</v>
      </c>
      <c r="Z735" s="23">
        <v>11100002</v>
      </c>
      <c r="AA735" s="23">
        <v>310103</v>
      </c>
      <c r="AB735" s="24">
        <v>45846</v>
      </c>
    </row>
    <row r="736" spans="2:28" x14ac:dyDescent="0.2">
      <c r="C736" s="23">
        <v>1100555809</v>
      </c>
      <c r="E736" s="23">
        <v>30</v>
      </c>
      <c r="F736" s="23" t="s">
        <v>4226</v>
      </c>
      <c r="G736" s="23" t="s">
        <v>4227</v>
      </c>
      <c r="H736" s="24">
        <v>46183</v>
      </c>
      <c r="I736" s="24">
        <v>46183</v>
      </c>
      <c r="J736" s="23" t="s">
        <v>992</v>
      </c>
      <c r="K736" s="23" t="s">
        <v>992</v>
      </c>
      <c r="L736" s="23">
        <v>1</v>
      </c>
      <c r="M736" s="23" t="s">
        <v>78</v>
      </c>
      <c r="N736" s="23" t="s">
        <v>78</v>
      </c>
      <c r="O736" s="23">
        <v>7037.99</v>
      </c>
      <c r="P736" s="23" t="s">
        <v>79</v>
      </c>
      <c r="Q736" s="23" t="s">
        <v>83</v>
      </c>
      <c r="R736" s="23">
        <v>11100018</v>
      </c>
      <c r="S736" s="24">
        <v>46081</v>
      </c>
      <c r="T736" s="24">
        <v>45846</v>
      </c>
      <c r="U736" s="24" t="s">
        <v>80</v>
      </c>
      <c r="X736" s="24">
        <v>45548</v>
      </c>
      <c r="Y736" s="23">
        <v>1111</v>
      </c>
      <c r="Z736" s="23">
        <v>11100002</v>
      </c>
      <c r="AA736" s="23">
        <v>310103</v>
      </c>
      <c r="AB736" s="24">
        <v>45846</v>
      </c>
    </row>
    <row r="737" spans="2:28" x14ac:dyDescent="0.2">
      <c r="C737" s="23">
        <v>1100555809</v>
      </c>
      <c r="E737" s="23">
        <v>40</v>
      </c>
      <c r="F737" s="23" t="s">
        <v>995</v>
      </c>
      <c r="G737" s="23" t="s">
        <v>996</v>
      </c>
      <c r="H737" s="24">
        <v>46183</v>
      </c>
      <c r="I737" s="24">
        <v>46183</v>
      </c>
      <c r="J737" s="23" t="s">
        <v>992</v>
      </c>
      <c r="K737" s="23" t="s">
        <v>992</v>
      </c>
      <c r="L737" s="23">
        <v>1</v>
      </c>
      <c r="M737" s="23" t="s">
        <v>78</v>
      </c>
      <c r="N737" s="23" t="s">
        <v>78</v>
      </c>
      <c r="O737" s="23">
        <v>46.78</v>
      </c>
      <c r="P737" s="23" t="s">
        <v>79</v>
      </c>
      <c r="Q737" s="23" t="s">
        <v>83</v>
      </c>
      <c r="R737" s="23">
        <v>11100018</v>
      </c>
      <c r="S737" s="24">
        <v>46081</v>
      </c>
      <c r="T737" s="24">
        <v>45846</v>
      </c>
      <c r="U737" s="24" t="s">
        <v>80</v>
      </c>
      <c r="X737" s="24">
        <v>45548</v>
      </c>
      <c r="Y737" s="23">
        <v>1111</v>
      </c>
      <c r="Z737" s="23">
        <v>11100002</v>
      </c>
      <c r="AA737" s="23">
        <v>310103</v>
      </c>
      <c r="AB737" s="24">
        <v>45846</v>
      </c>
    </row>
    <row r="738" spans="2:28" x14ac:dyDescent="0.2">
      <c r="C738" s="23">
        <v>1100555809</v>
      </c>
      <c r="E738" s="23">
        <v>50</v>
      </c>
      <c r="F738" s="23" t="s">
        <v>997</v>
      </c>
      <c r="G738" s="23" t="s">
        <v>998</v>
      </c>
      <c r="H738" s="24">
        <v>46183</v>
      </c>
      <c r="I738" s="24">
        <v>46183</v>
      </c>
      <c r="J738" s="23" t="s">
        <v>992</v>
      </c>
      <c r="K738" s="23" t="s">
        <v>992</v>
      </c>
      <c r="L738" s="23">
        <v>4</v>
      </c>
      <c r="M738" s="23" t="s">
        <v>78</v>
      </c>
      <c r="N738" s="23" t="s">
        <v>78</v>
      </c>
      <c r="O738" s="23">
        <v>40.64</v>
      </c>
      <c r="P738" s="23" t="s">
        <v>79</v>
      </c>
      <c r="Q738" s="23" t="s">
        <v>83</v>
      </c>
      <c r="R738" s="23">
        <v>11100018</v>
      </c>
      <c r="S738" s="24">
        <v>46081</v>
      </c>
      <c r="T738" s="24">
        <v>45846</v>
      </c>
      <c r="U738" s="24" t="s">
        <v>80</v>
      </c>
      <c r="X738" s="24">
        <v>45548</v>
      </c>
      <c r="Y738" s="23">
        <v>1111</v>
      </c>
      <c r="Z738" s="23">
        <v>11100002</v>
      </c>
      <c r="AA738" s="23">
        <v>310103</v>
      </c>
      <c r="AB738" s="24">
        <v>45846</v>
      </c>
    </row>
    <row r="739" spans="2:28" x14ac:dyDescent="0.2">
      <c r="C739" s="23">
        <v>1100555809</v>
      </c>
      <c r="E739" s="23">
        <v>61</v>
      </c>
      <c r="F739" s="23" t="s">
        <v>87</v>
      </c>
      <c r="G739" s="23" t="s">
        <v>142</v>
      </c>
      <c r="H739" s="24">
        <v>46183</v>
      </c>
      <c r="I739" s="24">
        <v>46183</v>
      </c>
      <c r="J739" s="23" t="s">
        <v>992</v>
      </c>
      <c r="K739" s="23" t="s">
        <v>992</v>
      </c>
      <c r="L739" s="23">
        <v>1</v>
      </c>
      <c r="M739" s="23" t="s">
        <v>78</v>
      </c>
      <c r="N739" s="23" t="s">
        <v>78</v>
      </c>
      <c r="O739" s="23">
        <v>1185.8699999999999</v>
      </c>
      <c r="P739" s="23" t="s">
        <v>79</v>
      </c>
      <c r="Q739" s="23" t="s">
        <v>83</v>
      </c>
      <c r="R739" s="23">
        <v>11100018</v>
      </c>
      <c r="S739" s="24" t="s">
        <v>80</v>
      </c>
      <c r="T739" s="24">
        <v>45846</v>
      </c>
      <c r="U739" s="24" t="s">
        <v>80</v>
      </c>
      <c r="X739" s="24" t="s">
        <v>80</v>
      </c>
      <c r="Y739" s="23">
        <v>1111</v>
      </c>
      <c r="Z739" s="23">
        <v>11100002</v>
      </c>
      <c r="AA739" s="23">
        <v>310103</v>
      </c>
      <c r="AB739" s="24" t="s">
        <v>80</v>
      </c>
    </row>
    <row r="740" spans="2:28" x14ac:dyDescent="0.2">
      <c r="C740" s="23">
        <v>1100555809</v>
      </c>
      <c r="E740" s="23">
        <v>70</v>
      </c>
      <c r="F740" s="23" t="s">
        <v>999</v>
      </c>
      <c r="G740" s="23" t="s">
        <v>1000</v>
      </c>
      <c r="H740" s="24">
        <v>46183</v>
      </c>
      <c r="I740" s="24">
        <v>46183</v>
      </c>
      <c r="J740" s="23" t="s">
        <v>992</v>
      </c>
      <c r="K740" s="23" t="s">
        <v>992</v>
      </c>
      <c r="L740" s="23">
        <v>1</v>
      </c>
      <c r="M740" s="23" t="s">
        <v>78</v>
      </c>
      <c r="N740" s="23" t="s">
        <v>78</v>
      </c>
      <c r="O740" s="23">
        <v>319.3</v>
      </c>
      <c r="P740" s="23" t="s">
        <v>79</v>
      </c>
      <c r="Q740" s="23" t="s">
        <v>83</v>
      </c>
      <c r="R740" s="23">
        <v>11100018</v>
      </c>
      <c r="S740" s="24">
        <v>46081</v>
      </c>
      <c r="T740" s="24">
        <v>45846</v>
      </c>
      <c r="U740" s="24" t="s">
        <v>80</v>
      </c>
      <c r="X740" s="24">
        <v>45548</v>
      </c>
      <c r="Y740" s="23">
        <v>1111</v>
      </c>
      <c r="Z740" s="23">
        <v>11100002</v>
      </c>
      <c r="AA740" s="23">
        <v>310103</v>
      </c>
      <c r="AB740" s="24">
        <v>45846</v>
      </c>
    </row>
    <row r="741" spans="2:28" x14ac:dyDescent="0.2">
      <c r="C741" s="23">
        <v>1100555809</v>
      </c>
      <c r="E741" s="23">
        <v>150</v>
      </c>
      <c r="F741" s="23" t="s">
        <v>2377</v>
      </c>
      <c r="G741" s="23" t="s">
        <v>2378</v>
      </c>
      <c r="H741" s="24">
        <v>46183</v>
      </c>
      <c r="I741" s="24">
        <v>46183</v>
      </c>
      <c r="J741" s="23" t="s">
        <v>992</v>
      </c>
      <c r="K741" s="23" t="s">
        <v>992</v>
      </c>
      <c r="L741" s="23">
        <v>1</v>
      </c>
      <c r="M741" s="23" t="s">
        <v>78</v>
      </c>
      <c r="N741" s="23" t="s">
        <v>78</v>
      </c>
      <c r="O741" s="23">
        <v>144559.26</v>
      </c>
      <c r="P741" s="23" t="s">
        <v>79</v>
      </c>
      <c r="Q741" s="23" t="s">
        <v>83</v>
      </c>
      <c r="R741" s="23">
        <v>11100018</v>
      </c>
      <c r="S741" s="24">
        <v>46081</v>
      </c>
      <c r="T741" s="24">
        <v>45846</v>
      </c>
      <c r="U741" s="24" t="s">
        <v>80</v>
      </c>
      <c r="X741" s="24">
        <v>45548</v>
      </c>
      <c r="Y741" s="23">
        <v>1111</v>
      </c>
      <c r="Z741" s="23">
        <v>11100002</v>
      </c>
      <c r="AA741" s="23">
        <v>310103</v>
      </c>
      <c r="AB741" s="24">
        <v>45846</v>
      </c>
    </row>
    <row r="742" spans="2:28" x14ac:dyDescent="0.2">
      <c r="C742" s="23">
        <v>1100555809</v>
      </c>
      <c r="E742" s="23">
        <v>160</v>
      </c>
      <c r="F742" s="23" t="s">
        <v>82</v>
      </c>
      <c r="G742" s="23" t="s">
        <v>139</v>
      </c>
      <c r="H742" s="24">
        <v>46183</v>
      </c>
      <c r="I742" s="24">
        <v>46183</v>
      </c>
      <c r="J742" s="23" t="s">
        <v>992</v>
      </c>
      <c r="K742" s="23" t="s">
        <v>992</v>
      </c>
      <c r="L742" s="23">
        <v>1</v>
      </c>
      <c r="M742" s="23" t="s">
        <v>78</v>
      </c>
      <c r="N742" s="23" t="s">
        <v>78</v>
      </c>
      <c r="O742" s="23">
        <v>0.01</v>
      </c>
      <c r="P742" s="23" t="s">
        <v>79</v>
      </c>
      <c r="Q742" s="23" t="s">
        <v>83</v>
      </c>
      <c r="R742" s="23">
        <v>11100018</v>
      </c>
      <c r="S742" s="24" t="s">
        <v>80</v>
      </c>
      <c r="T742" s="24">
        <v>45846</v>
      </c>
      <c r="U742" s="24" t="s">
        <v>80</v>
      </c>
      <c r="X742" s="24">
        <v>45548</v>
      </c>
      <c r="Y742" s="23">
        <v>1111</v>
      </c>
      <c r="Z742" s="23">
        <v>11100002</v>
      </c>
      <c r="AA742" s="23">
        <v>310103</v>
      </c>
      <c r="AB742" s="24">
        <v>45846</v>
      </c>
    </row>
    <row r="743" spans="2:28" x14ac:dyDescent="0.2">
      <c r="B743" s="23" t="s">
        <v>81</v>
      </c>
      <c r="C743" s="23">
        <v>1100555809</v>
      </c>
      <c r="H743" s="24">
        <v>46183</v>
      </c>
      <c r="O743" s="23">
        <v>307833.02</v>
      </c>
      <c r="P743" s="23" t="s">
        <v>79</v>
      </c>
    </row>
    <row r="744" spans="2:28" x14ac:dyDescent="0.2">
      <c r="C744" s="23">
        <v>1100573923</v>
      </c>
      <c r="E744" s="23">
        <v>10</v>
      </c>
      <c r="F744" s="23" t="s">
        <v>2481</v>
      </c>
      <c r="G744" s="23" t="s">
        <v>2482</v>
      </c>
      <c r="H744" s="24">
        <v>46183</v>
      </c>
      <c r="I744" s="24">
        <v>46183</v>
      </c>
      <c r="J744" s="23" t="s">
        <v>157</v>
      </c>
      <c r="K744" s="23" t="s">
        <v>157</v>
      </c>
      <c r="L744" s="23">
        <v>1</v>
      </c>
      <c r="M744" s="23" t="s">
        <v>78</v>
      </c>
      <c r="N744" s="23" t="s">
        <v>78</v>
      </c>
      <c r="O744" s="23">
        <v>20615</v>
      </c>
      <c r="P744" s="23" t="s">
        <v>79</v>
      </c>
      <c r="Q744" s="23" t="s">
        <v>83</v>
      </c>
      <c r="R744" s="23">
        <v>11100018</v>
      </c>
      <c r="S744" s="24">
        <v>46112</v>
      </c>
      <c r="T744" s="24">
        <v>46037</v>
      </c>
      <c r="U744" s="24" t="s">
        <v>80</v>
      </c>
      <c r="X744" s="24">
        <v>46036</v>
      </c>
      <c r="Y744" s="23">
        <v>1111</v>
      </c>
      <c r="Z744" s="23">
        <v>11100002</v>
      </c>
      <c r="AA744" s="23">
        <v>5424</v>
      </c>
      <c r="AB744" s="24">
        <v>46037</v>
      </c>
    </row>
    <row r="745" spans="2:28" x14ac:dyDescent="0.2">
      <c r="C745" s="23">
        <v>1100573923</v>
      </c>
      <c r="E745" s="23">
        <v>20</v>
      </c>
      <c r="F745" s="23" t="s">
        <v>84</v>
      </c>
      <c r="G745" s="23" t="s">
        <v>123</v>
      </c>
      <c r="H745" s="24">
        <v>46183</v>
      </c>
      <c r="I745" s="24">
        <v>46183</v>
      </c>
      <c r="J745" s="23" t="s">
        <v>157</v>
      </c>
      <c r="K745" s="23" t="s">
        <v>157</v>
      </c>
      <c r="L745" s="23">
        <v>1</v>
      </c>
      <c r="M745" s="23" t="s">
        <v>78</v>
      </c>
      <c r="N745" s="23" t="s">
        <v>78</v>
      </c>
      <c r="O745" s="23">
        <v>0.01</v>
      </c>
      <c r="P745" s="23" t="s">
        <v>79</v>
      </c>
      <c r="Q745" s="23" t="s">
        <v>83</v>
      </c>
      <c r="R745" s="23">
        <v>11100018</v>
      </c>
      <c r="S745" s="24" t="s">
        <v>80</v>
      </c>
      <c r="T745" s="24">
        <v>46037</v>
      </c>
      <c r="U745" s="24" t="s">
        <v>80</v>
      </c>
      <c r="X745" s="24">
        <v>46036</v>
      </c>
      <c r="Y745" s="23">
        <v>1111</v>
      </c>
      <c r="Z745" s="23">
        <v>11100002</v>
      </c>
      <c r="AA745" s="23">
        <v>5424</v>
      </c>
      <c r="AB745" s="24">
        <v>46037</v>
      </c>
    </row>
    <row r="746" spans="2:28" x14ac:dyDescent="0.2">
      <c r="B746" s="23" t="s">
        <v>81</v>
      </c>
      <c r="C746" s="23">
        <v>1100573923</v>
      </c>
      <c r="H746" s="24">
        <v>46183</v>
      </c>
      <c r="O746" s="23">
        <v>20615.009999999998</v>
      </c>
      <c r="P746" s="23" t="s">
        <v>79</v>
      </c>
    </row>
    <row r="747" spans="2:28" x14ac:dyDescent="0.2">
      <c r="C747" s="23">
        <v>1100575961</v>
      </c>
      <c r="E747" s="23">
        <v>10</v>
      </c>
      <c r="F747" s="23" t="s">
        <v>2483</v>
      </c>
      <c r="G747" s="23" t="s">
        <v>2484</v>
      </c>
      <c r="H747" s="24">
        <v>46183</v>
      </c>
      <c r="I747" s="24">
        <v>46183</v>
      </c>
      <c r="J747" s="23" t="s">
        <v>290</v>
      </c>
      <c r="K747" s="23" t="s">
        <v>290</v>
      </c>
      <c r="L747" s="23">
        <v>2</v>
      </c>
      <c r="M747" s="23" t="s">
        <v>78</v>
      </c>
      <c r="N747" s="23" t="s">
        <v>78</v>
      </c>
      <c r="O747" s="23">
        <v>31076</v>
      </c>
      <c r="P747" s="23" t="s">
        <v>79</v>
      </c>
      <c r="Q747" s="23" t="s">
        <v>83</v>
      </c>
      <c r="R747" s="23">
        <v>11100008</v>
      </c>
      <c r="S747" s="24">
        <v>46183</v>
      </c>
      <c r="T747" s="24">
        <v>46058</v>
      </c>
      <c r="U747" s="24" t="s">
        <v>80</v>
      </c>
      <c r="X747" s="24">
        <v>46048</v>
      </c>
      <c r="Y747" s="23">
        <v>1111</v>
      </c>
      <c r="Z747" s="23">
        <v>11100002</v>
      </c>
      <c r="AA747" s="23">
        <v>5012</v>
      </c>
      <c r="AB747" s="24">
        <v>46058</v>
      </c>
    </row>
    <row r="748" spans="2:28" x14ac:dyDescent="0.2">
      <c r="C748" s="23">
        <v>1100575961</v>
      </c>
      <c r="E748" s="23">
        <v>20</v>
      </c>
      <c r="F748" s="23" t="s">
        <v>84</v>
      </c>
      <c r="G748" s="23" t="s">
        <v>123</v>
      </c>
      <c r="H748" s="24">
        <v>46183</v>
      </c>
      <c r="I748" s="24">
        <v>46183</v>
      </c>
      <c r="J748" s="23" t="s">
        <v>290</v>
      </c>
      <c r="K748" s="23" t="s">
        <v>290</v>
      </c>
      <c r="L748" s="23">
        <v>1</v>
      </c>
      <c r="M748" s="23" t="s">
        <v>78</v>
      </c>
      <c r="N748" s="23" t="s">
        <v>78</v>
      </c>
      <c r="O748" s="23">
        <v>0.01</v>
      </c>
      <c r="P748" s="23" t="s">
        <v>79</v>
      </c>
      <c r="Q748" s="23" t="s">
        <v>83</v>
      </c>
      <c r="R748" s="23">
        <v>11100008</v>
      </c>
      <c r="S748" s="24" t="s">
        <v>80</v>
      </c>
      <c r="T748" s="24">
        <v>46058</v>
      </c>
      <c r="U748" s="24" t="s">
        <v>80</v>
      </c>
      <c r="X748" s="24">
        <v>46048</v>
      </c>
      <c r="Y748" s="23">
        <v>1111</v>
      </c>
      <c r="Z748" s="23">
        <v>11100002</v>
      </c>
      <c r="AA748" s="23">
        <v>5012</v>
      </c>
      <c r="AB748" s="24">
        <v>46058</v>
      </c>
    </row>
    <row r="749" spans="2:28" x14ac:dyDescent="0.2">
      <c r="B749" s="23" t="s">
        <v>81</v>
      </c>
      <c r="C749" s="23">
        <v>1100575961</v>
      </c>
      <c r="H749" s="24">
        <v>46183</v>
      </c>
      <c r="O749" s="23">
        <v>31076.01</v>
      </c>
      <c r="P749" s="23" t="s">
        <v>79</v>
      </c>
    </row>
    <row r="750" spans="2:28" x14ac:dyDescent="0.2">
      <c r="C750" s="23">
        <v>1100575992</v>
      </c>
      <c r="E750" s="23">
        <v>10</v>
      </c>
      <c r="F750" s="23" t="s">
        <v>87</v>
      </c>
      <c r="G750" s="23" t="s">
        <v>2485</v>
      </c>
      <c r="H750" s="24">
        <v>46183</v>
      </c>
      <c r="I750" s="24">
        <v>46183</v>
      </c>
      <c r="J750" s="23" t="s">
        <v>2486</v>
      </c>
      <c r="K750" s="23" t="s">
        <v>2486</v>
      </c>
      <c r="L750" s="23">
        <v>2</v>
      </c>
      <c r="M750" s="23" t="s">
        <v>78</v>
      </c>
      <c r="N750" s="23" t="s">
        <v>78</v>
      </c>
      <c r="O750" s="23">
        <v>141771</v>
      </c>
      <c r="P750" s="23" t="s">
        <v>79</v>
      </c>
      <c r="Q750" s="23" t="s">
        <v>83</v>
      </c>
      <c r="R750" s="23">
        <v>11100018</v>
      </c>
      <c r="S750" s="24">
        <v>46183</v>
      </c>
      <c r="T750" s="24">
        <v>46058</v>
      </c>
      <c r="U750" s="24">
        <v>47116</v>
      </c>
      <c r="X750" s="24">
        <v>46036</v>
      </c>
      <c r="Y750" s="23">
        <v>1111</v>
      </c>
      <c r="Z750" s="23">
        <v>11100305</v>
      </c>
      <c r="AA750" s="23">
        <v>510103</v>
      </c>
      <c r="AB750" s="24">
        <v>46058</v>
      </c>
    </row>
    <row r="751" spans="2:28" x14ac:dyDescent="0.2">
      <c r="C751" s="23">
        <v>1100575992</v>
      </c>
      <c r="E751" s="23">
        <v>20</v>
      </c>
      <c r="F751" s="23" t="s">
        <v>84</v>
      </c>
      <c r="G751" s="23" t="s">
        <v>123</v>
      </c>
      <c r="H751" s="24">
        <v>46183</v>
      </c>
      <c r="I751" s="24">
        <v>46183</v>
      </c>
      <c r="J751" s="23" t="s">
        <v>2486</v>
      </c>
      <c r="K751" s="23" t="s">
        <v>2486</v>
      </c>
      <c r="L751" s="23">
        <v>1</v>
      </c>
      <c r="M751" s="23" t="s">
        <v>78</v>
      </c>
      <c r="N751" s="23" t="s">
        <v>78</v>
      </c>
      <c r="O751" s="23">
        <v>0.01</v>
      </c>
      <c r="P751" s="23" t="s">
        <v>79</v>
      </c>
      <c r="Q751" s="23" t="s">
        <v>83</v>
      </c>
      <c r="R751" s="23">
        <v>11100018</v>
      </c>
      <c r="S751" s="24">
        <v>46183</v>
      </c>
      <c r="T751" s="24">
        <v>46058</v>
      </c>
      <c r="U751" s="24">
        <v>47116</v>
      </c>
      <c r="X751" s="24">
        <v>46036</v>
      </c>
      <c r="Y751" s="23">
        <v>1111</v>
      </c>
      <c r="Z751" s="23">
        <v>11100305</v>
      </c>
      <c r="AA751" s="23">
        <v>510103</v>
      </c>
      <c r="AB751" s="24">
        <v>46058</v>
      </c>
    </row>
    <row r="752" spans="2:28" x14ac:dyDescent="0.2">
      <c r="B752" s="23" t="s">
        <v>81</v>
      </c>
      <c r="C752" s="23">
        <v>1100575992</v>
      </c>
      <c r="H752" s="24">
        <v>46183</v>
      </c>
      <c r="O752" s="23">
        <v>141771.01</v>
      </c>
      <c r="P752" s="23" t="s">
        <v>79</v>
      </c>
    </row>
    <row r="753" spans="2:28" x14ac:dyDescent="0.2">
      <c r="C753" s="23">
        <v>1100576428</v>
      </c>
      <c r="E753" s="23">
        <v>10</v>
      </c>
      <c r="F753" s="23" t="s">
        <v>2483</v>
      </c>
      <c r="G753" s="23" t="s">
        <v>2484</v>
      </c>
      <c r="H753" s="24">
        <v>46183</v>
      </c>
      <c r="I753" s="24">
        <v>46183</v>
      </c>
      <c r="J753" s="23" t="s">
        <v>290</v>
      </c>
      <c r="K753" s="23" t="s">
        <v>290</v>
      </c>
      <c r="L753" s="23">
        <v>2</v>
      </c>
      <c r="M753" s="23" t="s">
        <v>78</v>
      </c>
      <c r="N753" s="23" t="s">
        <v>78</v>
      </c>
      <c r="O753" s="23">
        <v>31076</v>
      </c>
      <c r="P753" s="23" t="s">
        <v>79</v>
      </c>
      <c r="Q753" s="23" t="s">
        <v>83</v>
      </c>
      <c r="R753" s="23">
        <v>11100008</v>
      </c>
      <c r="S753" s="24" t="s">
        <v>80</v>
      </c>
      <c r="T753" s="24">
        <v>46063</v>
      </c>
      <c r="U753" s="24" t="s">
        <v>80</v>
      </c>
      <c r="X753" s="24">
        <v>46055</v>
      </c>
      <c r="Y753" s="23">
        <v>1111</v>
      </c>
      <c r="Z753" s="23">
        <v>11100002</v>
      </c>
      <c r="AA753" s="23">
        <v>5012</v>
      </c>
      <c r="AB753" s="24">
        <v>46063</v>
      </c>
    </row>
    <row r="754" spans="2:28" x14ac:dyDescent="0.2">
      <c r="C754" s="23">
        <v>1100576428</v>
      </c>
      <c r="E754" s="23">
        <v>20</v>
      </c>
      <c r="F754" s="23" t="s">
        <v>84</v>
      </c>
      <c r="G754" s="23" t="s">
        <v>123</v>
      </c>
      <c r="H754" s="24">
        <v>46183</v>
      </c>
      <c r="I754" s="24">
        <v>46183</v>
      </c>
      <c r="J754" s="23" t="s">
        <v>290</v>
      </c>
      <c r="K754" s="23" t="s">
        <v>290</v>
      </c>
      <c r="L754" s="23">
        <v>1</v>
      </c>
      <c r="M754" s="23" t="s">
        <v>78</v>
      </c>
      <c r="N754" s="23" t="s">
        <v>78</v>
      </c>
      <c r="O754" s="23">
        <v>0.01</v>
      </c>
      <c r="P754" s="23" t="s">
        <v>79</v>
      </c>
      <c r="Q754" s="23" t="s">
        <v>83</v>
      </c>
      <c r="R754" s="23">
        <v>11100008</v>
      </c>
      <c r="S754" s="24" t="s">
        <v>80</v>
      </c>
      <c r="T754" s="24">
        <v>46063</v>
      </c>
      <c r="U754" s="24" t="s">
        <v>80</v>
      </c>
      <c r="X754" s="24">
        <v>46055</v>
      </c>
      <c r="Y754" s="23">
        <v>1111</v>
      </c>
      <c r="Z754" s="23">
        <v>11100002</v>
      </c>
      <c r="AA754" s="23">
        <v>5012</v>
      </c>
      <c r="AB754" s="24">
        <v>46063</v>
      </c>
    </row>
    <row r="755" spans="2:28" x14ac:dyDescent="0.2">
      <c r="B755" s="23" t="s">
        <v>81</v>
      </c>
      <c r="C755" s="23">
        <v>1100576428</v>
      </c>
      <c r="H755" s="24">
        <v>46183</v>
      </c>
      <c r="O755" s="23">
        <v>31076.01</v>
      </c>
      <c r="P755" s="23" t="s">
        <v>79</v>
      </c>
    </row>
    <row r="756" spans="2:28" x14ac:dyDescent="0.2">
      <c r="C756" s="23">
        <v>1100572928</v>
      </c>
      <c r="E756" s="23">
        <v>10</v>
      </c>
      <c r="F756" s="23" t="s">
        <v>1718</v>
      </c>
      <c r="G756" s="23" t="s">
        <v>364</v>
      </c>
      <c r="H756" s="24">
        <v>46185</v>
      </c>
      <c r="I756" s="24">
        <v>46185</v>
      </c>
      <c r="J756" s="23" t="s">
        <v>1601</v>
      </c>
      <c r="K756" s="23" t="s">
        <v>1601</v>
      </c>
      <c r="L756" s="23">
        <v>1</v>
      </c>
      <c r="M756" s="23" t="s">
        <v>78</v>
      </c>
      <c r="N756" s="23" t="s">
        <v>78</v>
      </c>
      <c r="O756" s="23">
        <v>57816</v>
      </c>
      <c r="P756" s="23" t="s">
        <v>79</v>
      </c>
      <c r="Q756" s="23" t="s">
        <v>83</v>
      </c>
      <c r="R756" s="23">
        <v>11100018</v>
      </c>
      <c r="S756" s="24">
        <v>46185</v>
      </c>
      <c r="T756" s="24">
        <v>46028</v>
      </c>
      <c r="U756" s="24" t="s">
        <v>80</v>
      </c>
      <c r="X756" s="24">
        <v>46007</v>
      </c>
      <c r="Y756" s="23">
        <v>1111</v>
      </c>
      <c r="Z756" s="23">
        <v>11100002</v>
      </c>
      <c r="AA756" s="23">
        <v>5201</v>
      </c>
      <c r="AB756" s="24">
        <v>46028</v>
      </c>
    </row>
    <row r="757" spans="2:28" x14ac:dyDescent="0.2">
      <c r="C757" s="23">
        <v>1100572928</v>
      </c>
      <c r="E757" s="23">
        <v>20</v>
      </c>
      <c r="F757" s="23" t="s">
        <v>1719</v>
      </c>
      <c r="G757" s="23" t="s">
        <v>1720</v>
      </c>
      <c r="H757" s="24">
        <v>46185</v>
      </c>
      <c r="I757" s="24">
        <v>46185</v>
      </c>
      <c r="J757" s="23" t="s">
        <v>1601</v>
      </c>
      <c r="K757" s="23" t="s">
        <v>1601</v>
      </c>
      <c r="L757" s="23">
        <v>1</v>
      </c>
      <c r="M757" s="23" t="s">
        <v>78</v>
      </c>
      <c r="N757" s="23" t="s">
        <v>78</v>
      </c>
      <c r="O757" s="23">
        <v>0.01</v>
      </c>
      <c r="P757" s="23" t="s">
        <v>79</v>
      </c>
      <c r="Q757" s="23" t="s">
        <v>83</v>
      </c>
      <c r="R757" s="23">
        <v>11100018</v>
      </c>
      <c r="S757" s="24" t="s">
        <v>80</v>
      </c>
      <c r="T757" s="24">
        <v>46028</v>
      </c>
      <c r="U757" s="24" t="s">
        <v>80</v>
      </c>
      <c r="X757" s="24">
        <v>46007</v>
      </c>
      <c r="Y757" s="23">
        <v>1111</v>
      </c>
      <c r="Z757" s="23">
        <v>11100002</v>
      </c>
      <c r="AA757" s="23">
        <v>5201</v>
      </c>
      <c r="AB757" s="24">
        <v>46028</v>
      </c>
    </row>
    <row r="758" spans="2:28" x14ac:dyDescent="0.2">
      <c r="C758" s="23">
        <v>1100572928</v>
      </c>
      <c r="E758" s="23">
        <v>30</v>
      </c>
      <c r="F758" s="23" t="s">
        <v>84</v>
      </c>
      <c r="G758" s="23" t="s">
        <v>123</v>
      </c>
      <c r="H758" s="24">
        <v>46185</v>
      </c>
      <c r="I758" s="24">
        <v>46185</v>
      </c>
      <c r="J758" s="23" t="s">
        <v>1601</v>
      </c>
      <c r="K758" s="23" t="s">
        <v>1601</v>
      </c>
      <c r="L758" s="23">
        <v>1</v>
      </c>
      <c r="M758" s="23" t="s">
        <v>78</v>
      </c>
      <c r="N758" s="23" t="s">
        <v>78</v>
      </c>
      <c r="O758" s="23">
        <v>0.01</v>
      </c>
      <c r="P758" s="23" t="s">
        <v>79</v>
      </c>
      <c r="Q758" s="23" t="s">
        <v>83</v>
      </c>
      <c r="R758" s="23">
        <v>11100018</v>
      </c>
      <c r="S758" s="24" t="s">
        <v>80</v>
      </c>
      <c r="T758" s="24">
        <v>46028</v>
      </c>
      <c r="U758" s="24" t="s">
        <v>80</v>
      </c>
      <c r="X758" s="24">
        <v>46007</v>
      </c>
      <c r="Y758" s="23">
        <v>1111</v>
      </c>
      <c r="Z758" s="23">
        <v>11100002</v>
      </c>
      <c r="AA758" s="23">
        <v>5201</v>
      </c>
      <c r="AB758" s="24">
        <v>46028</v>
      </c>
    </row>
    <row r="759" spans="2:28" x14ac:dyDescent="0.2">
      <c r="C759" s="23">
        <v>1100572928</v>
      </c>
      <c r="E759" s="23">
        <v>40</v>
      </c>
      <c r="F759" s="23" t="s">
        <v>82</v>
      </c>
      <c r="G759" s="23" t="s">
        <v>139</v>
      </c>
      <c r="H759" s="24">
        <v>46185</v>
      </c>
      <c r="I759" s="24">
        <v>46185</v>
      </c>
      <c r="J759" s="23" t="s">
        <v>1601</v>
      </c>
      <c r="K759" s="23" t="s">
        <v>1601</v>
      </c>
      <c r="L759" s="23">
        <v>1</v>
      </c>
      <c r="M759" s="23" t="s">
        <v>78</v>
      </c>
      <c r="N759" s="23" t="s">
        <v>78</v>
      </c>
      <c r="O759" s="23">
        <v>0.01</v>
      </c>
      <c r="P759" s="23" t="s">
        <v>79</v>
      </c>
      <c r="Q759" s="23" t="s">
        <v>83</v>
      </c>
      <c r="R759" s="23">
        <v>11100018</v>
      </c>
      <c r="S759" s="24" t="s">
        <v>80</v>
      </c>
      <c r="T759" s="24">
        <v>46028</v>
      </c>
      <c r="U759" s="24" t="s">
        <v>80</v>
      </c>
      <c r="X759" s="24">
        <v>46007</v>
      </c>
      <c r="Y759" s="23">
        <v>1111</v>
      </c>
      <c r="Z759" s="23">
        <v>11100002</v>
      </c>
      <c r="AA759" s="23">
        <v>5201</v>
      </c>
      <c r="AB759" s="24">
        <v>46028</v>
      </c>
    </row>
    <row r="760" spans="2:28" x14ac:dyDescent="0.2">
      <c r="C760" s="23">
        <v>1100572928</v>
      </c>
      <c r="E760" s="23">
        <v>50</v>
      </c>
      <c r="F760" s="23" t="s">
        <v>288</v>
      </c>
      <c r="G760" s="23" t="s">
        <v>289</v>
      </c>
      <c r="H760" s="24">
        <v>46185</v>
      </c>
      <c r="I760" s="24">
        <v>46185</v>
      </c>
      <c r="J760" s="23" t="s">
        <v>1601</v>
      </c>
      <c r="K760" s="23" t="s">
        <v>1601</v>
      </c>
      <c r="L760" s="23">
        <v>1</v>
      </c>
      <c r="M760" s="23" t="s">
        <v>131</v>
      </c>
      <c r="N760" s="23" t="s">
        <v>131</v>
      </c>
      <c r="O760" s="23">
        <v>1788</v>
      </c>
      <c r="P760" s="23" t="s">
        <v>79</v>
      </c>
      <c r="Q760" s="23" t="s">
        <v>83</v>
      </c>
      <c r="R760" s="23">
        <v>11100018</v>
      </c>
      <c r="S760" s="24" t="s">
        <v>80</v>
      </c>
      <c r="T760" s="24">
        <v>46028</v>
      </c>
      <c r="U760" s="24" t="s">
        <v>80</v>
      </c>
      <c r="X760" s="24">
        <v>46007</v>
      </c>
      <c r="Y760" s="23">
        <v>1111</v>
      </c>
      <c r="Z760" s="23">
        <v>11100002</v>
      </c>
      <c r="AA760" s="23">
        <v>5201</v>
      </c>
      <c r="AB760" s="24">
        <v>46028</v>
      </c>
    </row>
    <row r="761" spans="2:28" x14ac:dyDescent="0.2">
      <c r="B761" s="23" t="s">
        <v>81</v>
      </c>
      <c r="C761" s="23">
        <v>1100572928</v>
      </c>
      <c r="H761" s="24">
        <v>46185</v>
      </c>
      <c r="O761" s="23">
        <v>59604.03</v>
      </c>
      <c r="P761" s="23" t="s">
        <v>79</v>
      </c>
    </row>
    <row r="762" spans="2:28" x14ac:dyDescent="0.2">
      <c r="C762" s="23">
        <v>1100572551</v>
      </c>
      <c r="E762" s="23">
        <v>10</v>
      </c>
      <c r="F762" s="23" t="s">
        <v>1560</v>
      </c>
      <c r="G762" s="23" t="s">
        <v>364</v>
      </c>
      <c r="H762" s="24">
        <v>46188</v>
      </c>
      <c r="I762" s="24">
        <v>46188</v>
      </c>
      <c r="J762" s="23" t="s">
        <v>551</v>
      </c>
      <c r="K762" s="23" t="s">
        <v>551</v>
      </c>
      <c r="L762" s="23">
        <v>1</v>
      </c>
      <c r="M762" s="23" t="s">
        <v>78</v>
      </c>
      <c r="N762" s="23" t="s">
        <v>78</v>
      </c>
      <c r="O762" s="23">
        <v>30046</v>
      </c>
      <c r="P762" s="23" t="s">
        <v>79</v>
      </c>
      <c r="Q762" s="23" t="s">
        <v>83</v>
      </c>
      <c r="R762" s="23">
        <v>11100008</v>
      </c>
      <c r="S762" s="24">
        <v>46188</v>
      </c>
      <c r="T762" s="24">
        <v>46021</v>
      </c>
      <c r="U762" s="24">
        <v>46752</v>
      </c>
      <c r="X762" s="24">
        <v>46020</v>
      </c>
      <c r="Y762" s="23">
        <v>1111</v>
      </c>
      <c r="Z762" s="23">
        <v>11100002</v>
      </c>
      <c r="AA762" s="23">
        <v>3301</v>
      </c>
      <c r="AB762" s="24">
        <v>46021</v>
      </c>
    </row>
    <row r="763" spans="2:28" x14ac:dyDescent="0.2">
      <c r="C763" s="23">
        <v>1100572551</v>
      </c>
      <c r="E763" s="23">
        <v>11</v>
      </c>
      <c r="F763" s="23" t="s">
        <v>4228</v>
      </c>
      <c r="G763" s="23" t="s">
        <v>364</v>
      </c>
      <c r="H763" s="24">
        <v>46188</v>
      </c>
      <c r="I763" s="24">
        <v>47118</v>
      </c>
      <c r="J763" s="23" t="s">
        <v>551</v>
      </c>
      <c r="K763" s="23" t="s">
        <v>551</v>
      </c>
      <c r="L763" s="23">
        <v>1</v>
      </c>
      <c r="M763" s="23" t="s">
        <v>78</v>
      </c>
      <c r="N763" s="23" t="s">
        <v>78</v>
      </c>
      <c r="O763" s="23">
        <v>30046</v>
      </c>
      <c r="P763" s="23" t="s">
        <v>79</v>
      </c>
      <c r="Q763" s="23" t="s">
        <v>83</v>
      </c>
      <c r="R763" s="23">
        <v>11100008</v>
      </c>
      <c r="S763" s="24">
        <v>46188</v>
      </c>
      <c r="T763" s="24">
        <v>46021</v>
      </c>
      <c r="U763" s="24">
        <v>47116</v>
      </c>
      <c r="X763" s="24">
        <v>46020</v>
      </c>
      <c r="Y763" s="23">
        <v>1111</v>
      </c>
      <c r="Z763" s="23">
        <v>11100002</v>
      </c>
      <c r="AA763" s="23">
        <v>3301</v>
      </c>
      <c r="AB763" s="24">
        <v>46021</v>
      </c>
    </row>
    <row r="764" spans="2:28" x14ac:dyDescent="0.2">
      <c r="C764" s="23">
        <v>1100572551</v>
      </c>
      <c r="E764" s="23">
        <v>20</v>
      </c>
      <c r="F764" s="23" t="s">
        <v>87</v>
      </c>
      <c r="G764" s="23" t="s">
        <v>142</v>
      </c>
      <c r="H764" s="24">
        <v>46188</v>
      </c>
      <c r="I764" s="24">
        <v>46188</v>
      </c>
      <c r="J764" s="23" t="s">
        <v>551</v>
      </c>
      <c r="K764" s="23" t="s">
        <v>551</v>
      </c>
      <c r="L764" s="23">
        <v>2</v>
      </c>
      <c r="M764" s="23" t="s">
        <v>78</v>
      </c>
      <c r="N764" s="23" t="s">
        <v>78</v>
      </c>
      <c r="O764" s="23">
        <v>39168</v>
      </c>
      <c r="P764" s="23" t="s">
        <v>79</v>
      </c>
      <c r="Q764" s="23" t="s">
        <v>83</v>
      </c>
      <c r="R764" s="23">
        <v>11100008</v>
      </c>
      <c r="S764" s="24">
        <v>46188</v>
      </c>
      <c r="T764" s="24">
        <v>46021</v>
      </c>
      <c r="U764" s="24">
        <v>46752</v>
      </c>
      <c r="X764" s="24">
        <v>46020</v>
      </c>
      <c r="Y764" s="23">
        <v>1111</v>
      </c>
      <c r="Z764" s="23">
        <v>11100002</v>
      </c>
      <c r="AA764" s="23">
        <v>3301</v>
      </c>
      <c r="AB764" s="24">
        <v>46021</v>
      </c>
    </row>
    <row r="765" spans="2:28" x14ac:dyDescent="0.2">
      <c r="C765" s="23">
        <v>1100572551</v>
      </c>
      <c r="E765" s="23">
        <v>21</v>
      </c>
      <c r="F765" s="23" t="s">
        <v>365</v>
      </c>
      <c r="G765" s="23" t="s">
        <v>366</v>
      </c>
      <c r="H765" s="24">
        <v>46188</v>
      </c>
      <c r="I765" s="24">
        <v>46188</v>
      </c>
      <c r="J765" s="23" t="s">
        <v>551</v>
      </c>
      <c r="K765" s="23" t="s">
        <v>551</v>
      </c>
      <c r="L765" s="23">
        <v>2</v>
      </c>
      <c r="M765" s="23" t="s">
        <v>78</v>
      </c>
      <c r="N765" s="23" t="s">
        <v>78</v>
      </c>
      <c r="O765" s="23">
        <v>0.02</v>
      </c>
      <c r="P765" s="23" t="s">
        <v>79</v>
      </c>
      <c r="Q765" s="23" t="s">
        <v>83</v>
      </c>
      <c r="R765" s="23">
        <v>11100008</v>
      </c>
      <c r="S765" s="24" t="s">
        <v>80</v>
      </c>
      <c r="T765" s="24">
        <v>46021</v>
      </c>
      <c r="U765" s="24">
        <v>46752</v>
      </c>
      <c r="X765" s="24">
        <v>46020</v>
      </c>
      <c r="Y765" s="23">
        <v>1111</v>
      </c>
      <c r="Z765" s="23">
        <v>11100002</v>
      </c>
      <c r="AA765" s="23">
        <v>3301</v>
      </c>
      <c r="AB765" s="24">
        <v>46021</v>
      </c>
    </row>
    <row r="766" spans="2:28" x14ac:dyDescent="0.2">
      <c r="C766" s="23">
        <v>1100572551</v>
      </c>
      <c r="E766" s="23">
        <v>22</v>
      </c>
      <c r="F766" s="23" t="s">
        <v>88</v>
      </c>
      <c r="G766" s="23" t="s">
        <v>158</v>
      </c>
      <c r="H766" s="24">
        <v>46188</v>
      </c>
      <c r="I766" s="24">
        <v>46188</v>
      </c>
      <c r="J766" s="23" t="s">
        <v>551</v>
      </c>
      <c r="K766" s="23" t="s">
        <v>551</v>
      </c>
      <c r="L766" s="23">
        <v>1</v>
      </c>
      <c r="M766" s="23" t="s">
        <v>78</v>
      </c>
      <c r="N766" s="23" t="s">
        <v>78</v>
      </c>
      <c r="O766" s="23">
        <v>0.01</v>
      </c>
      <c r="P766" s="23" t="s">
        <v>79</v>
      </c>
      <c r="Q766" s="23" t="s">
        <v>83</v>
      </c>
      <c r="R766" s="23">
        <v>11100008</v>
      </c>
      <c r="S766" s="24" t="s">
        <v>80</v>
      </c>
      <c r="T766" s="24">
        <v>46021</v>
      </c>
      <c r="U766" s="24">
        <v>46752</v>
      </c>
      <c r="X766" s="24">
        <v>46020</v>
      </c>
      <c r="Y766" s="23">
        <v>1111</v>
      </c>
      <c r="Z766" s="23">
        <v>11100002</v>
      </c>
      <c r="AA766" s="23">
        <v>3301</v>
      </c>
      <c r="AB766" s="24">
        <v>46021</v>
      </c>
    </row>
    <row r="767" spans="2:28" x14ac:dyDescent="0.2">
      <c r="C767" s="23">
        <v>1100572551</v>
      </c>
      <c r="E767" s="23">
        <v>30</v>
      </c>
      <c r="F767" s="23" t="s">
        <v>84</v>
      </c>
      <c r="G767" s="23" t="s">
        <v>123</v>
      </c>
      <c r="H767" s="24">
        <v>46188</v>
      </c>
      <c r="I767" s="24">
        <v>46188</v>
      </c>
      <c r="J767" s="23" t="s">
        <v>551</v>
      </c>
      <c r="K767" s="23" t="s">
        <v>551</v>
      </c>
      <c r="L767" s="23">
        <v>1</v>
      </c>
      <c r="M767" s="23" t="s">
        <v>78</v>
      </c>
      <c r="N767" s="23" t="s">
        <v>78</v>
      </c>
      <c r="O767" s="23">
        <v>0.01</v>
      </c>
      <c r="P767" s="23" t="s">
        <v>79</v>
      </c>
      <c r="Q767" s="23" t="s">
        <v>83</v>
      </c>
      <c r="R767" s="23">
        <v>11100008</v>
      </c>
      <c r="S767" s="24" t="s">
        <v>80</v>
      </c>
      <c r="T767" s="24">
        <v>46021</v>
      </c>
      <c r="U767" s="24">
        <v>46752</v>
      </c>
      <c r="X767" s="24">
        <v>46020</v>
      </c>
      <c r="Y767" s="23">
        <v>1111</v>
      </c>
      <c r="Z767" s="23">
        <v>11100002</v>
      </c>
      <c r="AA767" s="23">
        <v>3301</v>
      </c>
      <c r="AB767" s="24">
        <v>46021</v>
      </c>
    </row>
    <row r="768" spans="2:28" x14ac:dyDescent="0.2">
      <c r="C768" s="23">
        <v>1100572551</v>
      </c>
      <c r="E768" s="23">
        <v>40</v>
      </c>
      <c r="F768" s="23" t="s">
        <v>82</v>
      </c>
      <c r="G768" s="23" t="s">
        <v>139</v>
      </c>
      <c r="H768" s="24">
        <v>46188</v>
      </c>
      <c r="I768" s="24">
        <v>46188</v>
      </c>
      <c r="J768" s="23" t="s">
        <v>551</v>
      </c>
      <c r="K768" s="23" t="s">
        <v>551</v>
      </c>
      <c r="L768" s="23">
        <v>1</v>
      </c>
      <c r="M768" s="23" t="s">
        <v>78</v>
      </c>
      <c r="N768" s="23" t="s">
        <v>78</v>
      </c>
      <c r="O768" s="23">
        <v>0.01</v>
      </c>
      <c r="P768" s="23" t="s">
        <v>79</v>
      </c>
      <c r="Q768" s="23" t="s">
        <v>83</v>
      </c>
      <c r="R768" s="23">
        <v>11100008</v>
      </c>
      <c r="S768" s="24" t="s">
        <v>80</v>
      </c>
      <c r="T768" s="24">
        <v>46021</v>
      </c>
      <c r="U768" s="24">
        <v>46752</v>
      </c>
      <c r="X768" s="24">
        <v>46020</v>
      </c>
      <c r="Y768" s="23">
        <v>1111</v>
      </c>
      <c r="Z768" s="23">
        <v>11100002</v>
      </c>
      <c r="AA768" s="23">
        <v>3301</v>
      </c>
      <c r="AB768" s="24">
        <v>46021</v>
      </c>
    </row>
    <row r="769" spans="2:28" x14ac:dyDescent="0.2">
      <c r="C769" s="23">
        <v>1100572551</v>
      </c>
      <c r="E769" s="23">
        <v>50</v>
      </c>
      <c r="F769" s="23" t="s">
        <v>2472</v>
      </c>
      <c r="G769" s="23" t="s">
        <v>4229</v>
      </c>
      <c r="H769" s="24">
        <v>46188</v>
      </c>
      <c r="I769" s="24">
        <v>47118</v>
      </c>
      <c r="J769" s="23" t="s">
        <v>551</v>
      </c>
      <c r="K769" s="23" t="s">
        <v>551</v>
      </c>
      <c r="L769" s="23">
        <v>1</v>
      </c>
      <c r="M769" s="23" t="s">
        <v>78</v>
      </c>
      <c r="N769" s="23" t="s">
        <v>78</v>
      </c>
      <c r="O769" s="23">
        <v>1501</v>
      </c>
      <c r="P769" s="23" t="s">
        <v>79</v>
      </c>
      <c r="Q769" s="23" t="s">
        <v>83</v>
      </c>
      <c r="R769" s="23">
        <v>11100008</v>
      </c>
      <c r="S769" s="24" t="s">
        <v>80</v>
      </c>
      <c r="T769" s="24">
        <v>46021</v>
      </c>
      <c r="U769" s="24">
        <v>47116</v>
      </c>
      <c r="X769" s="24">
        <v>46020</v>
      </c>
      <c r="Y769" s="23">
        <v>1111</v>
      </c>
      <c r="Z769" s="23">
        <v>11100002</v>
      </c>
      <c r="AA769" s="23">
        <v>3301</v>
      </c>
      <c r="AB769" s="24">
        <v>46021</v>
      </c>
    </row>
    <row r="770" spans="2:28" x14ac:dyDescent="0.2">
      <c r="B770" s="23" t="s">
        <v>81</v>
      </c>
      <c r="C770" s="23">
        <v>1100572551</v>
      </c>
      <c r="H770" s="24">
        <v>46188</v>
      </c>
      <c r="O770" s="23">
        <v>100761.05</v>
      </c>
      <c r="P770" s="23" t="s">
        <v>79</v>
      </c>
    </row>
    <row r="771" spans="2:28" x14ac:dyDescent="0.2">
      <c r="C771" s="23">
        <v>1100576397</v>
      </c>
      <c r="E771" s="23">
        <v>10</v>
      </c>
      <c r="F771" s="23" t="s">
        <v>87</v>
      </c>
      <c r="G771" s="23" t="s">
        <v>2487</v>
      </c>
      <c r="H771" s="24">
        <v>46188</v>
      </c>
      <c r="I771" s="24">
        <v>46188</v>
      </c>
      <c r="J771" s="23" t="s">
        <v>499</v>
      </c>
      <c r="K771" s="23" t="s">
        <v>499</v>
      </c>
      <c r="L771" s="23">
        <v>2</v>
      </c>
      <c r="M771" s="23" t="s">
        <v>78</v>
      </c>
      <c r="N771" s="23" t="s">
        <v>78</v>
      </c>
      <c r="O771" s="23">
        <v>30872</v>
      </c>
      <c r="P771" s="23" t="s">
        <v>79</v>
      </c>
      <c r="Q771" s="23" t="s">
        <v>83</v>
      </c>
      <c r="R771" s="23">
        <v>11100189</v>
      </c>
      <c r="S771" s="24">
        <v>46142</v>
      </c>
      <c r="T771" s="24">
        <v>46063</v>
      </c>
      <c r="U771" s="24" t="s">
        <v>80</v>
      </c>
      <c r="X771" s="24">
        <v>46058</v>
      </c>
      <c r="Y771" s="23">
        <v>1111</v>
      </c>
      <c r="Z771" s="23">
        <v>11100305</v>
      </c>
      <c r="AA771" s="23">
        <v>331203</v>
      </c>
      <c r="AB771" s="24">
        <v>46063</v>
      </c>
    </row>
    <row r="772" spans="2:28" x14ac:dyDescent="0.2">
      <c r="C772" s="23">
        <v>1100576397</v>
      </c>
      <c r="E772" s="23">
        <v>20</v>
      </c>
      <c r="F772" s="23" t="s">
        <v>84</v>
      </c>
      <c r="G772" s="23" t="s">
        <v>123</v>
      </c>
      <c r="H772" s="24">
        <v>46188</v>
      </c>
      <c r="I772" s="24">
        <v>46188</v>
      </c>
      <c r="J772" s="23" t="s">
        <v>499</v>
      </c>
      <c r="K772" s="23" t="s">
        <v>499</v>
      </c>
      <c r="L772" s="23">
        <v>1</v>
      </c>
      <c r="M772" s="23" t="s">
        <v>78</v>
      </c>
      <c r="N772" s="23" t="s">
        <v>78</v>
      </c>
      <c r="O772" s="23">
        <v>0.01</v>
      </c>
      <c r="P772" s="23" t="s">
        <v>79</v>
      </c>
      <c r="Q772" s="23" t="s">
        <v>83</v>
      </c>
      <c r="R772" s="23">
        <v>11100189</v>
      </c>
      <c r="S772" s="24">
        <v>46142</v>
      </c>
      <c r="T772" s="24">
        <v>46063</v>
      </c>
      <c r="U772" s="24" t="s">
        <v>80</v>
      </c>
      <c r="X772" s="24">
        <v>46058</v>
      </c>
      <c r="Y772" s="23">
        <v>1111</v>
      </c>
      <c r="Z772" s="23">
        <v>11100305</v>
      </c>
      <c r="AA772" s="23">
        <v>331203</v>
      </c>
      <c r="AB772" s="24">
        <v>46063</v>
      </c>
    </row>
    <row r="773" spans="2:28" x14ac:dyDescent="0.2">
      <c r="C773" s="23">
        <v>1100576397</v>
      </c>
      <c r="E773" s="23">
        <v>30</v>
      </c>
      <c r="F773" s="23" t="s">
        <v>82</v>
      </c>
      <c r="G773" s="23" t="s">
        <v>139</v>
      </c>
      <c r="H773" s="24">
        <v>46188</v>
      </c>
      <c r="I773" s="24">
        <v>46188</v>
      </c>
      <c r="J773" s="23" t="s">
        <v>499</v>
      </c>
      <c r="K773" s="23" t="s">
        <v>499</v>
      </c>
      <c r="L773" s="23">
        <v>1</v>
      </c>
      <c r="M773" s="23" t="s">
        <v>78</v>
      </c>
      <c r="N773" s="23" t="s">
        <v>78</v>
      </c>
      <c r="O773" s="23">
        <v>0.01</v>
      </c>
      <c r="P773" s="23" t="s">
        <v>79</v>
      </c>
      <c r="Q773" s="23" t="s">
        <v>83</v>
      </c>
      <c r="R773" s="23">
        <v>11100189</v>
      </c>
      <c r="S773" s="24" t="s">
        <v>80</v>
      </c>
      <c r="T773" s="24">
        <v>46063</v>
      </c>
      <c r="U773" s="24" t="s">
        <v>80</v>
      </c>
      <c r="X773" s="24">
        <v>46058</v>
      </c>
      <c r="Y773" s="23">
        <v>1111</v>
      </c>
      <c r="Z773" s="23">
        <v>11100305</v>
      </c>
      <c r="AA773" s="23">
        <v>331203</v>
      </c>
      <c r="AB773" s="24">
        <v>46063</v>
      </c>
    </row>
    <row r="774" spans="2:28" x14ac:dyDescent="0.2">
      <c r="B774" s="23" t="s">
        <v>81</v>
      </c>
      <c r="C774" s="23">
        <v>1100576397</v>
      </c>
      <c r="H774" s="24">
        <v>46188</v>
      </c>
      <c r="O774" s="23">
        <v>30872.02</v>
      </c>
      <c r="P774" s="23" t="s">
        <v>79</v>
      </c>
    </row>
    <row r="775" spans="2:28" x14ac:dyDescent="0.2">
      <c r="C775" s="23">
        <v>1100557251</v>
      </c>
      <c r="E775" s="23">
        <v>10</v>
      </c>
      <c r="F775" s="23" t="s">
        <v>2488</v>
      </c>
      <c r="G775" s="23" t="s">
        <v>2489</v>
      </c>
      <c r="H775" s="24">
        <v>46189</v>
      </c>
      <c r="I775" s="24">
        <v>46189</v>
      </c>
      <c r="J775" s="23" t="s">
        <v>1001</v>
      </c>
      <c r="K775" s="23" t="s">
        <v>1001</v>
      </c>
      <c r="L775" s="23">
        <v>1</v>
      </c>
      <c r="M775" s="23" t="s">
        <v>78</v>
      </c>
      <c r="N775" s="23" t="s">
        <v>78</v>
      </c>
      <c r="O775" s="23">
        <v>41313.56</v>
      </c>
      <c r="P775" s="23" t="s">
        <v>79</v>
      </c>
      <c r="Q775" s="23" t="s">
        <v>83</v>
      </c>
      <c r="R775" s="23">
        <v>11100189</v>
      </c>
      <c r="S775" s="24">
        <v>46127</v>
      </c>
      <c r="T775" s="24">
        <v>45860</v>
      </c>
      <c r="U775" s="24">
        <v>46127</v>
      </c>
      <c r="X775" s="24">
        <v>45614</v>
      </c>
      <c r="Y775" s="23">
        <v>1111</v>
      </c>
      <c r="Z775" s="23">
        <v>11100002</v>
      </c>
      <c r="AA775" s="23">
        <v>330103</v>
      </c>
      <c r="AB775" s="24">
        <v>45860</v>
      </c>
    </row>
    <row r="776" spans="2:28" x14ac:dyDescent="0.2">
      <c r="C776" s="23">
        <v>1100557251</v>
      </c>
      <c r="E776" s="23">
        <v>20</v>
      </c>
      <c r="F776" s="23" t="s">
        <v>2490</v>
      </c>
      <c r="G776" s="23" t="s">
        <v>2491</v>
      </c>
      <c r="H776" s="24">
        <v>46189</v>
      </c>
      <c r="I776" s="24">
        <v>46189</v>
      </c>
      <c r="J776" s="23" t="s">
        <v>1001</v>
      </c>
      <c r="K776" s="23" t="s">
        <v>1001</v>
      </c>
      <c r="L776" s="23">
        <v>1</v>
      </c>
      <c r="M776" s="23" t="s">
        <v>78</v>
      </c>
      <c r="N776" s="23" t="s">
        <v>78</v>
      </c>
      <c r="O776" s="23">
        <v>40188.74</v>
      </c>
      <c r="P776" s="23" t="s">
        <v>79</v>
      </c>
      <c r="Q776" s="23" t="s">
        <v>83</v>
      </c>
      <c r="R776" s="23">
        <v>11100189</v>
      </c>
      <c r="S776" s="24" t="s">
        <v>80</v>
      </c>
      <c r="T776" s="24">
        <v>45860</v>
      </c>
      <c r="U776" s="24">
        <v>46127</v>
      </c>
      <c r="X776" s="24">
        <v>45614</v>
      </c>
      <c r="Y776" s="23">
        <v>1111</v>
      </c>
      <c r="Z776" s="23">
        <v>11100002</v>
      </c>
      <c r="AA776" s="23">
        <v>330103</v>
      </c>
      <c r="AB776" s="24">
        <v>45860</v>
      </c>
    </row>
    <row r="777" spans="2:28" x14ac:dyDescent="0.2">
      <c r="C777" s="23">
        <v>1100557251</v>
      </c>
      <c r="E777" s="23">
        <v>30</v>
      </c>
      <c r="F777" s="23" t="s">
        <v>2492</v>
      </c>
      <c r="G777" s="23" t="s">
        <v>2493</v>
      </c>
      <c r="H777" s="24">
        <v>46189</v>
      </c>
      <c r="I777" s="24">
        <v>46189</v>
      </c>
      <c r="J777" s="23" t="s">
        <v>1001</v>
      </c>
      <c r="K777" s="23" t="s">
        <v>1001</v>
      </c>
      <c r="L777" s="23">
        <v>1</v>
      </c>
      <c r="M777" s="23" t="s">
        <v>78</v>
      </c>
      <c r="N777" s="23" t="s">
        <v>78</v>
      </c>
      <c r="O777" s="23">
        <v>40188.74</v>
      </c>
      <c r="P777" s="23" t="s">
        <v>79</v>
      </c>
      <c r="Q777" s="23" t="s">
        <v>83</v>
      </c>
      <c r="R777" s="23">
        <v>11100189</v>
      </c>
      <c r="S777" s="24" t="s">
        <v>80</v>
      </c>
      <c r="T777" s="24">
        <v>45860</v>
      </c>
      <c r="U777" s="24">
        <v>46127</v>
      </c>
      <c r="X777" s="24">
        <v>45614</v>
      </c>
      <c r="Y777" s="23">
        <v>1111</v>
      </c>
      <c r="Z777" s="23">
        <v>11100002</v>
      </c>
      <c r="AA777" s="23">
        <v>330103</v>
      </c>
      <c r="AB777" s="24">
        <v>45860</v>
      </c>
    </row>
    <row r="778" spans="2:28" x14ac:dyDescent="0.2">
      <c r="C778" s="23">
        <v>1100557251</v>
      </c>
      <c r="E778" s="23">
        <v>40</v>
      </c>
      <c r="F778" s="23" t="s">
        <v>2494</v>
      </c>
      <c r="G778" s="23" t="s">
        <v>2495</v>
      </c>
      <c r="H778" s="24">
        <v>46189</v>
      </c>
      <c r="I778" s="24">
        <v>46189</v>
      </c>
      <c r="J778" s="23" t="s">
        <v>1001</v>
      </c>
      <c r="K778" s="23" t="s">
        <v>1001</v>
      </c>
      <c r="L778" s="23">
        <v>1</v>
      </c>
      <c r="M778" s="23" t="s">
        <v>78</v>
      </c>
      <c r="N778" s="23" t="s">
        <v>78</v>
      </c>
      <c r="O778" s="23">
        <v>39332.339999999997</v>
      </c>
      <c r="P778" s="23" t="s">
        <v>79</v>
      </c>
      <c r="Q778" s="23" t="s">
        <v>83</v>
      </c>
      <c r="R778" s="23">
        <v>11100189</v>
      </c>
      <c r="S778" s="24" t="s">
        <v>80</v>
      </c>
      <c r="T778" s="24">
        <v>45860</v>
      </c>
      <c r="U778" s="24">
        <v>46127</v>
      </c>
      <c r="X778" s="24">
        <v>45614</v>
      </c>
      <c r="Y778" s="23">
        <v>1111</v>
      </c>
      <c r="Z778" s="23">
        <v>11100002</v>
      </c>
      <c r="AA778" s="23">
        <v>330103</v>
      </c>
      <c r="AB778" s="24">
        <v>45860</v>
      </c>
    </row>
    <row r="779" spans="2:28" x14ac:dyDescent="0.2">
      <c r="C779" s="23">
        <v>1100557251</v>
      </c>
      <c r="E779" s="23">
        <v>50</v>
      </c>
      <c r="F779" s="23" t="s">
        <v>2496</v>
      </c>
      <c r="G779" s="23" t="s">
        <v>2497</v>
      </c>
      <c r="H779" s="24">
        <v>46189</v>
      </c>
      <c r="I779" s="24">
        <v>46189</v>
      </c>
      <c r="J779" s="23" t="s">
        <v>1001</v>
      </c>
      <c r="K779" s="23" t="s">
        <v>1001</v>
      </c>
      <c r="L779" s="23">
        <v>1</v>
      </c>
      <c r="M779" s="23" t="s">
        <v>78</v>
      </c>
      <c r="N779" s="23" t="s">
        <v>78</v>
      </c>
      <c r="O779" s="23">
        <v>40188.74</v>
      </c>
      <c r="P779" s="23" t="s">
        <v>79</v>
      </c>
      <c r="Q779" s="23" t="s">
        <v>83</v>
      </c>
      <c r="R779" s="23">
        <v>11100189</v>
      </c>
      <c r="S779" s="24" t="s">
        <v>80</v>
      </c>
      <c r="T779" s="24">
        <v>45860</v>
      </c>
      <c r="U779" s="24">
        <v>46127</v>
      </c>
      <c r="X779" s="24">
        <v>45614</v>
      </c>
      <c r="Y779" s="23">
        <v>1111</v>
      </c>
      <c r="Z779" s="23">
        <v>11100002</v>
      </c>
      <c r="AA779" s="23">
        <v>330103</v>
      </c>
      <c r="AB779" s="24">
        <v>45860</v>
      </c>
    </row>
    <row r="780" spans="2:28" x14ac:dyDescent="0.2">
      <c r="C780" s="23">
        <v>1100557251</v>
      </c>
      <c r="E780" s="23">
        <v>60</v>
      </c>
      <c r="F780" s="23" t="s">
        <v>2498</v>
      </c>
      <c r="G780" s="23" t="s">
        <v>2499</v>
      </c>
      <c r="H780" s="24">
        <v>46189</v>
      </c>
      <c r="I780" s="24">
        <v>46189</v>
      </c>
      <c r="J780" s="23" t="s">
        <v>1001</v>
      </c>
      <c r="K780" s="23" t="s">
        <v>1001</v>
      </c>
      <c r="L780" s="23">
        <v>1</v>
      </c>
      <c r="M780" s="23" t="s">
        <v>78</v>
      </c>
      <c r="N780" s="23" t="s">
        <v>78</v>
      </c>
      <c r="O780" s="23">
        <v>40188.74</v>
      </c>
      <c r="P780" s="23" t="s">
        <v>79</v>
      </c>
      <c r="Q780" s="23" t="s">
        <v>83</v>
      </c>
      <c r="R780" s="23">
        <v>11100189</v>
      </c>
      <c r="S780" s="24" t="s">
        <v>80</v>
      </c>
      <c r="T780" s="24">
        <v>45860</v>
      </c>
      <c r="U780" s="24">
        <v>46127</v>
      </c>
      <c r="X780" s="24">
        <v>45614</v>
      </c>
      <c r="Y780" s="23">
        <v>1111</v>
      </c>
      <c r="Z780" s="23">
        <v>11100002</v>
      </c>
      <c r="AA780" s="23">
        <v>330103</v>
      </c>
      <c r="AB780" s="24">
        <v>45860</v>
      </c>
    </row>
    <row r="781" spans="2:28" x14ac:dyDescent="0.2">
      <c r="C781" s="23">
        <v>1100557251</v>
      </c>
      <c r="E781" s="23">
        <v>70</v>
      </c>
      <c r="F781" s="23" t="s">
        <v>2500</v>
      </c>
      <c r="G781" s="23" t="s">
        <v>2501</v>
      </c>
      <c r="H781" s="24">
        <v>46189</v>
      </c>
      <c r="I781" s="24">
        <v>46189</v>
      </c>
      <c r="J781" s="23" t="s">
        <v>1001</v>
      </c>
      <c r="K781" s="23" t="s">
        <v>1001</v>
      </c>
      <c r="L781" s="23">
        <v>1</v>
      </c>
      <c r="M781" s="23" t="s">
        <v>78</v>
      </c>
      <c r="N781" s="23" t="s">
        <v>78</v>
      </c>
      <c r="O781" s="23">
        <v>33212.589999999997</v>
      </c>
      <c r="P781" s="23" t="s">
        <v>79</v>
      </c>
      <c r="Q781" s="23" t="s">
        <v>83</v>
      </c>
      <c r="R781" s="23">
        <v>11100189</v>
      </c>
      <c r="S781" s="24" t="s">
        <v>80</v>
      </c>
      <c r="T781" s="24">
        <v>45860</v>
      </c>
      <c r="U781" s="24">
        <v>46127</v>
      </c>
      <c r="X781" s="24">
        <v>45614</v>
      </c>
      <c r="Y781" s="23">
        <v>1111</v>
      </c>
      <c r="Z781" s="23">
        <v>11100002</v>
      </c>
      <c r="AA781" s="23">
        <v>330103</v>
      </c>
      <c r="AB781" s="24">
        <v>45860</v>
      </c>
    </row>
    <row r="782" spans="2:28" x14ac:dyDescent="0.2">
      <c r="C782" s="23">
        <v>1100557251</v>
      </c>
      <c r="E782" s="23">
        <v>80</v>
      </c>
      <c r="F782" s="23" t="s">
        <v>2502</v>
      </c>
      <c r="G782" s="23" t="s">
        <v>2489</v>
      </c>
      <c r="H782" s="24">
        <v>46189</v>
      </c>
      <c r="I782" s="24">
        <v>46189</v>
      </c>
      <c r="J782" s="23" t="s">
        <v>1001</v>
      </c>
      <c r="K782" s="23" t="s">
        <v>1001</v>
      </c>
      <c r="L782" s="23">
        <v>1</v>
      </c>
      <c r="M782" s="23" t="s">
        <v>78</v>
      </c>
      <c r="N782" s="23" t="s">
        <v>78</v>
      </c>
      <c r="O782" s="23">
        <v>32552.44</v>
      </c>
      <c r="P782" s="23" t="s">
        <v>79</v>
      </c>
      <c r="Q782" s="23" t="s">
        <v>83</v>
      </c>
      <c r="R782" s="23">
        <v>11100189</v>
      </c>
      <c r="S782" s="24" t="s">
        <v>80</v>
      </c>
      <c r="T782" s="24">
        <v>45860</v>
      </c>
      <c r="U782" s="24">
        <v>46127</v>
      </c>
      <c r="X782" s="24">
        <v>45614</v>
      </c>
      <c r="Y782" s="23">
        <v>1111</v>
      </c>
      <c r="Z782" s="23">
        <v>11100002</v>
      </c>
      <c r="AA782" s="23">
        <v>330103</v>
      </c>
      <c r="AB782" s="24">
        <v>45860</v>
      </c>
    </row>
    <row r="783" spans="2:28" x14ac:dyDescent="0.2">
      <c r="C783" s="23">
        <v>1100557251</v>
      </c>
      <c r="E783" s="23">
        <v>90</v>
      </c>
      <c r="F783" s="23" t="s">
        <v>2503</v>
      </c>
      <c r="G783" s="23" t="s">
        <v>2499</v>
      </c>
      <c r="H783" s="24">
        <v>46189</v>
      </c>
      <c r="I783" s="24">
        <v>46189</v>
      </c>
      <c r="J783" s="23" t="s">
        <v>1001</v>
      </c>
      <c r="K783" s="23" t="s">
        <v>1001</v>
      </c>
      <c r="L783" s="23">
        <v>1</v>
      </c>
      <c r="M783" s="23" t="s">
        <v>78</v>
      </c>
      <c r="N783" s="23" t="s">
        <v>78</v>
      </c>
      <c r="O783" s="23">
        <v>32552.44</v>
      </c>
      <c r="P783" s="23" t="s">
        <v>79</v>
      </c>
      <c r="Q783" s="23" t="s">
        <v>83</v>
      </c>
      <c r="R783" s="23">
        <v>11100189</v>
      </c>
      <c r="S783" s="24" t="s">
        <v>80</v>
      </c>
      <c r="T783" s="24">
        <v>45860</v>
      </c>
      <c r="U783" s="24">
        <v>46127</v>
      </c>
      <c r="X783" s="24">
        <v>45614</v>
      </c>
      <c r="Y783" s="23">
        <v>1111</v>
      </c>
      <c r="Z783" s="23">
        <v>11100002</v>
      </c>
      <c r="AA783" s="23">
        <v>330103</v>
      </c>
      <c r="AB783" s="24">
        <v>45860</v>
      </c>
    </row>
    <row r="784" spans="2:28" x14ac:dyDescent="0.2">
      <c r="C784" s="23">
        <v>1100557251</v>
      </c>
      <c r="E784" s="23">
        <v>100</v>
      </c>
      <c r="F784" s="23" t="s">
        <v>2504</v>
      </c>
      <c r="G784" s="23" t="s">
        <v>2505</v>
      </c>
      <c r="H784" s="24">
        <v>46189</v>
      </c>
      <c r="I784" s="24">
        <v>46189</v>
      </c>
      <c r="J784" s="23" t="s">
        <v>1001</v>
      </c>
      <c r="K784" s="23" t="s">
        <v>1001</v>
      </c>
      <c r="L784" s="23">
        <v>1</v>
      </c>
      <c r="M784" s="23" t="s">
        <v>78</v>
      </c>
      <c r="N784" s="23" t="s">
        <v>78</v>
      </c>
      <c r="O784" s="23">
        <v>68851.66</v>
      </c>
      <c r="P784" s="23" t="s">
        <v>79</v>
      </c>
      <c r="Q784" s="23" t="s">
        <v>83</v>
      </c>
      <c r="R784" s="23">
        <v>11100189</v>
      </c>
      <c r="S784" s="24" t="s">
        <v>80</v>
      </c>
      <c r="T784" s="24">
        <v>45860</v>
      </c>
      <c r="U784" s="24">
        <v>46127</v>
      </c>
      <c r="X784" s="24">
        <v>45614</v>
      </c>
      <c r="Y784" s="23">
        <v>1111</v>
      </c>
      <c r="Z784" s="23">
        <v>11100002</v>
      </c>
      <c r="AA784" s="23">
        <v>330103</v>
      </c>
      <c r="AB784" s="24">
        <v>45860</v>
      </c>
    </row>
    <row r="785" spans="3:28" x14ac:dyDescent="0.2">
      <c r="C785" s="23">
        <v>1100557251</v>
      </c>
      <c r="E785" s="23">
        <v>110</v>
      </c>
      <c r="F785" s="23" t="s">
        <v>2506</v>
      </c>
      <c r="G785" s="23" t="s">
        <v>2507</v>
      </c>
      <c r="H785" s="24">
        <v>46189</v>
      </c>
      <c r="I785" s="24">
        <v>46189</v>
      </c>
      <c r="J785" s="23" t="s">
        <v>1001</v>
      </c>
      <c r="K785" s="23" t="s">
        <v>1001</v>
      </c>
      <c r="L785" s="23">
        <v>1</v>
      </c>
      <c r="M785" s="23" t="s">
        <v>78</v>
      </c>
      <c r="N785" s="23" t="s">
        <v>78</v>
      </c>
      <c r="O785" s="23">
        <v>66924.759999999995</v>
      </c>
      <c r="P785" s="23" t="s">
        <v>79</v>
      </c>
      <c r="Q785" s="23" t="s">
        <v>83</v>
      </c>
      <c r="R785" s="23">
        <v>11100189</v>
      </c>
      <c r="S785" s="24" t="s">
        <v>80</v>
      </c>
      <c r="T785" s="24">
        <v>45860</v>
      </c>
      <c r="U785" s="24">
        <v>46127</v>
      </c>
      <c r="X785" s="24">
        <v>45614</v>
      </c>
      <c r="Y785" s="23">
        <v>1111</v>
      </c>
      <c r="Z785" s="23">
        <v>11100002</v>
      </c>
      <c r="AA785" s="23">
        <v>330103</v>
      </c>
      <c r="AB785" s="24">
        <v>45860</v>
      </c>
    </row>
    <row r="786" spans="3:28" x14ac:dyDescent="0.2">
      <c r="C786" s="23">
        <v>1100557251</v>
      </c>
      <c r="E786" s="23">
        <v>120</v>
      </c>
      <c r="F786" s="23" t="s">
        <v>2508</v>
      </c>
      <c r="G786" s="23" t="s">
        <v>2509</v>
      </c>
      <c r="H786" s="24">
        <v>46189</v>
      </c>
      <c r="I786" s="24">
        <v>46189</v>
      </c>
      <c r="J786" s="23" t="s">
        <v>1001</v>
      </c>
      <c r="K786" s="23" t="s">
        <v>1001</v>
      </c>
      <c r="L786" s="23">
        <v>1</v>
      </c>
      <c r="M786" s="23" t="s">
        <v>78</v>
      </c>
      <c r="N786" s="23" t="s">
        <v>78</v>
      </c>
      <c r="O786" s="23">
        <v>41089.760000000002</v>
      </c>
      <c r="P786" s="23" t="s">
        <v>79</v>
      </c>
      <c r="Q786" s="23" t="s">
        <v>83</v>
      </c>
      <c r="R786" s="23">
        <v>11100189</v>
      </c>
      <c r="S786" s="24" t="s">
        <v>80</v>
      </c>
      <c r="T786" s="24">
        <v>45860</v>
      </c>
      <c r="U786" s="24">
        <v>46127</v>
      </c>
      <c r="X786" s="24">
        <v>45614</v>
      </c>
      <c r="Y786" s="23">
        <v>1111</v>
      </c>
      <c r="Z786" s="23">
        <v>11100002</v>
      </c>
      <c r="AA786" s="23">
        <v>330103</v>
      </c>
      <c r="AB786" s="24">
        <v>45860</v>
      </c>
    </row>
    <row r="787" spans="3:28" x14ac:dyDescent="0.2">
      <c r="C787" s="23">
        <v>1100557251</v>
      </c>
      <c r="E787" s="23">
        <v>130</v>
      </c>
      <c r="F787" s="23" t="s">
        <v>2510</v>
      </c>
      <c r="G787" s="23" t="s">
        <v>2511</v>
      </c>
      <c r="H787" s="24">
        <v>46189</v>
      </c>
      <c r="I787" s="24">
        <v>46189</v>
      </c>
      <c r="J787" s="23" t="s">
        <v>1001</v>
      </c>
      <c r="K787" s="23" t="s">
        <v>1001</v>
      </c>
      <c r="L787" s="23">
        <v>1</v>
      </c>
      <c r="M787" s="23" t="s">
        <v>78</v>
      </c>
      <c r="N787" s="23" t="s">
        <v>78</v>
      </c>
      <c r="O787" s="23">
        <v>42178.11</v>
      </c>
      <c r="P787" s="23" t="s">
        <v>79</v>
      </c>
      <c r="Q787" s="23" t="s">
        <v>83</v>
      </c>
      <c r="R787" s="23">
        <v>11100189</v>
      </c>
      <c r="S787" s="24" t="s">
        <v>80</v>
      </c>
      <c r="T787" s="24">
        <v>45860</v>
      </c>
      <c r="U787" s="24">
        <v>46127</v>
      </c>
      <c r="X787" s="24">
        <v>45614</v>
      </c>
      <c r="Y787" s="23">
        <v>1111</v>
      </c>
      <c r="Z787" s="23">
        <v>11100002</v>
      </c>
      <c r="AA787" s="23">
        <v>330103</v>
      </c>
      <c r="AB787" s="24">
        <v>45860</v>
      </c>
    </row>
    <row r="788" spans="3:28" x14ac:dyDescent="0.2">
      <c r="C788" s="23">
        <v>1100557251</v>
      </c>
      <c r="E788" s="23">
        <v>140</v>
      </c>
      <c r="F788" s="23" t="s">
        <v>87</v>
      </c>
      <c r="G788" s="23" t="s">
        <v>2512</v>
      </c>
      <c r="H788" s="24">
        <v>46189</v>
      </c>
      <c r="I788" s="24">
        <v>46219</v>
      </c>
      <c r="J788" s="23" t="s">
        <v>1001</v>
      </c>
      <c r="K788" s="23" t="s">
        <v>1001</v>
      </c>
      <c r="L788" s="23">
        <v>1</v>
      </c>
      <c r="M788" s="23" t="s">
        <v>78</v>
      </c>
      <c r="N788" s="23" t="s">
        <v>78</v>
      </c>
      <c r="O788" s="23">
        <v>41089.760000000002</v>
      </c>
      <c r="P788" s="23" t="s">
        <v>79</v>
      </c>
      <c r="Q788" s="23" t="s">
        <v>83</v>
      </c>
      <c r="R788" s="23">
        <v>11100189</v>
      </c>
      <c r="S788" s="24" t="s">
        <v>80</v>
      </c>
      <c r="T788" s="24">
        <v>45860</v>
      </c>
      <c r="U788" s="24">
        <v>46127</v>
      </c>
      <c r="X788" s="24" t="s">
        <v>80</v>
      </c>
      <c r="Y788" s="23">
        <v>1111</v>
      </c>
      <c r="Z788" s="23">
        <v>11100002</v>
      </c>
      <c r="AA788" s="23">
        <v>330103</v>
      </c>
      <c r="AB788" s="24" t="s">
        <v>80</v>
      </c>
    </row>
    <row r="789" spans="3:28" x14ac:dyDescent="0.2">
      <c r="C789" s="23">
        <v>1100557251</v>
      </c>
      <c r="E789" s="23">
        <v>150</v>
      </c>
      <c r="F789" s="23" t="s">
        <v>2513</v>
      </c>
      <c r="G789" s="23" t="s">
        <v>2514</v>
      </c>
      <c r="H789" s="24">
        <v>46189</v>
      </c>
      <c r="I789" s="24">
        <v>46219</v>
      </c>
      <c r="J789" s="23" t="s">
        <v>1001</v>
      </c>
      <c r="K789" s="23" t="s">
        <v>1001</v>
      </c>
      <c r="L789" s="23">
        <v>1</v>
      </c>
      <c r="M789" s="23" t="s">
        <v>78</v>
      </c>
      <c r="N789" s="23" t="s">
        <v>78</v>
      </c>
      <c r="O789" s="23">
        <v>41089.760000000002</v>
      </c>
      <c r="P789" s="23" t="s">
        <v>79</v>
      </c>
      <c r="Q789" s="23" t="s">
        <v>83</v>
      </c>
      <c r="R789" s="23">
        <v>11100189</v>
      </c>
      <c r="S789" s="24" t="s">
        <v>80</v>
      </c>
      <c r="T789" s="24">
        <v>45860</v>
      </c>
      <c r="U789" s="24">
        <v>46127</v>
      </c>
      <c r="X789" s="24">
        <v>45614</v>
      </c>
      <c r="Y789" s="23">
        <v>1111</v>
      </c>
      <c r="Z789" s="23">
        <v>11100002</v>
      </c>
      <c r="AA789" s="23">
        <v>330103</v>
      </c>
      <c r="AB789" s="24">
        <v>45860</v>
      </c>
    </row>
    <row r="790" spans="3:28" x14ac:dyDescent="0.2">
      <c r="C790" s="23">
        <v>1100557251</v>
      </c>
      <c r="E790" s="23">
        <v>160</v>
      </c>
      <c r="F790" s="23" t="s">
        <v>87</v>
      </c>
      <c r="G790" s="23" t="s">
        <v>2515</v>
      </c>
      <c r="H790" s="24">
        <v>46189</v>
      </c>
      <c r="I790" s="24">
        <v>46219</v>
      </c>
      <c r="J790" s="23" t="s">
        <v>1001</v>
      </c>
      <c r="K790" s="23" t="s">
        <v>1001</v>
      </c>
      <c r="L790" s="23">
        <v>1</v>
      </c>
      <c r="M790" s="23" t="s">
        <v>78</v>
      </c>
      <c r="N790" s="23" t="s">
        <v>78</v>
      </c>
      <c r="O790" s="23">
        <v>39867.589999999997</v>
      </c>
      <c r="P790" s="23" t="s">
        <v>79</v>
      </c>
      <c r="Q790" s="23" t="s">
        <v>83</v>
      </c>
      <c r="R790" s="23">
        <v>11100189</v>
      </c>
      <c r="S790" s="24" t="s">
        <v>80</v>
      </c>
      <c r="T790" s="24">
        <v>45860</v>
      </c>
      <c r="U790" s="24">
        <v>46127</v>
      </c>
      <c r="X790" s="24" t="s">
        <v>80</v>
      </c>
      <c r="Y790" s="23">
        <v>1111</v>
      </c>
      <c r="Z790" s="23">
        <v>11100002</v>
      </c>
      <c r="AA790" s="23">
        <v>330103</v>
      </c>
      <c r="AB790" s="24" t="s">
        <v>80</v>
      </c>
    </row>
    <row r="791" spans="3:28" x14ac:dyDescent="0.2">
      <c r="C791" s="23">
        <v>1100557251</v>
      </c>
      <c r="E791" s="23">
        <v>170</v>
      </c>
      <c r="F791" s="23" t="s">
        <v>2516</v>
      </c>
      <c r="G791" s="23" t="s">
        <v>2517</v>
      </c>
      <c r="H791" s="24">
        <v>46189</v>
      </c>
      <c r="I791" s="24">
        <v>46219</v>
      </c>
      <c r="J791" s="23" t="s">
        <v>1001</v>
      </c>
      <c r="K791" s="23" t="s">
        <v>1001</v>
      </c>
      <c r="L791" s="23">
        <v>1</v>
      </c>
      <c r="M791" s="23" t="s">
        <v>78</v>
      </c>
      <c r="N791" s="23" t="s">
        <v>78</v>
      </c>
      <c r="O791" s="23">
        <v>38681.11</v>
      </c>
      <c r="P791" s="23" t="s">
        <v>79</v>
      </c>
      <c r="Q791" s="23" t="s">
        <v>83</v>
      </c>
      <c r="R791" s="23">
        <v>11100189</v>
      </c>
      <c r="S791" s="24" t="s">
        <v>80</v>
      </c>
      <c r="T791" s="24">
        <v>45860</v>
      </c>
      <c r="U791" s="24">
        <v>46127</v>
      </c>
      <c r="X791" s="24">
        <v>45614</v>
      </c>
      <c r="Y791" s="23">
        <v>1111</v>
      </c>
      <c r="Z791" s="23">
        <v>11100002</v>
      </c>
      <c r="AA791" s="23">
        <v>330103</v>
      </c>
      <c r="AB791" s="24">
        <v>45860</v>
      </c>
    </row>
    <row r="792" spans="3:28" x14ac:dyDescent="0.2">
      <c r="C792" s="23">
        <v>1100557251</v>
      </c>
      <c r="E792" s="23">
        <v>180</v>
      </c>
      <c r="F792" s="23" t="s">
        <v>2518</v>
      </c>
      <c r="G792" s="23" t="s">
        <v>2519</v>
      </c>
      <c r="H792" s="24">
        <v>46189</v>
      </c>
      <c r="I792" s="24">
        <v>46219</v>
      </c>
      <c r="J792" s="23" t="s">
        <v>1001</v>
      </c>
      <c r="K792" s="23" t="s">
        <v>1001</v>
      </c>
      <c r="L792" s="23">
        <v>1</v>
      </c>
      <c r="M792" s="23" t="s">
        <v>78</v>
      </c>
      <c r="N792" s="23" t="s">
        <v>78</v>
      </c>
      <c r="O792" s="23">
        <v>59680.95</v>
      </c>
      <c r="P792" s="23" t="s">
        <v>79</v>
      </c>
      <c r="Q792" s="23" t="s">
        <v>83</v>
      </c>
      <c r="R792" s="23">
        <v>11100189</v>
      </c>
      <c r="S792" s="24" t="s">
        <v>80</v>
      </c>
      <c r="T792" s="24">
        <v>45860</v>
      </c>
      <c r="U792" s="24">
        <v>46127</v>
      </c>
      <c r="X792" s="24">
        <v>45614</v>
      </c>
      <c r="Y792" s="23">
        <v>1111</v>
      </c>
      <c r="Z792" s="23">
        <v>11100002</v>
      </c>
      <c r="AA792" s="23">
        <v>330103</v>
      </c>
      <c r="AB792" s="24">
        <v>45860</v>
      </c>
    </row>
    <row r="793" spans="3:28" x14ac:dyDescent="0.2">
      <c r="C793" s="23">
        <v>1100557251</v>
      </c>
      <c r="E793" s="23">
        <v>190</v>
      </c>
      <c r="F793" s="23" t="s">
        <v>2520</v>
      </c>
      <c r="G793" s="23" t="s">
        <v>2511</v>
      </c>
      <c r="H793" s="24">
        <v>46189</v>
      </c>
      <c r="I793" s="24">
        <v>46219</v>
      </c>
      <c r="J793" s="23" t="s">
        <v>1001</v>
      </c>
      <c r="K793" s="23" t="s">
        <v>1001</v>
      </c>
      <c r="L793" s="23">
        <v>1</v>
      </c>
      <c r="M793" s="23" t="s">
        <v>78</v>
      </c>
      <c r="N793" s="23" t="s">
        <v>78</v>
      </c>
      <c r="O793" s="23">
        <v>59680.95</v>
      </c>
      <c r="P793" s="23" t="s">
        <v>79</v>
      </c>
      <c r="Q793" s="23" t="s">
        <v>83</v>
      </c>
      <c r="R793" s="23">
        <v>11100189</v>
      </c>
      <c r="S793" s="24" t="s">
        <v>80</v>
      </c>
      <c r="T793" s="24">
        <v>45860</v>
      </c>
      <c r="U793" s="24">
        <v>46127</v>
      </c>
      <c r="X793" s="24">
        <v>45614</v>
      </c>
      <c r="Y793" s="23">
        <v>1111</v>
      </c>
      <c r="Z793" s="23">
        <v>11100002</v>
      </c>
      <c r="AA793" s="23">
        <v>330103</v>
      </c>
      <c r="AB793" s="24">
        <v>45860</v>
      </c>
    </row>
    <row r="794" spans="3:28" x14ac:dyDescent="0.2">
      <c r="C794" s="23">
        <v>1100557251</v>
      </c>
      <c r="E794" s="23">
        <v>200</v>
      </c>
      <c r="F794" s="23" t="s">
        <v>2521</v>
      </c>
      <c r="G794" s="23" t="s">
        <v>2522</v>
      </c>
      <c r="H794" s="24">
        <v>46189</v>
      </c>
      <c r="I794" s="24">
        <v>46219</v>
      </c>
      <c r="J794" s="23" t="s">
        <v>1001</v>
      </c>
      <c r="K794" s="23" t="s">
        <v>1001</v>
      </c>
      <c r="L794" s="23">
        <v>1</v>
      </c>
      <c r="M794" s="23" t="s">
        <v>78</v>
      </c>
      <c r="N794" s="23" t="s">
        <v>78</v>
      </c>
      <c r="O794" s="23">
        <v>59680.95</v>
      </c>
      <c r="P794" s="23" t="s">
        <v>79</v>
      </c>
      <c r="Q794" s="23" t="s">
        <v>83</v>
      </c>
      <c r="R794" s="23">
        <v>11100189</v>
      </c>
      <c r="S794" s="24" t="s">
        <v>80</v>
      </c>
      <c r="T794" s="24">
        <v>45860</v>
      </c>
      <c r="U794" s="24">
        <v>46127</v>
      </c>
      <c r="X794" s="24">
        <v>45614</v>
      </c>
      <c r="Y794" s="23">
        <v>1111</v>
      </c>
      <c r="Z794" s="23">
        <v>11100002</v>
      </c>
      <c r="AA794" s="23">
        <v>330103</v>
      </c>
      <c r="AB794" s="24">
        <v>45860</v>
      </c>
    </row>
    <row r="795" spans="3:28" x14ac:dyDescent="0.2">
      <c r="C795" s="23">
        <v>1100557251</v>
      </c>
      <c r="E795" s="23">
        <v>210</v>
      </c>
      <c r="F795" s="23" t="s">
        <v>2523</v>
      </c>
      <c r="G795" s="23" t="s">
        <v>2524</v>
      </c>
      <c r="H795" s="24">
        <v>46189</v>
      </c>
      <c r="I795" s="24">
        <v>46219</v>
      </c>
      <c r="J795" s="23" t="s">
        <v>1001</v>
      </c>
      <c r="K795" s="23" t="s">
        <v>1001</v>
      </c>
      <c r="L795" s="23">
        <v>1</v>
      </c>
      <c r="M795" s="23" t="s">
        <v>78</v>
      </c>
      <c r="N795" s="23" t="s">
        <v>78</v>
      </c>
      <c r="O795" s="23">
        <v>59680.95</v>
      </c>
      <c r="P795" s="23" t="s">
        <v>79</v>
      </c>
      <c r="Q795" s="23" t="s">
        <v>83</v>
      </c>
      <c r="R795" s="23">
        <v>11100189</v>
      </c>
      <c r="S795" s="24" t="s">
        <v>80</v>
      </c>
      <c r="T795" s="24">
        <v>45860</v>
      </c>
      <c r="U795" s="24">
        <v>46127</v>
      </c>
      <c r="X795" s="24">
        <v>45614</v>
      </c>
      <c r="Y795" s="23">
        <v>1111</v>
      </c>
      <c r="Z795" s="23">
        <v>11100002</v>
      </c>
      <c r="AA795" s="23">
        <v>330103</v>
      </c>
      <c r="AB795" s="24">
        <v>45860</v>
      </c>
    </row>
    <row r="796" spans="3:28" x14ac:dyDescent="0.2">
      <c r="C796" s="23">
        <v>1100557251</v>
      </c>
      <c r="E796" s="23">
        <v>220</v>
      </c>
      <c r="F796" s="23" t="s">
        <v>2525</v>
      </c>
      <c r="G796" s="23" t="s">
        <v>2526</v>
      </c>
      <c r="H796" s="24">
        <v>46189</v>
      </c>
      <c r="I796" s="24">
        <v>46219</v>
      </c>
      <c r="J796" s="23" t="s">
        <v>1001</v>
      </c>
      <c r="K796" s="23" t="s">
        <v>1001</v>
      </c>
      <c r="L796" s="23">
        <v>1</v>
      </c>
      <c r="M796" s="23" t="s">
        <v>78</v>
      </c>
      <c r="N796" s="23" t="s">
        <v>78</v>
      </c>
      <c r="O796" s="23">
        <v>54319.48</v>
      </c>
      <c r="P796" s="23" t="s">
        <v>79</v>
      </c>
      <c r="Q796" s="23" t="s">
        <v>83</v>
      </c>
      <c r="R796" s="23">
        <v>11100189</v>
      </c>
      <c r="S796" s="24" t="s">
        <v>80</v>
      </c>
      <c r="T796" s="24">
        <v>45860</v>
      </c>
      <c r="U796" s="24">
        <v>46127</v>
      </c>
      <c r="X796" s="24">
        <v>45614</v>
      </c>
      <c r="Y796" s="23">
        <v>1111</v>
      </c>
      <c r="Z796" s="23">
        <v>11100002</v>
      </c>
      <c r="AA796" s="23">
        <v>330103</v>
      </c>
      <c r="AB796" s="24">
        <v>45860</v>
      </c>
    </row>
    <row r="797" spans="3:28" x14ac:dyDescent="0.2">
      <c r="C797" s="23">
        <v>1100557251</v>
      </c>
      <c r="E797" s="23">
        <v>230</v>
      </c>
      <c r="F797" s="23" t="s">
        <v>2527</v>
      </c>
      <c r="G797" s="23" t="s">
        <v>2528</v>
      </c>
      <c r="H797" s="24">
        <v>46189</v>
      </c>
      <c r="I797" s="24">
        <v>46219</v>
      </c>
      <c r="J797" s="23" t="s">
        <v>1001</v>
      </c>
      <c r="K797" s="23" t="s">
        <v>1001</v>
      </c>
      <c r="L797" s="23">
        <v>1</v>
      </c>
      <c r="M797" s="23" t="s">
        <v>78</v>
      </c>
      <c r="N797" s="23" t="s">
        <v>78</v>
      </c>
      <c r="O797" s="23">
        <v>59680.95</v>
      </c>
      <c r="P797" s="23" t="s">
        <v>79</v>
      </c>
      <c r="Q797" s="23" t="s">
        <v>83</v>
      </c>
      <c r="R797" s="23">
        <v>11100189</v>
      </c>
      <c r="S797" s="24" t="s">
        <v>80</v>
      </c>
      <c r="T797" s="24">
        <v>45860</v>
      </c>
      <c r="U797" s="24">
        <v>46127</v>
      </c>
      <c r="X797" s="24">
        <v>45614</v>
      </c>
      <c r="Y797" s="23">
        <v>1111</v>
      </c>
      <c r="Z797" s="23">
        <v>11100002</v>
      </c>
      <c r="AA797" s="23">
        <v>330103</v>
      </c>
      <c r="AB797" s="24">
        <v>45860</v>
      </c>
    </row>
    <row r="798" spans="3:28" x14ac:dyDescent="0.2">
      <c r="C798" s="23">
        <v>1100557251</v>
      </c>
      <c r="E798" s="23">
        <v>240</v>
      </c>
      <c r="F798" s="23" t="s">
        <v>2529</v>
      </c>
      <c r="G798" s="23" t="s">
        <v>2530</v>
      </c>
      <c r="H798" s="24">
        <v>46189</v>
      </c>
      <c r="I798" s="24">
        <v>46219</v>
      </c>
      <c r="J798" s="23" t="s">
        <v>1001</v>
      </c>
      <c r="K798" s="23" t="s">
        <v>1001</v>
      </c>
      <c r="L798" s="23">
        <v>1</v>
      </c>
      <c r="M798" s="23" t="s">
        <v>78</v>
      </c>
      <c r="N798" s="23" t="s">
        <v>78</v>
      </c>
      <c r="O798" s="23">
        <v>47557.42</v>
      </c>
      <c r="P798" s="23" t="s">
        <v>79</v>
      </c>
      <c r="Q798" s="23" t="s">
        <v>83</v>
      </c>
      <c r="R798" s="23">
        <v>11100189</v>
      </c>
      <c r="S798" s="24" t="s">
        <v>80</v>
      </c>
      <c r="T798" s="24">
        <v>45860</v>
      </c>
      <c r="U798" s="24">
        <v>46127</v>
      </c>
      <c r="X798" s="24">
        <v>45614</v>
      </c>
      <c r="Y798" s="23">
        <v>1111</v>
      </c>
      <c r="Z798" s="23">
        <v>11100002</v>
      </c>
      <c r="AA798" s="23">
        <v>330103</v>
      </c>
      <c r="AB798" s="24">
        <v>45860</v>
      </c>
    </row>
    <row r="799" spans="3:28" x14ac:dyDescent="0.2">
      <c r="C799" s="23">
        <v>1100557251</v>
      </c>
      <c r="E799" s="23">
        <v>250</v>
      </c>
      <c r="F799" s="23" t="s">
        <v>2531</v>
      </c>
      <c r="G799" s="23" t="s">
        <v>2532</v>
      </c>
      <c r="H799" s="24">
        <v>46189</v>
      </c>
      <c r="I799" s="24">
        <v>46219</v>
      </c>
      <c r="J799" s="23" t="s">
        <v>1001</v>
      </c>
      <c r="K799" s="23" t="s">
        <v>1001</v>
      </c>
      <c r="L799" s="23">
        <v>1</v>
      </c>
      <c r="M799" s="23" t="s">
        <v>78</v>
      </c>
      <c r="N799" s="23" t="s">
        <v>78</v>
      </c>
      <c r="O799" s="23">
        <v>43444.88</v>
      </c>
      <c r="P799" s="23" t="s">
        <v>79</v>
      </c>
      <c r="Q799" s="23" t="s">
        <v>83</v>
      </c>
      <c r="R799" s="23">
        <v>11100189</v>
      </c>
      <c r="S799" s="24" t="s">
        <v>80</v>
      </c>
      <c r="T799" s="24">
        <v>45860</v>
      </c>
      <c r="U799" s="24">
        <v>46127</v>
      </c>
      <c r="X799" s="24">
        <v>45614</v>
      </c>
      <c r="Y799" s="23">
        <v>1111</v>
      </c>
      <c r="Z799" s="23">
        <v>11100002</v>
      </c>
      <c r="AA799" s="23">
        <v>330103</v>
      </c>
      <c r="AB799" s="24">
        <v>45860</v>
      </c>
    </row>
    <row r="800" spans="3:28" x14ac:dyDescent="0.2">
      <c r="C800" s="23">
        <v>1100557251</v>
      </c>
      <c r="E800" s="23">
        <v>260</v>
      </c>
      <c r="F800" s="23" t="s">
        <v>2533</v>
      </c>
      <c r="G800" s="23" t="s">
        <v>2534</v>
      </c>
      <c r="H800" s="24">
        <v>46189</v>
      </c>
      <c r="I800" s="24">
        <v>46219</v>
      </c>
      <c r="J800" s="23" t="s">
        <v>1001</v>
      </c>
      <c r="K800" s="23" t="s">
        <v>1001</v>
      </c>
      <c r="L800" s="23">
        <v>1</v>
      </c>
      <c r="M800" s="23" t="s">
        <v>78</v>
      </c>
      <c r="N800" s="23" t="s">
        <v>78</v>
      </c>
      <c r="O800" s="23">
        <v>43444.88</v>
      </c>
      <c r="P800" s="23" t="s">
        <v>79</v>
      </c>
      <c r="Q800" s="23" t="s">
        <v>83</v>
      </c>
      <c r="R800" s="23">
        <v>11100189</v>
      </c>
      <c r="S800" s="24" t="s">
        <v>80</v>
      </c>
      <c r="T800" s="24">
        <v>45860</v>
      </c>
      <c r="U800" s="24">
        <v>46127</v>
      </c>
      <c r="X800" s="24">
        <v>45614</v>
      </c>
      <c r="Y800" s="23">
        <v>1111</v>
      </c>
      <c r="Z800" s="23">
        <v>11100002</v>
      </c>
      <c r="AA800" s="23">
        <v>330103</v>
      </c>
      <c r="AB800" s="24">
        <v>45860</v>
      </c>
    </row>
    <row r="801" spans="2:28" x14ac:dyDescent="0.2">
      <c r="C801" s="23">
        <v>1100557251</v>
      </c>
      <c r="E801" s="23">
        <v>330</v>
      </c>
      <c r="F801" s="23" t="s">
        <v>306</v>
      </c>
      <c r="G801" s="23" t="s">
        <v>422</v>
      </c>
      <c r="H801" s="24">
        <v>46189</v>
      </c>
      <c r="I801" s="24">
        <v>46127</v>
      </c>
      <c r="J801" s="23" t="s">
        <v>1001</v>
      </c>
      <c r="K801" s="23" t="s">
        <v>1001</v>
      </c>
      <c r="L801" s="23">
        <v>1</v>
      </c>
      <c r="M801" s="23" t="s">
        <v>78</v>
      </c>
      <c r="N801" s="23" t="s">
        <v>78</v>
      </c>
      <c r="O801" s="23">
        <v>15250</v>
      </c>
      <c r="P801" s="23" t="s">
        <v>79</v>
      </c>
      <c r="Q801" s="23" t="s">
        <v>83</v>
      </c>
      <c r="R801" s="23">
        <v>11100189</v>
      </c>
      <c r="S801" s="24" t="s">
        <v>80</v>
      </c>
      <c r="T801" s="24">
        <v>45860</v>
      </c>
      <c r="U801" s="24">
        <v>46127</v>
      </c>
      <c r="X801" s="24">
        <v>45614</v>
      </c>
      <c r="Y801" s="23">
        <v>1111</v>
      </c>
      <c r="Z801" s="23">
        <v>11100002</v>
      </c>
      <c r="AA801" s="23">
        <v>330103</v>
      </c>
      <c r="AB801" s="24">
        <v>45860</v>
      </c>
    </row>
    <row r="802" spans="2:28" x14ac:dyDescent="0.2">
      <c r="C802" s="23">
        <v>1100557251</v>
      </c>
      <c r="E802" s="23">
        <v>360</v>
      </c>
      <c r="F802" s="23" t="s">
        <v>94</v>
      </c>
      <c r="G802" s="23" t="s">
        <v>95</v>
      </c>
      <c r="H802" s="24">
        <v>46189</v>
      </c>
      <c r="I802" s="24">
        <v>46127</v>
      </c>
      <c r="J802" s="23" t="s">
        <v>1001</v>
      </c>
      <c r="K802" s="23" t="s">
        <v>1001</v>
      </c>
      <c r="L802" s="23">
        <v>1</v>
      </c>
      <c r="M802" s="23" t="s">
        <v>78</v>
      </c>
      <c r="N802" s="23" t="s">
        <v>78</v>
      </c>
      <c r="O802" s="23">
        <v>4140</v>
      </c>
      <c r="P802" s="23" t="s">
        <v>79</v>
      </c>
      <c r="Q802" s="23" t="s">
        <v>83</v>
      </c>
      <c r="R802" s="23">
        <v>11100189</v>
      </c>
      <c r="S802" s="24" t="s">
        <v>80</v>
      </c>
      <c r="T802" s="24">
        <v>45860</v>
      </c>
      <c r="U802" s="24">
        <v>46127</v>
      </c>
      <c r="X802" s="24">
        <v>45614</v>
      </c>
      <c r="Y802" s="23">
        <v>1111</v>
      </c>
      <c r="Z802" s="23">
        <v>11100002</v>
      </c>
      <c r="AA802" s="23">
        <v>330103</v>
      </c>
      <c r="AB802" s="24">
        <v>45860</v>
      </c>
    </row>
    <row r="803" spans="2:28" x14ac:dyDescent="0.2">
      <c r="C803" s="23">
        <v>1100557251</v>
      </c>
      <c r="E803" s="23">
        <v>370</v>
      </c>
      <c r="F803" s="23" t="s">
        <v>84</v>
      </c>
      <c r="G803" s="23" t="s">
        <v>123</v>
      </c>
      <c r="H803" s="24">
        <v>46189</v>
      </c>
      <c r="I803" s="24">
        <v>46127</v>
      </c>
      <c r="J803" s="23" t="s">
        <v>1001</v>
      </c>
      <c r="K803" s="23" t="s">
        <v>1001</v>
      </c>
      <c r="L803" s="23">
        <v>1</v>
      </c>
      <c r="M803" s="23" t="s">
        <v>78</v>
      </c>
      <c r="N803" s="23" t="s">
        <v>78</v>
      </c>
      <c r="O803" s="23">
        <v>0.01</v>
      </c>
      <c r="P803" s="23" t="s">
        <v>79</v>
      </c>
      <c r="Q803" s="23" t="s">
        <v>83</v>
      </c>
      <c r="R803" s="23">
        <v>11100189</v>
      </c>
      <c r="S803" s="24" t="s">
        <v>80</v>
      </c>
      <c r="T803" s="24">
        <v>45860</v>
      </c>
      <c r="U803" s="24">
        <v>46127</v>
      </c>
      <c r="X803" s="24">
        <v>45614</v>
      </c>
      <c r="Y803" s="23">
        <v>1111</v>
      </c>
      <c r="Z803" s="23">
        <v>11100002</v>
      </c>
      <c r="AA803" s="23">
        <v>330103</v>
      </c>
      <c r="AB803" s="24">
        <v>45860</v>
      </c>
    </row>
    <row r="804" spans="2:28" x14ac:dyDescent="0.2">
      <c r="B804" s="23" t="s">
        <v>81</v>
      </c>
      <c r="C804" s="23">
        <v>1100557251</v>
      </c>
      <c r="H804" s="24">
        <v>46189</v>
      </c>
      <c r="O804" s="23">
        <v>1226052.26</v>
      </c>
      <c r="P804" s="23" t="s">
        <v>79</v>
      </c>
    </row>
    <row r="805" spans="2:28" x14ac:dyDescent="0.2">
      <c r="C805" s="23">
        <v>1100576470</v>
      </c>
      <c r="E805" s="23">
        <v>10</v>
      </c>
      <c r="F805" s="23" t="s">
        <v>87</v>
      </c>
      <c r="G805" s="23" t="s">
        <v>1454</v>
      </c>
      <c r="H805" s="24">
        <v>46189</v>
      </c>
      <c r="I805" s="24">
        <v>46189</v>
      </c>
      <c r="J805" s="23" t="s">
        <v>643</v>
      </c>
      <c r="K805" s="23" t="s">
        <v>643</v>
      </c>
      <c r="L805" s="23">
        <v>1</v>
      </c>
      <c r="M805" s="23" t="s">
        <v>78</v>
      </c>
      <c r="N805" s="23" t="s">
        <v>78</v>
      </c>
      <c r="O805" s="23">
        <v>15592</v>
      </c>
      <c r="P805" s="23" t="s">
        <v>79</v>
      </c>
      <c r="Q805" s="23" t="s">
        <v>83</v>
      </c>
      <c r="R805" s="23">
        <v>11100189</v>
      </c>
      <c r="S805" s="24">
        <v>46189</v>
      </c>
      <c r="T805" s="24">
        <v>46063</v>
      </c>
      <c r="U805" s="24" t="s">
        <v>80</v>
      </c>
      <c r="X805" s="24">
        <v>46051</v>
      </c>
      <c r="Y805" s="23">
        <v>1111</v>
      </c>
      <c r="Z805" s="23">
        <v>11100305</v>
      </c>
      <c r="AA805" s="23">
        <v>501203</v>
      </c>
      <c r="AB805" s="24">
        <v>46063</v>
      </c>
    </row>
    <row r="806" spans="2:28" x14ac:dyDescent="0.2">
      <c r="C806" s="23">
        <v>1100576470</v>
      </c>
      <c r="E806" s="23">
        <v>20</v>
      </c>
      <c r="F806" s="23" t="s">
        <v>87</v>
      </c>
      <c r="G806" s="23" t="s">
        <v>2535</v>
      </c>
      <c r="H806" s="24">
        <v>46189</v>
      </c>
      <c r="I806" s="24">
        <v>46189</v>
      </c>
      <c r="J806" s="23" t="s">
        <v>643</v>
      </c>
      <c r="K806" s="23" t="s">
        <v>643</v>
      </c>
      <c r="L806" s="23">
        <v>1</v>
      </c>
      <c r="M806" s="23" t="s">
        <v>78</v>
      </c>
      <c r="N806" s="23" t="s">
        <v>78</v>
      </c>
      <c r="O806" s="23">
        <v>6896</v>
      </c>
      <c r="P806" s="23" t="s">
        <v>79</v>
      </c>
      <c r="Q806" s="23" t="s">
        <v>83</v>
      </c>
      <c r="R806" s="23">
        <v>11100189</v>
      </c>
      <c r="S806" s="24">
        <v>46189</v>
      </c>
      <c r="T806" s="24">
        <v>46063</v>
      </c>
      <c r="U806" s="24" t="s">
        <v>80</v>
      </c>
      <c r="X806" s="24">
        <v>46051</v>
      </c>
      <c r="Y806" s="23">
        <v>1111</v>
      </c>
      <c r="Z806" s="23">
        <v>11100305</v>
      </c>
      <c r="AA806" s="23">
        <v>501203</v>
      </c>
      <c r="AB806" s="24">
        <v>46063</v>
      </c>
    </row>
    <row r="807" spans="2:28" x14ac:dyDescent="0.2">
      <c r="C807" s="23">
        <v>1100576470</v>
      </c>
      <c r="E807" s="23">
        <v>30</v>
      </c>
      <c r="F807" s="23" t="s">
        <v>84</v>
      </c>
      <c r="G807" s="23" t="s">
        <v>123</v>
      </c>
      <c r="H807" s="24">
        <v>46189</v>
      </c>
      <c r="I807" s="24">
        <v>46189</v>
      </c>
      <c r="J807" s="23" t="s">
        <v>643</v>
      </c>
      <c r="K807" s="23" t="s">
        <v>643</v>
      </c>
      <c r="L807" s="23">
        <v>1</v>
      </c>
      <c r="M807" s="23" t="s">
        <v>78</v>
      </c>
      <c r="N807" s="23" t="s">
        <v>78</v>
      </c>
      <c r="O807" s="23">
        <v>0.01</v>
      </c>
      <c r="P807" s="23" t="s">
        <v>79</v>
      </c>
      <c r="Q807" s="23" t="s">
        <v>83</v>
      </c>
      <c r="R807" s="23">
        <v>11100189</v>
      </c>
      <c r="S807" s="24">
        <v>46189</v>
      </c>
      <c r="T807" s="24">
        <v>46063</v>
      </c>
      <c r="U807" s="24" t="s">
        <v>80</v>
      </c>
      <c r="X807" s="24">
        <v>46051</v>
      </c>
      <c r="Y807" s="23">
        <v>1111</v>
      </c>
      <c r="Z807" s="23">
        <v>11100305</v>
      </c>
      <c r="AA807" s="23">
        <v>501203</v>
      </c>
      <c r="AB807" s="24">
        <v>46063</v>
      </c>
    </row>
    <row r="808" spans="2:28" x14ac:dyDescent="0.2">
      <c r="B808" s="23" t="s">
        <v>81</v>
      </c>
      <c r="C808" s="23">
        <v>1100576470</v>
      </c>
      <c r="H808" s="24">
        <v>46189</v>
      </c>
      <c r="O808" s="23">
        <v>22488.01</v>
      </c>
      <c r="P808" s="23" t="s">
        <v>79</v>
      </c>
    </row>
    <row r="809" spans="2:28" x14ac:dyDescent="0.2">
      <c r="C809" s="23">
        <v>1100572913</v>
      </c>
      <c r="E809" s="23">
        <v>10</v>
      </c>
      <c r="F809" s="23" t="s">
        <v>2536</v>
      </c>
      <c r="G809" s="23" t="s">
        <v>1559</v>
      </c>
      <c r="H809" s="24">
        <v>46191</v>
      </c>
      <c r="I809" s="24">
        <v>46191</v>
      </c>
      <c r="J809" s="23" t="s">
        <v>1561</v>
      </c>
      <c r="K809" s="23" t="s">
        <v>1561</v>
      </c>
      <c r="L809" s="23">
        <v>1</v>
      </c>
      <c r="M809" s="23" t="s">
        <v>78</v>
      </c>
      <c r="N809" s="23" t="s">
        <v>78</v>
      </c>
      <c r="O809" s="23">
        <v>14650</v>
      </c>
      <c r="P809" s="23" t="s">
        <v>79</v>
      </c>
      <c r="Q809" s="23" t="s">
        <v>83</v>
      </c>
      <c r="R809" s="23">
        <v>11100008</v>
      </c>
      <c r="S809" s="24" t="s">
        <v>80</v>
      </c>
      <c r="T809" s="24">
        <v>46028</v>
      </c>
      <c r="U809" s="24" t="s">
        <v>80</v>
      </c>
      <c r="X809" s="24">
        <v>46006</v>
      </c>
      <c r="Y809" s="23">
        <v>1111</v>
      </c>
      <c r="Z809" s="23">
        <v>11100303</v>
      </c>
      <c r="AA809" s="23">
        <v>331203</v>
      </c>
      <c r="AB809" s="24">
        <v>46028</v>
      </c>
    </row>
    <row r="810" spans="2:28" x14ac:dyDescent="0.2">
      <c r="C810" s="23">
        <v>1100572913</v>
      </c>
      <c r="E810" s="23">
        <v>20</v>
      </c>
      <c r="F810" s="23" t="s">
        <v>84</v>
      </c>
      <c r="G810" s="23" t="s">
        <v>123</v>
      </c>
      <c r="H810" s="24">
        <v>46191</v>
      </c>
      <c r="I810" s="24">
        <v>46191</v>
      </c>
      <c r="J810" s="23" t="s">
        <v>1561</v>
      </c>
      <c r="K810" s="23" t="s">
        <v>1561</v>
      </c>
      <c r="L810" s="23">
        <v>1</v>
      </c>
      <c r="M810" s="23" t="s">
        <v>78</v>
      </c>
      <c r="N810" s="23" t="s">
        <v>78</v>
      </c>
      <c r="O810" s="23">
        <v>0.01</v>
      </c>
      <c r="P810" s="23" t="s">
        <v>79</v>
      </c>
      <c r="Q810" s="23" t="s">
        <v>83</v>
      </c>
      <c r="R810" s="23">
        <v>11100008</v>
      </c>
      <c r="S810" s="24" t="s">
        <v>80</v>
      </c>
      <c r="T810" s="24">
        <v>46028</v>
      </c>
      <c r="U810" s="24" t="s">
        <v>80</v>
      </c>
      <c r="X810" s="24">
        <v>46006</v>
      </c>
      <c r="Y810" s="23">
        <v>1111</v>
      </c>
      <c r="Z810" s="23">
        <v>11100303</v>
      </c>
      <c r="AA810" s="23">
        <v>331203</v>
      </c>
      <c r="AB810" s="24">
        <v>46028</v>
      </c>
    </row>
    <row r="811" spans="2:28" x14ac:dyDescent="0.2">
      <c r="C811" s="23">
        <v>1100572913</v>
      </c>
      <c r="E811" s="23">
        <v>30</v>
      </c>
      <c r="F811" s="23" t="s">
        <v>82</v>
      </c>
      <c r="G811" s="23" t="s">
        <v>139</v>
      </c>
      <c r="H811" s="24">
        <v>46191</v>
      </c>
      <c r="I811" s="24">
        <v>46191</v>
      </c>
      <c r="J811" s="23" t="s">
        <v>1561</v>
      </c>
      <c r="K811" s="23" t="s">
        <v>1561</v>
      </c>
      <c r="L811" s="23">
        <v>1</v>
      </c>
      <c r="M811" s="23" t="s">
        <v>78</v>
      </c>
      <c r="N811" s="23" t="s">
        <v>78</v>
      </c>
      <c r="O811" s="23">
        <v>0.01</v>
      </c>
      <c r="P811" s="23" t="s">
        <v>79</v>
      </c>
      <c r="Q811" s="23" t="s">
        <v>83</v>
      </c>
      <c r="R811" s="23">
        <v>11100008</v>
      </c>
      <c r="S811" s="24" t="s">
        <v>80</v>
      </c>
      <c r="T811" s="24">
        <v>46028</v>
      </c>
      <c r="U811" s="24" t="s">
        <v>80</v>
      </c>
      <c r="X811" s="24">
        <v>46006</v>
      </c>
      <c r="Y811" s="23">
        <v>1111</v>
      </c>
      <c r="Z811" s="23">
        <v>11100303</v>
      </c>
      <c r="AA811" s="23">
        <v>331203</v>
      </c>
      <c r="AB811" s="24">
        <v>46028</v>
      </c>
    </row>
    <row r="812" spans="2:28" x14ac:dyDescent="0.2">
      <c r="B812" s="23" t="s">
        <v>81</v>
      </c>
      <c r="C812" s="23">
        <v>1100572913</v>
      </c>
      <c r="H812" s="24">
        <v>46191</v>
      </c>
      <c r="O812" s="23">
        <v>14650.02</v>
      </c>
      <c r="P812" s="23" t="s">
        <v>79</v>
      </c>
    </row>
    <row r="813" spans="2:28" x14ac:dyDescent="0.2">
      <c r="C813" s="23">
        <v>1100573547</v>
      </c>
      <c r="E813" s="23">
        <v>10</v>
      </c>
      <c r="F813" s="23" t="s">
        <v>2537</v>
      </c>
      <c r="G813" s="23" t="s">
        <v>546</v>
      </c>
      <c r="H813" s="24">
        <v>46191</v>
      </c>
      <c r="I813" s="24">
        <v>46191</v>
      </c>
      <c r="J813" s="23" t="s">
        <v>2538</v>
      </c>
      <c r="K813" s="23" t="s">
        <v>2538</v>
      </c>
      <c r="L813" s="23">
        <v>1</v>
      </c>
      <c r="M813" s="23" t="s">
        <v>78</v>
      </c>
      <c r="N813" s="23" t="s">
        <v>78</v>
      </c>
      <c r="O813" s="23">
        <v>11016</v>
      </c>
      <c r="P813" s="23" t="s">
        <v>79</v>
      </c>
      <c r="Q813" s="23" t="s">
        <v>83</v>
      </c>
      <c r="R813" s="23">
        <v>11100018</v>
      </c>
      <c r="S813" s="24" t="s">
        <v>80</v>
      </c>
      <c r="T813" s="24">
        <v>46034</v>
      </c>
      <c r="U813" s="24" t="s">
        <v>80</v>
      </c>
      <c r="X813" s="24">
        <v>45996</v>
      </c>
      <c r="Y813" s="23">
        <v>1111</v>
      </c>
      <c r="Z813" s="23">
        <v>11100303</v>
      </c>
      <c r="AA813" s="23">
        <v>394903</v>
      </c>
      <c r="AB813" s="24">
        <v>46034</v>
      </c>
    </row>
    <row r="814" spans="2:28" x14ac:dyDescent="0.2">
      <c r="C814" s="23">
        <v>1100573547</v>
      </c>
      <c r="E814" s="23">
        <v>20</v>
      </c>
      <c r="F814" s="23" t="s">
        <v>2539</v>
      </c>
      <c r="G814" s="23" t="s">
        <v>2540</v>
      </c>
      <c r="H814" s="24">
        <v>46191</v>
      </c>
      <c r="I814" s="24">
        <v>46191</v>
      </c>
      <c r="J814" s="23" t="s">
        <v>2538</v>
      </c>
      <c r="K814" s="23" t="s">
        <v>2538</v>
      </c>
      <c r="L814" s="23">
        <v>1</v>
      </c>
      <c r="M814" s="23" t="s">
        <v>78</v>
      </c>
      <c r="N814" s="23" t="s">
        <v>78</v>
      </c>
      <c r="O814" s="23">
        <v>3429.5</v>
      </c>
      <c r="P814" s="23" t="s">
        <v>79</v>
      </c>
      <c r="Q814" s="23" t="s">
        <v>83</v>
      </c>
      <c r="R814" s="23">
        <v>11100018</v>
      </c>
      <c r="S814" s="24" t="s">
        <v>80</v>
      </c>
      <c r="T814" s="24">
        <v>46034</v>
      </c>
      <c r="U814" s="24" t="s">
        <v>80</v>
      </c>
      <c r="X814" s="24">
        <v>45996</v>
      </c>
      <c r="Y814" s="23">
        <v>1111</v>
      </c>
      <c r="Z814" s="23">
        <v>11100303</v>
      </c>
      <c r="AA814" s="23">
        <v>394903</v>
      </c>
      <c r="AB814" s="24">
        <v>46034</v>
      </c>
    </row>
    <row r="815" spans="2:28" x14ac:dyDescent="0.2">
      <c r="C815" s="23">
        <v>1100573547</v>
      </c>
      <c r="E815" s="23">
        <v>30</v>
      </c>
      <c r="F815" s="23" t="s">
        <v>84</v>
      </c>
      <c r="G815" s="23" t="s">
        <v>123</v>
      </c>
      <c r="H815" s="24">
        <v>46191</v>
      </c>
      <c r="I815" s="24">
        <v>46191</v>
      </c>
      <c r="J815" s="23" t="s">
        <v>2538</v>
      </c>
      <c r="K815" s="23" t="s">
        <v>2538</v>
      </c>
      <c r="L815" s="23">
        <v>1</v>
      </c>
      <c r="M815" s="23" t="s">
        <v>78</v>
      </c>
      <c r="N815" s="23" t="s">
        <v>78</v>
      </c>
      <c r="O815" s="23">
        <v>0.01</v>
      </c>
      <c r="P815" s="23" t="s">
        <v>79</v>
      </c>
      <c r="Q815" s="23" t="s">
        <v>83</v>
      </c>
      <c r="R815" s="23">
        <v>11100018</v>
      </c>
      <c r="S815" s="24" t="s">
        <v>80</v>
      </c>
      <c r="T815" s="24">
        <v>46034</v>
      </c>
      <c r="U815" s="24" t="s">
        <v>80</v>
      </c>
      <c r="X815" s="24">
        <v>45996</v>
      </c>
      <c r="Y815" s="23">
        <v>1111</v>
      </c>
      <c r="Z815" s="23">
        <v>11100303</v>
      </c>
      <c r="AA815" s="23">
        <v>394903</v>
      </c>
      <c r="AB815" s="24">
        <v>46034</v>
      </c>
    </row>
    <row r="816" spans="2:28" x14ac:dyDescent="0.2">
      <c r="C816" s="23">
        <v>1100573547</v>
      </c>
      <c r="E816" s="23">
        <v>50</v>
      </c>
      <c r="F816" s="23" t="s">
        <v>209</v>
      </c>
      <c r="G816" s="23" t="s">
        <v>210</v>
      </c>
      <c r="H816" s="24">
        <v>46191</v>
      </c>
      <c r="I816" s="24">
        <v>46191</v>
      </c>
      <c r="J816" s="23" t="s">
        <v>2538</v>
      </c>
      <c r="K816" s="23" t="s">
        <v>2538</v>
      </c>
      <c r="L816" s="23">
        <v>1</v>
      </c>
      <c r="M816" s="23" t="s">
        <v>78</v>
      </c>
      <c r="N816" s="23" t="s">
        <v>78</v>
      </c>
      <c r="O816" s="23">
        <v>0.01</v>
      </c>
      <c r="P816" s="23" t="s">
        <v>79</v>
      </c>
      <c r="Q816" s="23" t="s">
        <v>83</v>
      </c>
      <c r="R816" s="23">
        <v>11100018</v>
      </c>
      <c r="S816" s="24" t="s">
        <v>80</v>
      </c>
      <c r="T816" s="24">
        <v>46034</v>
      </c>
      <c r="U816" s="24" t="s">
        <v>80</v>
      </c>
      <c r="X816" s="24">
        <v>45996</v>
      </c>
      <c r="Y816" s="23">
        <v>1111</v>
      </c>
      <c r="Z816" s="23">
        <v>11100303</v>
      </c>
      <c r="AA816" s="23">
        <v>394903</v>
      </c>
      <c r="AB816" s="24">
        <v>46034</v>
      </c>
    </row>
    <row r="817" spans="2:28" x14ac:dyDescent="0.2">
      <c r="B817" s="23" t="s">
        <v>81</v>
      </c>
      <c r="C817" s="23">
        <v>1100573547</v>
      </c>
      <c r="H817" s="24">
        <v>46191</v>
      </c>
      <c r="O817" s="23">
        <v>14445.52</v>
      </c>
      <c r="P817" s="23" t="s">
        <v>79</v>
      </c>
    </row>
    <row r="818" spans="2:28" x14ac:dyDescent="0.2">
      <c r="C818" s="23">
        <v>1100576887</v>
      </c>
      <c r="E818" s="23">
        <v>10</v>
      </c>
      <c r="F818" s="23" t="s">
        <v>87</v>
      </c>
      <c r="G818" s="23" t="s">
        <v>2541</v>
      </c>
      <c r="H818" s="24">
        <v>46191</v>
      </c>
      <c r="I818" s="24">
        <v>46191</v>
      </c>
      <c r="J818" s="23" t="s">
        <v>826</v>
      </c>
      <c r="K818" s="23" t="s">
        <v>826</v>
      </c>
      <c r="L818" s="23">
        <v>1</v>
      </c>
      <c r="M818" s="23" t="s">
        <v>78</v>
      </c>
      <c r="N818" s="23" t="s">
        <v>78</v>
      </c>
      <c r="O818" s="23">
        <v>12400</v>
      </c>
      <c r="P818" s="23" t="s">
        <v>79</v>
      </c>
      <c r="Q818" s="23" t="s">
        <v>83</v>
      </c>
      <c r="R818" s="23">
        <v>11100189</v>
      </c>
      <c r="S818" s="24">
        <v>46136</v>
      </c>
      <c r="T818" s="24">
        <v>46069</v>
      </c>
      <c r="U818" s="24" t="s">
        <v>80</v>
      </c>
      <c r="X818" s="24">
        <v>46045</v>
      </c>
      <c r="Y818" s="23">
        <v>1111</v>
      </c>
      <c r="Z818" s="23">
        <v>11100002</v>
      </c>
      <c r="AA818" s="23">
        <v>511203</v>
      </c>
      <c r="AB818" s="24">
        <v>46069</v>
      </c>
    </row>
    <row r="819" spans="2:28" x14ac:dyDescent="0.2">
      <c r="C819" s="23">
        <v>1100576887</v>
      </c>
      <c r="E819" s="23">
        <v>20</v>
      </c>
      <c r="F819" s="23" t="s">
        <v>84</v>
      </c>
      <c r="G819" s="23" t="s">
        <v>123</v>
      </c>
      <c r="H819" s="24">
        <v>46191</v>
      </c>
      <c r="I819" s="24">
        <v>46191</v>
      </c>
      <c r="J819" s="23" t="s">
        <v>826</v>
      </c>
      <c r="K819" s="23" t="s">
        <v>826</v>
      </c>
      <c r="L819" s="23">
        <v>1</v>
      </c>
      <c r="M819" s="23" t="s">
        <v>78</v>
      </c>
      <c r="N819" s="23" t="s">
        <v>78</v>
      </c>
      <c r="O819" s="23">
        <v>0.01</v>
      </c>
      <c r="P819" s="23" t="s">
        <v>79</v>
      </c>
      <c r="Q819" s="23" t="s">
        <v>83</v>
      </c>
      <c r="R819" s="23">
        <v>11100189</v>
      </c>
      <c r="S819" s="24" t="s">
        <v>80</v>
      </c>
      <c r="T819" s="24">
        <v>46069</v>
      </c>
      <c r="U819" s="24" t="s">
        <v>80</v>
      </c>
      <c r="X819" s="24">
        <v>46045</v>
      </c>
      <c r="Y819" s="23">
        <v>1111</v>
      </c>
      <c r="Z819" s="23">
        <v>11100002</v>
      </c>
      <c r="AA819" s="23">
        <v>511203</v>
      </c>
      <c r="AB819" s="24">
        <v>46069</v>
      </c>
    </row>
    <row r="820" spans="2:28" x14ac:dyDescent="0.2">
      <c r="C820" s="23">
        <v>1100576887</v>
      </c>
      <c r="E820" s="23">
        <v>30</v>
      </c>
      <c r="F820" s="23" t="s">
        <v>82</v>
      </c>
      <c r="G820" s="23" t="s">
        <v>139</v>
      </c>
      <c r="H820" s="24">
        <v>46191</v>
      </c>
      <c r="I820" s="24">
        <v>46191</v>
      </c>
      <c r="J820" s="23" t="s">
        <v>826</v>
      </c>
      <c r="K820" s="23" t="s">
        <v>826</v>
      </c>
      <c r="L820" s="23">
        <v>1</v>
      </c>
      <c r="M820" s="23" t="s">
        <v>78</v>
      </c>
      <c r="N820" s="23" t="s">
        <v>78</v>
      </c>
      <c r="O820" s="23">
        <v>0.01</v>
      </c>
      <c r="P820" s="23" t="s">
        <v>79</v>
      </c>
      <c r="Q820" s="23" t="s">
        <v>83</v>
      </c>
      <c r="R820" s="23">
        <v>11100189</v>
      </c>
      <c r="S820" s="24" t="s">
        <v>80</v>
      </c>
      <c r="T820" s="24">
        <v>46069</v>
      </c>
      <c r="U820" s="24" t="s">
        <v>80</v>
      </c>
      <c r="X820" s="24">
        <v>46045</v>
      </c>
      <c r="Y820" s="23">
        <v>1111</v>
      </c>
      <c r="Z820" s="23">
        <v>11100002</v>
      </c>
      <c r="AA820" s="23">
        <v>511203</v>
      </c>
      <c r="AB820" s="24">
        <v>46069</v>
      </c>
    </row>
    <row r="821" spans="2:28" x14ac:dyDescent="0.2">
      <c r="B821" s="23" t="s">
        <v>81</v>
      </c>
      <c r="C821" s="23">
        <v>1100576887</v>
      </c>
      <c r="H821" s="24">
        <v>46191</v>
      </c>
      <c r="O821" s="23">
        <v>12400.02</v>
      </c>
      <c r="P821" s="23" t="s">
        <v>79</v>
      </c>
    </row>
    <row r="822" spans="2:28" x14ac:dyDescent="0.2">
      <c r="C822" s="23">
        <v>1100575882</v>
      </c>
      <c r="E822" s="23">
        <v>10</v>
      </c>
      <c r="F822" s="23" t="s">
        <v>87</v>
      </c>
      <c r="G822" s="23" t="s">
        <v>1446</v>
      </c>
      <c r="H822" s="24">
        <v>46192</v>
      </c>
      <c r="I822" s="24">
        <v>46192</v>
      </c>
      <c r="J822" s="23" t="s">
        <v>2542</v>
      </c>
      <c r="K822" s="23" t="s">
        <v>2542</v>
      </c>
      <c r="L822" s="23">
        <v>1</v>
      </c>
      <c r="M822" s="23" t="s">
        <v>78</v>
      </c>
      <c r="N822" s="23" t="s">
        <v>78</v>
      </c>
      <c r="O822" s="23">
        <v>29222</v>
      </c>
      <c r="P822" s="23" t="s">
        <v>79</v>
      </c>
      <c r="Q822" s="23" t="s">
        <v>83</v>
      </c>
      <c r="R822" s="23">
        <v>11100189</v>
      </c>
      <c r="S822" s="24">
        <v>46192</v>
      </c>
      <c r="T822" s="24">
        <v>46057</v>
      </c>
      <c r="U822" s="24" t="s">
        <v>80</v>
      </c>
      <c r="X822" s="24">
        <v>46050</v>
      </c>
      <c r="Y822" s="23">
        <v>1111</v>
      </c>
      <c r="Z822" s="23">
        <v>11100303</v>
      </c>
      <c r="AA822" s="23">
        <v>331203</v>
      </c>
      <c r="AB822" s="24">
        <v>46057</v>
      </c>
    </row>
    <row r="823" spans="2:28" x14ac:dyDescent="0.2">
      <c r="C823" s="23">
        <v>1100575882</v>
      </c>
      <c r="E823" s="23">
        <v>20</v>
      </c>
      <c r="F823" s="23" t="s">
        <v>84</v>
      </c>
      <c r="G823" s="23" t="s">
        <v>123</v>
      </c>
      <c r="H823" s="24">
        <v>46192</v>
      </c>
      <c r="I823" s="24">
        <v>46192</v>
      </c>
      <c r="J823" s="23" t="s">
        <v>2542</v>
      </c>
      <c r="K823" s="23" t="s">
        <v>2542</v>
      </c>
      <c r="L823" s="23">
        <v>1</v>
      </c>
      <c r="M823" s="23" t="s">
        <v>78</v>
      </c>
      <c r="N823" s="23" t="s">
        <v>78</v>
      </c>
      <c r="O823" s="23">
        <v>0.01</v>
      </c>
      <c r="P823" s="23" t="s">
        <v>79</v>
      </c>
      <c r="Q823" s="23" t="s">
        <v>83</v>
      </c>
      <c r="R823" s="23">
        <v>11100189</v>
      </c>
      <c r="S823" s="24" t="s">
        <v>80</v>
      </c>
      <c r="T823" s="24">
        <v>46057</v>
      </c>
      <c r="U823" s="24" t="s">
        <v>80</v>
      </c>
      <c r="X823" s="24">
        <v>46050</v>
      </c>
      <c r="Y823" s="23">
        <v>1111</v>
      </c>
      <c r="Z823" s="23">
        <v>11100303</v>
      </c>
      <c r="AA823" s="23">
        <v>331203</v>
      </c>
      <c r="AB823" s="24">
        <v>46057</v>
      </c>
    </row>
    <row r="824" spans="2:28" x14ac:dyDescent="0.2">
      <c r="B824" s="23" t="s">
        <v>81</v>
      </c>
      <c r="C824" s="23">
        <v>1100575882</v>
      </c>
      <c r="H824" s="24">
        <v>46192</v>
      </c>
      <c r="O824" s="23">
        <v>29222.01</v>
      </c>
      <c r="P824" s="23" t="s">
        <v>79</v>
      </c>
    </row>
    <row r="825" spans="2:28" x14ac:dyDescent="0.2">
      <c r="C825" s="23">
        <v>1100575876</v>
      </c>
      <c r="E825" s="23">
        <v>10</v>
      </c>
      <c r="F825" s="23" t="s">
        <v>2543</v>
      </c>
      <c r="G825" s="23" t="s">
        <v>547</v>
      </c>
      <c r="H825" s="24">
        <v>46196</v>
      </c>
      <c r="I825" s="24">
        <v>46196</v>
      </c>
      <c r="J825" s="23" t="s">
        <v>2544</v>
      </c>
      <c r="K825" s="23" t="s">
        <v>2544</v>
      </c>
      <c r="L825" s="23">
        <v>1</v>
      </c>
      <c r="M825" s="23" t="s">
        <v>78</v>
      </c>
      <c r="N825" s="23" t="s">
        <v>78</v>
      </c>
      <c r="O825" s="23">
        <v>23830.2</v>
      </c>
      <c r="P825" s="23" t="s">
        <v>79</v>
      </c>
      <c r="Q825" s="23" t="s">
        <v>83</v>
      </c>
      <c r="R825" s="23">
        <v>11100189</v>
      </c>
      <c r="S825" s="24">
        <v>46196</v>
      </c>
      <c r="T825" s="24">
        <v>46057</v>
      </c>
      <c r="U825" s="24" t="s">
        <v>80</v>
      </c>
      <c r="X825" s="24">
        <v>46030</v>
      </c>
      <c r="Y825" s="23">
        <v>1111</v>
      </c>
      <c r="Z825" s="23">
        <v>11100305</v>
      </c>
      <c r="AA825" s="23">
        <v>330103</v>
      </c>
      <c r="AB825" s="24">
        <v>46057</v>
      </c>
    </row>
    <row r="826" spans="2:28" x14ac:dyDescent="0.2">
      <c r="C826" s="23">
        <v>1100575876</v>
      </c>
      <c r="E826" s="23">
        <v>20</v>
      </c>
      <c r="F826" s="23" t="s">
        <v>2545</v>
      </c>
      <c r="G826" s="23" t="s">
        <v>544</v>
      </c>
      <c r="H826" s="24">
        <v>46196</v>
      </c>
      <c r="I826" s="24">
        <v>46196</v>
      </c>
      <c r="J826" s="23" t="s">
        <v>2544</v>
      </c>
      <c r="K826" s="23" t="s">
        <v>2544</v>
      </c>
      <c r="L826" s="23">
        <v>1</v>
      </c>
      <c r="M826" s="23" t="s">
        <v>78</v>
      </c>
      <c r="N826" s="23" t="s">
        <v>78</v>
      </c>
      <c r="O826" s="23">
        <v>25450.2</v>
      </c>
      <c r="P826" s="23" t="s">
        <v>79</v>
      </c>
      <c r="Q826" s="23" t="s">
        <v>83</v>
      </c>
      <c r="R826" s="23">
        <v>11100189</v>
      </c>
      <c r="S826" s="24">
        <v>46196</v>
      </c>
      <c r="T826" s="24">
        <v>46057</v>
      </c>
      <c r="U826" s="24" t="s">
        <v>80</v>
      </c>
      <c r="X826" s="24">
        <v>46030</v>
      </c>
      <c r="Y826" s="23">
        <v>1111</v>
      </c>
      <c r="Z826" s="23">
        <v>11100305</v>
      </c>
      <c r="AA826" s="23">
        <v>330103</v>
      </c>
      <c r="AB826" s="24">
        <v>46057</v>
      </c>
    </row>
    <row r="827" spans="2:28" x14ac:dyDescent="0.2">
      <c r="C827" s="23">
        <v>1100575876</v>
      </c>
      <c r="E827" s="23">
        <v>30</v>
      </c>
      <c r="F827" s="23" t="s">
        <v>1187</v>
      </c>
      <c r="G827" s="23" t="s">
        <v>1188</v>
      </c>
      <c r="H827" s="24">
        <v>46196</v>
      </c>
      <c r="I827" s="24">
        <v>46196</v>
      </c>
      <c r="J827" s="23" t="s">
        <v>2544</v>
      </c>
      <c r="K827" s="23" t="s">
        <v>2544</v>
      </c>
      <c r="L827" s="23">
        <v>2</v>
      </c>
      <c r="M827" s="23" t="s">
        <v>78</v>
      </c>
      <c r="N827" s="23" t="s">
        <v>78</v>
      </c>
      <c r="O827" s="23">
        <v>2721.6</v>
      </c>
      <c r="P827" s="23" t="s">
        <v>79</v>
      </c>
      <c r="Q827" s="23" t="s">
        <v>83</v>
      </c>
      <c r="R827" s="23">
        <v>11100189</v>
      </c>
      <c r="S827" s="24">
        <v>46196</v>
      </c>
      <c r="T827" s="24">
        <v>46057</v>
      </c>
      <c r="U827" s="24" t="s">
        <v>80</v>
      </c>
      <c r="X827" s="24">
        <v>46030</v>
      </c>
      <c r="Y827" s="23">
        <v>1111</v>
      </c>
      <c r="Z827" s="23">
        <v>11100305</v>
      </c>
      <c r="AA827" s="23">
        <v>330103</v>
      </c>
      <c r="AB827" s="24">
        <v>46057</v>
      </c>
    </row>
    <row r="828" spans="2:28" x14ac:dyDescent="0.2">
      <c r="C828" s="23">
        <v>1100575876</v>
      </c>
      <c r="E828" s="23">
        <v>40</v>
      </c>
      <c r="F828" s="23" t="s">
        <v>84</v>
      </c>
      <c r="G828" s="23" t="s">
        <v>123</v>
      </c>
      <c r="H828" s="24">
        <v>46196</v>
      </c>
      <c r="I828" s="24">
        <v>46196</v>
      </c>
      <c r="J828" s="23" t="s">
        <v>2544</v>
      </c>
      <c r="K828" s="23" t="s">
        <v>2544</v>
      </c>
      <c r="L828" s="23">
        <v>1</v>
      </c>
      <c r="M828" s="23" t="s">
        <v>78</v>
      </c>
      <c r="N828" s="23" t="s">
        <v>78</v>
      </c>
      <c r="O828" s="23">
        <v>0.01</v>
      </c>
      <c r="P828" s="23" t="s">
        <v>79</v>
      </c>
      <c r="Q828" s="23" t="s">
        <v>83</v>
      </c>
      <c r="R828" s="23">
        <v>11100189</v>
      </c>
      <c r="S828" s="24">
        <v>46196</v>
      </c>
      <c r="T828" s="24">
        <v>46057</v>
      </c>
      <c r="U828" s="24" t="s">
        <v>80</v>
      </c>
      <c r="X828" s="24">
        <v>46030</v>
      </c>
      <c r="Y828" s="23">
        <v>1111</v>
      </c>
      <c r="Z828" s="23">
        <v>11100305</v>
      </c>
      <c r="AA828" s="23">
        <v>330103</v>
      </c>
      <c r="AB828" s="24">
        <v>46057</v>
      </c>
    </row>
    <row r="829" spans="2:28" x14ac:dyDescent="0.2">
      <c r="C829" s="23">
        <v>1100575876</v>
      </c>
      <c r="E829" s="23">
        <v>50</v>
      </c>
      <c r="F829" s="23" t="s">
        <v>398</v>
      </c>
      <c r="G829" s="23" t="s">
        <v>2546</v>
      </c>
      <c r="H829" s="24">
        <v>46196</v>
      </c>
      <c r="I829" s="24">
        <v>46196</v>
      </c>
      <c r="J829" s="23" t="s">
        <v>2544</v>
      </c>
      <c r="K829" s="23" t="s">
        <v>2544</v>
      </c>
      <c r="L829" s="23">
        <v>2</v>
      </c>
      <c r="M829" s="23" t="s">
        <v>78</v>
      </c>
      <c r="N829" s="23" t="s">
        <v>78</v>
      </c>
      <c r="O829" s="23">
        <v>162</v>
      </c>
      <c r="P829" s="23" t="s">
        <v>79</v>
      </c>
      <c r="Q829" s="23" t="s">
        <v>83</v>
      </c>
      <c r="R829" s="23">
        <v>11100189</v>
      </c>
      <c r="S829" s="24">
        <v>46196</v>
      </c>
      <c r="T829" s="24">
        <v>46057</v>
      </c>
      <c r="U829" s="24" t="s">
        <v>80</v>
      </c>
      <c r="X829" s="24">
        <v>46030</v>
      </c>
      <c r="Y829" s="23">
        <v>1111</v>
      </c>
      <c r="Z829" s="23">
        <v>11100305</v>
      </c>
      <c r="AA829" s="23">
        <v>330103</v>
      </c>
      <c r="AB829" s="24">
        <v>46057</v>
      </c>
    </row>
    <row r="830" spans="2:28" x14ac:dyDescent="0.2">
      <c r="B830" s="23" t="s">
        <v>81</v>
      </c>
      <c r="C830" s="23">
        <v>1100575876</v>
      </c>
      <c r="H830" s="24">
        <v>46196</v>
      </c>
      <c r="O830" s="23">
        <v>52164.01</v>
      </c>
      <c r="P830" s="23" t="s">
        <v>79</v>
      </c>
    </row>
    <row r="831" spans="2:28" x14ac:dyDescent="0.2">
      <c r="C831" s="23">
        <v>1100102757</v>
      </c>
      <c r="E831" s="23">
        <v>750</v>
      </c>
      <c r="F831" s="23" t="s">
        <v>1689</v>
      </c>
      <c r="G831" s="23" t="s">
        <v>305</v>
      </c>
      <c r="H831" s="24">
        <v>46199</v>
      </c>
      <c r="I831" s="24">
        <v>46752</v>
      </c>
      <c r="J831" s="23" t="s">
        <v>1690</v>
      </c>
      <c r="K831" s="23" t="s">
        <v>1690</v>
      </c>
      <c r="L831" s="23">
        <v>1</v>
      </c>
      <c r="M831" s="23" t="s">
        <v>78</v>
      </c>
      <c r="N831" s="23" t="s">
        <v>78</v>
      </c>
      <c r="O831" s="23">
        <v>0</v>
      </c>
      <c r="P831" s="23" t="s">
        <v>79</v>
      </c>
      <c r="Q831" s="23" t="s">
        <v>83</v>
      </c>
      <c r="R831" s="23">
        <v>11100008</v>
      </c>
      <c r="S831" s="24" t="s">
        <v>80</v>
      </c>
      <c r="T831" s="24">
        <v>46030</v>
      </c>
      <c r="U831" s="24">
        <v>46751</v>
      </c>
      <c r="X831" s="24">
        <v>46030</v>
      </c>
      <c r="Y831" s="23">
        <v>1111</v>
      </c>
      <c r="Z831" s="23">
        <v>11400912</v>
      </c>
      <c r="AA831" s="23">
        <v>5161</v>
      </c>
      <c r="AB831" s="24">
        <v>46030</v>
      </c>
    </row>
    <row r="832" spans="2:28" x14ac:dyDescent="0.2">
      <c r="C832" s="23">
        <v>1100102757</v>
      </c>
      <c r="E832" s="23">
        <v>1700</v>
      </c>
      <c r="F832" s="23" t="s">
        <v>1691</v>
      </c>
      <c r="G832" s="23" t="s">
        <v>1692</v>
      </c>
      <c r="H832" s="24">
        <v>46199</v>
      </c>
      <c r="I832" s="24">
        <v>46227</v>
      </c>
      <c r="J832" s="23" t="s">
        <v>1690</v>
      </c>
      <c r="K832" s="23" t="s">
        <v>1690</v>
      </c>
      <c r="L832" s="23">
        <v>1</v>
      </c>
      <c r="M832" s="23" t="s">
        <v>78</v>
      </c>
      <c r="N832" s="23" t="s">
        <v>78</v>
      </c>
      <c r="O832" s="23">
        <v>15861</v>
      </c>
      <c r="P832" s="23" t="s">
        <v>79</v>
      </c>
      <c r="Q832" s="23" t="s">
        <v>119</v>
      </c>
      <c r="R832" s="23">
        <v>11100008</v>
      </c>
      <c r="S832" s="24">
        <v>46229</v>
      </c>
      <c r="T832" s="24">
        <v>46030</v>
      </c>
      <c r="U832" s="24">
        <v>46751</v>
      </c>
      <c r="X832" s="24">
        <v>46030</v>
      </c>
      <c r="Y832" s="23">
        <v>1111</v>
      </c>
      <c r="Z832" s="23">
        <v>11400912</v>
      </c>
      <c r="AA832" s="23">
        <v>5106</v>
      </c>
      <c r="AB832" s="24">
        <v>46030</v>
      </c>
    </row>
    <row r="833" spans="2:28" x14ac:dyDescent="0.2">
      <c r="C833" s="23">
        <v>1100102757</v>
      </c>
      <c r="E833" s="23">
        <v>1800</v>
      </c>
      <c r="F833" s="23" t="s">
        <v>1693</v>
      </c>
      <c r="G833" s="23" t="s">
        <v>1694</v>
      </c>
      <c r="H833" s="24">
        <v>46199</v>
      </c>
      <c r="I833" s="24">
        <v>46227</v>
      </c>
      <c r="J833" s="23" t="s">
        <v>1690</v>
      </c>
      <c r="K833" s="23" t="s">
        <v>1690</v>
      </c>
      <c r="L833" s="23">
        <v>1</v>
      </c>
      <c r="M833" s="23" t="s">
        <v>78</v>
      </c>
      <c r="N833" s="23" t="s">
        <v>78</v>
      </c>
      <c r="O833" s="23">
        <v>15861</v>
      </c>
      <c r="P833" s="23" t="s">
        <v>79</v>
      </c>
      <c r="Q833" s="23" t="s">
        <v>119</v>
      </c>
      <c r="R833" s="23">
        <v>11100008</v>
      </c>
      <c r="S833" s="24">
        <v>46229</v>
      </c>
      <c r="T833" s="24">
        <v>46030</v>
      </c>
      <c r="U833" s="24">
        <v>46751</v>
      </c>
      <c r="X833" s="24">
        <v>46030</v>
      </c>
      <c r="Y833" s="23">
        <v>1111</v>
      </c>
      <c r="Z833" s="23">
        <v>11400912</v>
      </c>
      <c r="AA833" s="23">
        <v>5106</v>
      </c>
      <c r="AB833" s="24">
        <v>46030</v>
      </c>
    </row>
    <row r="834" spans="2:28" x14ac:dyDescent="0.2">
      <c r="C834" s="23">
        <v>1100102757</v>
      </c>
      <c r="E834" s="23">
        <v>1900</v>
      </c>
      <c r="F834" s="23" t="s">
        <v>1695</v>
      </c>
      <c r="G834" s="23" t="s">
        <v>1696</v>
      </c>
      <c r="H834" s="24">
        <v>46199</v>
      </c>
      <c r="I834" s="24">
        <v>46227</v>
      </c>
      <c r="J834" s="23" t="s">
        <v>1690</v>
      </c>
      <c r="K834" s="23" t="s">
        <v>1690</v>
      </c>
      <c r="L834" s="23">
        <v>1</v>
      </c>
      <c r="M834" s="23" t="s">
        <v>78</v>
      </c>
      <c r="N834" s="23" t="s">
        <v>78</v>
      </c>
      <c r="O834" s="23">
        <v>15861</v>
      </c>
      <c r="P834" s="23" t="s">
        <v>79</v>
      </c>
      <c r="Q834" s="23" t="s">
        <v>119</v>
      </c>
      <c r="R834" s="23">
        <v>11100008</v>
      </c>
      <c r="S834" s="24">
        <v>46229</v>
      </c>
      <c r="T834" s="24">
        <v>46030</v>
      </c>
      <c r="U834" s="24">
        <v>46751</v>
      </c>
      <c r="X834" s="24">
        <v>46030</v>
      </c>
      <c r="Y834" s="23">
        <v>1111</v>
      </c>
      <c r="Z834" s="23">
        <v>11400912</v>
      </c>
      <c r="AA834" s="23">
        <v>5106</v>
      </c>
      <c r="AB834" s="24">
        <v>46030</v>
      </c>
    </row>
    <row r="835" spans="2:28" x14ac:dyDescent="0.2">
      <c r="C835" s="23">
        <v>1100102757</v>
      </c>
      <c r="E835" s="23">
        <v>2400</v>
      </c>
      <c r="F835" s="23" t="s">
        <v>1697</v>
      </c>
      <c r="G835" s="23" t="s">
        <v>1698</v>
      </c>
      <c r="H835" s="24">
        <v>46199</v>
      </c>
      <c r="I835" s="24">
        <v>46227</v>
      </c>
      <c r="J835" s="23" t="s">
        <v>1690</v>
      </c>
      <c r="K835" s="23" t="s">
        <v>1690</v>
      </c>
      <c r="L835" s="23">
        <v>1</v>
      </c>
      <c r="M835" s="23" t="s">
        <v>78</v>
      </c>
      <c r="N835" s="23" t="s">
        <v>78</v>
      </c>
      <c r="O835" s="23">
        <v>40541</v>
      </c>
      <c r="P835" s="23" t="s">
        <v>79</v>
      </c>
      <c r="Q835" s="23" t="s">
        <v>119</v>
      </c>
      <c r="R835" s="23">
        <v>11100008</v>
      </c>
      <c r="S835" s="24">
        <v>46229</v>
      </c>
      <c r="T835" s="24">
        <v>46030</v>
      </c>
      <c r="U835" s="24">
        <v>46751</v>
      </c>
      <c r="X835" s="24">
        <v>46030</v>
      </c>
      <c r="Y835" s="23">
        <v>1111</v>
      </c>
      <c r="Z835" s="23">
        <v>11400912</v>
      </c>
      <c r="AA835" s="23">
        <v>5101</v>
      </c>
      <c r="AB835" s="24">
        <v>46030</v>
      </c>
    </row>
    <row r="836" spans="2:28" x14ac:dyDescent="0.2">
      <c r="C836" s="23">
        <v>1100102757</v>
      </c>
      <c r="E836" s="23">
        <v>2500</v>
      </c>
      <c r="F836" s="23" t="s">
        <v>1699</v>
      </c>
      <c r="G836" s="23" t="s">
        <v>1700</v>
      </c>
      <c r="H836" s="24">
        <v>46199</v>
      </c>
      <c r="I836" s="24">
        <v>46227</v>
      </c>
      <c r="J836" s="23" t="s">
        <v>1690</v>
      </c>
      <c r="K836" s="23" t="s">
        <v>1690</v>
      </c>
      <c r="L836" s="23">
        <v>1</v>
      </c>
      <c r="M836" s="23" t="s">
        <v>78</v>
      </c>
      <c r="N836" s="23" t="s">
        <v>78</v>
      </c>
      <c r="O836" s="23">
        <v>41593</v>
      </c>
      <c r="P836" s="23" t="s">
        <v>79</v>
      </c>
      <c r="Q836" s="23" t="s">
        <v>119</v>
      </c>
      <c r="R836" s="23">
        <v>11100008</v>
      </c>
      <c r="S836" s="24">
        <v>46229</v>
      </c>
      <c r="T836" s="24">
        <v>46030</v>
      </c>
      <c r="U836" s="24">
        <v>46751</v>
      </c>
      <c r="X836" s="24">
        <v>46030</v>
      </c>
      <c r="Y836" s="23">
        <v>1111</v>
      </c>
      <c r="Z836" s="23">
        <v>11400912</v>
      </c>
      <c r="AA836" s="23">
        <v>5101</v>
      </c>
      <c r="AB836" s="24">
        <v>46030</v>
      </c>
    </row>
    <row r="837" spans="2:28" x14ac:dyDescent="0.2">
      <c r="C837" s="23">
        <v>1100102757</v>
      </c>
      <c r="E837" s="23">
        <v>2600</v>
      </c>
      <c r="F837" s="23" t="s">
        <v>1701</v>
      </c>
      <c r="G837" s="23" t="s">
        <v>1702</v>
      </c>
      <c r="H837" s="24">
        <v>46199</v>
      </c>
      <c r="I837" s="24">
        <v>46227</v>
      </c>
      <c r="J837" s="23" t="s">
        <v>1690</v>
      </c>
      <c r="K837" s="23" t="s">
        <v>1690</v>
      </c>
      <c r="L837" s="23">
        <v>1</v>
      </c>
      <c r="M837" s="23" t="s">
        <v>78</v>
      </c>
      <c r="N837" s="23" t="s">
        <v>78</v>
      </c>
      <c r="O837" s="23">
        <v>41500</v>
      </c>
      <c r="P837" s="23" t="s">
        <v>79</v>
      </c>
      <c r="Q837" s="23" t="s">
        <v>119</v>
      </c>
      <c r="R837" s="23">
        <v>11100008</v>
      </c>
      <c r="S837" s="24">
        <v>46229</v>
      </c>
      <c r="T837" s="24">
        <v>46030</v>
      </c>
      <c r="U837" s="24">
        <v>46751</v>
      </c>
      <c r="X837" s="24">
        <v>46030</v>
      </c>
      <c r="Y837" s="23">
        <v>1111</v>
      </c>
      <c r="Z837" s="23">
        <v>11400912</v>
      </c>
      <c r="AA837" s="23">
        <v>5101</v>
      </c>
      <c r="AB837" s="24">
        <v>46030</v>
      </c>
    </row>
    <row r="838" spans="2:28" x14ac:dyDescent="0.2">
      <c r="C838" s="23">
        <v>1100102757</v>
      </c>
      <c r="E838" s="23">
        <v>2700</v>
      </c>
      <c r="F838" s="23" t="s">
        <v>1703</v>
      </c>
      <c r="G838" s="23" t="s">
        <v>1704</v>
      </c>
      <c r="H838" s="24">
        <v>46199</v>
      </c>
      <c r="I838" s="24">
        <v>46227</v>
      </c>
      <c r="J838" s="23" t="s">
        <v>1690</v>
      </c>
      <c r="K838" s="23" t="s">
        <v>1690</v>
      </c>
      <c r="L838" s="23">
        <v>1</v>
      </c>
      <c r="M838" s="23" t="s">
        <v>78</v>
      </c>
      <c r="N838" s="23" t="s">
        <v>78</v>
      </c>
      <c r="O838" s="23">
        <v>24050</v>
      </c>
      <c r="P838" s="23" t="s">
        <v>79</v>
      </c>
      <c r="Q838" s="23" t="s">
        <v>119</v>
      </c>
      <c r="R838" s="23">
        <v>11100008</v>
      </c>
      <c r="S838" s="24">
        <v>46229</v>
      </c>
      <c r="T838" s="24">
        <v>46030</v>
      </c>
      <c r="U838" s="24">
        <v>46751</v>
      </c>
      <c r="X838" s="24">
        <v>46030</v>
      </c>
      <c r="Y838" s="23">
        <v>1111</v>
      </c>
      <c r="Z838" s="23">
        <v>11400912</v>
      </c>
      <c r="AA838" s="23">
        <v>5101</v>
      </c>
      <c r="AB838" s="24">
        <v>46030</v>
      </c>
    </row>
    <row r="839" spans="2:28" x14ac:dyDescent="0.2">
      <c r="C839" s="23">
        <v>1100102757</v>
      </c>
      <c r="E839" s="23">
        <v>7600</v>
      </c>
      <c r="F839" s="23" t="s">
        <v>2547</v>
      </c>
      <c r="G839" s="23" t="s">
        <v>2548</v>
      </c>
      <c r="H839" s="24">
        <v>46199</v>
      </c>
      <c r="I839" s="24">
        <v>46199</v>
      </c>
      <c r="J839" s="23" t="s">
        <v>1690</v>
      </c>
      <c r="K839" s="23" t="s">
        <v>1690</v>
      </c>
      <c r="L839" s="23">
        <v>1</v>
      </c>
      <c r="M839" s="23" t="s">
        <v>78</v>
      </c>
      <c r="N839" s="23" t="s">
        <v>78</v>
      </c>
      <c r="O839" s="23">
        <v>2692</v>
      </c>
      <c r="P839" s="23" t="s">
        <v>79</v>
      </c>
      <c r="Q839" s="23" t="s">
        <v>119</v>
      </c>
      <c r="R839" s="23">
        <v>11100008</v>
      </c>
      <c r="S839" s="24" t="s">
        <v>80</v>
      </c>
      <c r="T839" s="24">
        <v>46030</v>
      </c>
      <c r="U839" s="24">
        <v>46751</v>
      </c>
      <c r="X839" s="24">
        <v>46030</v>
      </c>
      <c r="Y839" s="23">
        <v>1111</v>
      </c>
      <c r="Z839" s="23">
        <v>11400912</v>
      </c>
      <c r="AA839" s="23">
        <v>5106</v>
      </c>
      <c r="AB839" s="24">
        <v>46031</v>
      </c>
    </row>
    <row r="840" spans="2:28" x14ac:dyDescent="0.2">
      <c r="C840" s="23">
        <v>1100102757</v>
      </c>
      <c r="E840" s="23">
        <v>7900</v>
      </c>
      <c r="F840" s="23" t="s">
        <v>2549</v>
      </c>
      <c r="G840" s="23" t="s">
        <v>2550</v>
      </c>
      <c r="H840" s="24">
        <v>46199</v>
      </c>
      <c r="I840" s="24">
        <v>46199</v>
      </c>
      <c r="J840" s="23" t="s">
        <v>1690</v>
      </c>
      <c r="K840" s="23" t="s">
        <v>1690</v>
      </c>
      <c r="L840" s="23">
        <v>1</v>
      </c>
      <c r="M840" s="23" t="s">
        <v>78</v>
      </c>
      <c r="N840" s="23" t="s">
        <v>78</v>
      </c>
      <c r="O840" s="23">
        <v>2692</v>
      </c>
      <c r="P840" s="23" t="s">
        <v>79</v>
      </c>
      <c r="Q840" s="23" t="s">
        <v>119</v>
      </c>
      <c r="R840" s="23">
        <v>11100008</v>
      </c>
      <c r="S840" s="24" t="s">
        <v>80</v>
      </c>
      <c r="T840" s="24">
        <v>46030</v>
      </c>
      <c r="U840" s="24">
        <v>46751</v>
      </c>
      <c r="X840" s="24">
        <v>46030</v>
      </c>
      <c r="Y840" s="23">
        <v>1111</v>
      </c>
      <c r="Z840" s="23">
        <v>11400912</v>
      </c>
      <c r="AA840" s="23">
        <v>5106</v>
      </c>
      <c r="AB840" s="24">
        <v>46031</v>
      </c>
    </row>
    <row r="841" spans="2:28" x14ac:dyDescent="0.2">
      <c r="C841" s="23">
        <v>1100102757</v>
      </c>
      <c r="E841" s="23">
        <v>8000</v>
      </c>
      <c r="F841" s="23" t="s">
        <v>2551</v>
      </c>
      <c r="G841" s="23" t="s">
        <v>2552</v>
      </c>
      <c r="H841" s="24">
        <v>46199</v>
      </c>
      <c r="I841" s="24">
        <v>46199</v>
      </c>
      <c r="J841" s="23" t="s">
        <v>1690</v>
      </c>
      <c r="K841" s="23" t="s">
        <v>1690</v>
      </c>
      <c r="L841" s="23">
        <v>1</v>
      </c>
      <c r="M841" s="23" t="s">
        <v>78</v>
      </c>
      <c r="N841" s="23" t="s">
        <v>78</v>
      </c>
      <c r="O841" s="23">
        <v>2692</v>
      </c>
      <c r="P841" s="23" t="s">
        <v>79</v>
      </c>
      <c r="Q841" s="23" t="s">
        <v>119</v>
      </c>
      <c r="R841" s="23">
        <v>11100008</v>
      </c>
      <c r="S841" s="24" t="s">
        <v>80</v>
      </c>
      <c r="T841" s="24">
        <v>46030</v>
      </c>
      <c r="U841" s="24">
        <v>46751</v>
      </c>
      <c r="X841" s="24">
        <v>46030</v>
      </c>
      <c r="Y841" s="23">
        <v>1111</v>
      </c>
      <c r="Z841" s="23">
        <v>11400912</v>
      </c>
      <c r="AA841" s="23">
        <v>5106</v>
      </c>
      <c r="AB841" s="24">
        <v>46031</v>
      </c>
    </row>
    <row r="842" spans="2:28" x14ac:dyDescent="0.2">
      <c r="C842" s="23">
        <v>1100102757</v>
      </c>
      <c r="E842" s="23">
        <v>8500</v>
      </c>
      <c r="F842" s="23" t="s">
        <v>2553</v>
      </c>
      <c r="G842" s="23" t="s">
        <v>2554</v>
      </c>
      <c r="H842" s="24">
        <v>46199</v>
      </c>
      <c r="I842" s="24">
        <v>46199</v>
      </c>
      <c r="J842" s="23" t="s">
        <v>1690</v>
      </c>
      <c r="K842" s="23" t="s">
        <v>1690</v>
      </c>
      <c r="L842" s="23">
        <v>1</v>
      </c>
      <c r="M842" s="23" t="s">
        <v>78</v>
      </c>
      <c r="N842" s="23" t="s">
        <v>78</v>
      </c>
      <c r="O842" s="23">
        <v>2692</v>
      </c>
      <c r="P842" s="23" t="s">
        <v>79</v>
      </c>
      <c r="Q842" s="23" t="s">
        <v>119</v>
      </c>
      <c r="R842" s="23">
        <v>11100008</v>
      </c>
      <c r="S842" s="24" t="s">
        <v>80</v>
      </c>
      <c r="T842" s="24">
        <v>46030</v>
      </c>
      <c r="U842" s="24">
        <v>46751</v>
      </c>
      <c r="X842" s="24">
        <v>46030</v>
      </c>
      <c r="Y842" s="23">
        <v>1111</v>
      </c>
      <c r="Z842" s="23">
        <v>11400912</v>
      </c>
      <c r="AA842" s="23">
        <v>5106</v>
      </c>
      <c r="AB842" s="24">
        <v>46031</v>
      </c>
    </row>
    <row r="843" spans="2:28" x14ac:dyDescent="0.2">
      <c r="C843" s="23">
        <v>1100102757</v>
      </c>
      <c r="E843" s="23">
        <v>8600</v>
      </c>
      <c r="F843" s="23" t="s">
        <v>2555</v>
      </c>
      <c r="G843" s="23" t="s">
        <v>2556</v>
      </c>
      <c r="H843" s="24">
        <v>46199</v>
      </c>
      <c r="I843" s="24">
        <v>46199</v>
      </c>
      <c r="J843" s="23" t="s">
        <v>1690</v>
      </c>
      <c r="K843" s="23" t="s">
        <v>1690</v>
      </c>
      <c r="L843" s="23">
        <v>1</v>
      </c>
      <c r="M843" s="23" t="s">
        <v>78</v>
      </c>
      <c r="N843" s="23" t="s">
        <v>78</v>
      </c>
      <c r="O843" s="23">
        <v>2692</v>
      </c>
      <c r="P843" s="23" t="s">
        <v>79</v>
      </c>
      <c r="Q843" s="23" t="s">
        <v>119</v>
      </c>
      <c r="R843" s="23">
        <v>11100008</v>
      </c>
      <c r="S843" s="24" t="s">
        <v>80</v>
      </c>
      <c r="T843" s="24">
        <v>46030</v>
      </c>
      <c r="U843" s="24">
        <v>46751</v>
      </c>
      <c r="X843" s="24">
        <v>46030</v>
      </c>
      <c r="Y843" s="23">
        <v>1111</v>
      </c>
      <c r="Z843" s="23">
        <v>11400912</v>
      </c>
      <c r="AA843" s="23">
        <v>5106</v>
      </c>
      <c r="AB843" s="24">
        <v>46031</v>
      </c>
    </row>
    <row r="844" spans="2:28" x14ac:dyDescent="0.2">
      <c r="B844" s="23" t="s">
        <v>81</v>
      </c>
      <c r="C844" s="23">
        <v>1100102757</v>
      </c>
      <c r="H844" s="24">
        <v>46199</v>
      </c>
      <c r="O844" s="23">
        <v>208727</v>
      </c>
      <c r="P844" s="23" t="s">
        <v>79</v>
      </c>
    </row>
    <row r="845" spans="2:28" x14ac:dyDescent="0.2">
      <c r="C845" s="23">
        <v>1100576925</v>
      </c>
      <c r="E845" s="23">
        <v>10</v>
      </c>
      <c r="F845" s="23" t="s">
        <v>2557</v>
      </c>
      <c r="G845" s="23" t="s">
        <v>1225</v>
      </c>
      <c r="H845" s="24">
        <v>46203</v>
      </c>
      <c r="I845" s="24">
        <v>46203</v>
      </c>
      <c r="J845" s="23" t="s">
        <v>559</v>
      </c>
      <c r="K845" s="23" t="s">
        <v>559</v>
      </c>
      <c r="L845" s="23">
        <v>1</v>
      </c>
      <c r="M845" s="23" t="s">
        <v>78</v>
      </c>
      <c r="N845" s="23" t="s">
        <v>78</v>
      </c>
      <c r="O845" s="23">
        <v>35695</v>
      </c>
      <c r="P845" s="23" t="s">
        <v>79</v>
      </c>
      <c r="Q845" s="23" t="s">
        <v>83</v>
      </c>
      <c r="R845" s="23">
        <v>11100008</v>
      </c>
      <c r="S845" s="24">
        <v>46203</v>
      </c>
      <c r="T845" s="24">
        <v>46069</v>
      </c>
      <c r="U845" s="24" t="s">
        <v>80</v>
      </c>
      <c r="X845" s="24">
        <v>46065</v>
      </c>
      <c r="Y845" s="23">
        <v>1111</v>
      </c>
      <c r="Z845" s="23">
        <v>11100002</v>
      </c>
      <c r="AA845" s="23">
        <v>3901</v>
      </c>
      <c r="AB845" s="24">
        <v>46069</v>
      </c>
    </row>
    <row r="846" spans="2:28" x14ac:dyDescent="0.2">
      <c r="C846" s="23">
        <v>1100576925</v>
      </c>
      <c r="E846" s="23">
        <v>20</v>
      </c>
      <c r="F846" s="23" t="s">
        <v>88</v>
      </c>
      <c r="G846" s="23" t="s">
        <v>158</v>
      </c>
      <c r="H846" s="24">
        <v>46203</v>
      </c>
      <c r="I846" s="24">
        <v>46203</v>
      </c>
      <c r="J846" s="23" t="s">
        <v>559</v>
      </c>
      <c r="K846" s="23" t="s">
        <v>559</v>
      </c>
      <c r="L846" s="23">
        <v>1</v>
      </c>
      <c r="M846" s="23" t="s">
        <v>78</v>
      </c>
      <c r="N846" s="23" t="s">
        <v>78</v>
      </c>
      <c r="O846" s="23">
        <v>0.01</v>
      </c>
      <c r="P846" s="23" t="s">
        <v>79</v>
      </c>
      <c r="Q846" s="23" t="s">
        <v>83</v>
      </c>
      <c r="R846" s="23">
        <v>11100008</v>
      </c>
      <c r="S846" s="24" t="s">
        <v>80</v>
      </c>
      <c r="T846" s="24">
        <v>46069</v>
      </c>
      <c r="U846" s="24" t="s">
        <v>80</v>
      </c>
      <c r="X846" s="24">
        <v>46065</v>
      </c>
      <c r="Y846" s="23">
        <v>1111</v>
      </c>
      <c r="Z846" s="23">
        <v>11100002</v>
      </c>
      <c r="AA846" s="23">
        <v>3901</v>
      </c>
      <c r="AB846" s="24">
        <v>46069</v>
      </c>
    </row>
    <row r="847" spans="2:28" x14ac:dyDescent="0.2">
      <c r="C847" s="23">
        <v>1100576925</v>
      </c>
      <c r="E847" s="23">
        <v>30</v>
      </c>
      <c r="F847" s="23" t="s">
        <v>84</v>
      </c>
      <c r="G847" s="23" t="s">
        <v>123</v>
      </c>
      <c r="H847" s="24">
        <v>46203</v>
      </c>
      <c r="I847" s="24">
        <v>46203</v>
      </c>
      <c r="J847" s="23" t="s">
        <v>559</v>
      </c>
      <c r="K847" s="23" t="s">
        <v>559</v>
      </c>
      <c r="L847" s="23">
        <v>1</v>
      </c>
      <c r="M847" s="23" t="s">
        <v>78</v>
      </c>
      <c r="N847" s="23" t="s">
        <v>78</v>
      </c>
      <c r="O847" s="23">
        <v>0.01</v>
      </c>
      <c r="P847" s="23" t="s">
        <v>79</v>
      </c>
      <c r="Q847" s="23" t="s">
        <v>83</v>
      </c>
      <c r="R847" s="23">
        <v>11100008</v>
      </c>
      <c r="S847" s="24" t="s">
        <v>80</v>
      </c>
      <c r="T847" s="24">
        <v>46069</v>
      </c>
      <c r="U847" s="24" t="s">
        <v>80</v>
      </c>
      <c r="X847" s="24">
        <v>46065</v>
      </c>
      <c r="Y847" s="23">
        <v>1111</v>
      </c>
      <c r="Z847" s="23">
        <v>11100002</v>
      </c>
      <c r="AA847" s="23">
        <v>3901</v>
      </c>
      <c r="AB847" s="24">
        <v>46069</v>
      </c>
    </row>
    <row r="848" spans="2:28" x14ac:dyDescent="0.2">
      <c r="C848" s="23">
        <v>1100576925</v>
      </c>
      <c r="E848" s="23">
        <v>40</v>
      </c>
      <c r="F848" s="23" t="s">
        <v>82</v>
      </c>
      <c r="G848" s="23" t="s">
        <v>139</v>
      </c>
      <c r="H848" s="24">
        <v>46203</v>
      </c>
      <c r="I848" s="24">
        <v>46203</v>
      </c>
      <c r="J848" s="23" t="s">
        <v>559</v>
      </c>
      <c r="K848" s="23" t="s">
        <v>559</v>
      </c>
      <c r="L848" s="23">
        <v>1</v>
      </c>
      <c r="M848" s="23" t="s">
        <v>78</v>
      </c>
      <c r="N848" s="23" t="s">
        <v>78</v>
      </c>
      <c r="O848" s="23">
        <v>0.01</v>
      </c>
      <c r="P848" s="23" t="s">
        <v>79</v>
      </c>
      <c r="Q848" s="23" t="s">
        <v>83</v>
      </c>
      <c r="R848" s="23">
        <v>11100008</v>
      </c>
      <c r="S848" s="24" t="s">
        <v>80</v>
      </c>
      <c r="T848" s="24">
        <v>46069</v>
      </c>
      <c r="U848" s="24" t="s">
        <v>80</v>
      </c>
      <c r="X848" s="24">
        <v>46065</v>
      </c>
      <c r="Y848" s="23">
        <v>1111</v>
      </c>
      <c r="Z848" s="23">
        <v>11100002</v>
      </c>
      <c r="AA848" s="23">
        <v>3901</v>
      </c>
      <c r="AB848" s="24">
        <v>46069</v>
      </c>
    </row>
    <row r="849" spans="2:28" x14ac:dyDescent="0.2">
      <c r="B849" s="23" t="s">
        <v>81</v>
      </c>
      <c r="C849" s="23">
        <v>1100576925</v>
      </c>
      <c r="H849" s="24">
        <v>46203</v>
      </c>
      <c r="O849" s="23">
        <v>35695.03</v>
      </c>
      <c r="P849" s="23" t="s">
        <v>79</v>
      </c>
    </row>
    <row r="850" spans="2:28" x14ac:dyDescent="0.2">
      <c r="C850" s="23">
        <v>1100576576</v>
      </c>
      <c r="E850" s="23">
        <v>10</v>
      </c>
      <c r="F850" s="23" t="s">
        <v>2558</v>
      </c>
      <c r="G850" s="23" t="s">
        <v>2443</v>
      </c>
      <c r="H850" s="24">
        <v>46205</v>
      </c>
      <c r="I850" s="24">
        <v>46205</v>
      </c>
      <c r="J850" s="23" t="s">
        <v>1721</v>
      </c>
      <c r="K850" s="23" t="s">
        <v>1721</v>
      </c>
      <c r="L850" s="23">
        <v>1</v>
      </c>
      <c r="M850" s="23" t="s">
        <v>78</v>
      </c>
      <c r="N850" s="23" t="s">
        <v>78</v>
      </c>
      <c r="O850" s="23">
        <v>38281</v>
      </c>
      <c r="P850" s="23" t="s">
        <v>79</v>
      </c>
      <c r="Q850" s="23" t="s">
        <v>83</v>
      </c>
      <c r="R850" s="23">
        <v>11100299</v>
      </c>
      <c r="S850" s="24">
        <v>46205</v>
      </c>
      <c r="T850" s="24">
        <v>46064</v>
      </c>
      <c r="U850" s="24" t="s">
        <v>80</v>
      </c>
      <c r="X850" s="24">
        <v>46064</v>
      </c>
      <c r="Y850" s="23">
        <v>1111</v>
      </c>
      <c r="Z850" s="23">
        <v>11100002</v>
      </c>
      <c r="AA850" s="23">
        <v>350103</v>
      </c>
      <c r="AB850" s="24">
        <v>46064</v>
      </c>
    </row>
    <row r="851" spans="2:28" x14ac:dyDescent="0.2">
      <c r="C851" s="23">
        <v>1100576576</v>
      </c>
      <c r="E851" s="23">
        <v>20</v>
      </c>
      <c r="F851" s="23" t="s">
        <v>84</v>
      </c>
      <c r="G851" s="23" t="s">
        <v>123</v>
      </c>
      <c r="H851" s="24">
        <v>46205</v>
      </c>
      <c r="I851" s="24">
        <v>46205</v>
      </c>
      <c r="J851" s="23" t="s">
        <v>1721</v>
      </c>
      <c r="K851" s="23" t="s">
        <v>1721</v>
      </c>
      <c r="L851" s="23">
        <v>1</v>
      </c>
      <c r="M851" s="23" t="s">
        <v>78</v>
      </c>
      <c r="N851" s="23" t="s">
        <v>78</v>
      </c>
      <c r="O851" s="23">
        <v>0.01</v>
      </c>
      <c r="P851" s="23" t="s">
        <v>79</v>
      </c>
      <c r="Q851" s="23" t="s">
        <v>83</v>
      </c>
      <c r="R851" s="23">
        <v>11100299</v>
      </c>
      <c r="S851" s="24" t="s">
        <v>80</v>
      </c>
      <c r="T851" s="24">
        <v>46064</v>
      </c>
      <c r="U851" s="24" t="s">
        <v>80</v>
      </c>
      <c r="X851" s="24">
        <v>46064</v>
      </c>
      <c r="Y851" s="23">
        <v>1111</v>
      </c>
      <c r="Z851" s="23">
        <v>11100002</v>
      </c>
      <c r="AA851" s="23">
        <v>350103</v>
      </c>
      <c r="AB851" s="24">
        <v>46064</v>
      </c>
    </row>
    <row r="852" spans="2:28" x14ac:dyDescent="0.2">
      <c r="C852" s="23">
        <v>1100576576</v>
      </c>
      <c r="E852" s="23">
        <v>30</v>
      </c>
      <c r="F852" s="23" t="s">
        <v>82</v>
      </c>
      <c r="G852" s="23" t="s">
        <v>139</v>
      </c>
      <c r="H852" s="24">
        <v>46205</v>
      </c>
      <c r="I852" s="24">
        <v>46205</v>
      </c>
      <c r="J852" s="23" t="s">
        <v>1721</v>
      </c>
      <c r="K852" s="23" t="s">
        <v>1721</v>
      </c>
      <c r="L852" s="23">
        <v>1</v>
      </c>
      <c r="M852" s="23" t="s">
        <v>78</v>
      </c>
      <c r="N852" s="23" t="s">
        <v>78</v>
      </c>
      <c r="O852" s="23">
        <v>0.01</v>
      </c>
      <c r="P852" s="23" t="s">
        <v>79</v>
      </c>
      <c r="Q852" s="23" t="s">
        <v>83</v>
      </c>
      <c r="R852" s="23">
        <v>11100299</v>
      </c>
      <c r="S852" s="24" t="s">
        <v>80</v>
      </c>
      <c r="T852" s="24">
        <v>46064</v>
      </c>
      <c r="U852" s="24" t="s">
        <v>80</v>
      </c>
      <c r="X852" s="24">
        <v>46064</v>
      </c>
      <c r="Y852" s="23">
        <v>1111</v>
      </c>
      <c r="Z852" s="23">
        <v>11100002</v>
      </c>
      <c r="AA852" s="23">
        <v>350103</v>
      </c>
      <c r="AB852" s="24">
        <v>46064</v>
      </c>
    </row>
    <row r="853" spans="2:28" x14ac:dyDescent="0.2">
      <c r="B853" s="23" t="s">
        <v>81</v>
      </c>
      <c r="C853" s="23">
        <v>1100576576</v>
      </c>
      <c r="H853" s="24">
        <v>46205</v>
      </c>
      <c r="O853" s="23">
        <v>38281.019999999997</v>
      </c>
      <c r="P853" s="23" t="s">
        <v>79</v>
      </c>
    </row>
    <row r="854" spans="2:28" x14ac:dyDescent="0.2">
      <c r="C854" s="23">
        <v>1100576647</v>
      </c>
      <c r="E854" s="23">
        <v>10</v>
      </c>
      <c r="F854" s="23" t="s">
        <v>87</v>
      </c>
      <c r="G854" s="23" t="s">
        <v>142</v>
      </c>
      <c r="H854" s="24">
        <v>46205</v>
      </c>
      <c r="I854" s="24">
        <v>46205</v>
      </c>
      <c r="J854" s="23" t="s">
        <v>2559</v>
      </c>
      <c r="K854" s="23" t="s">
        <v>2559</v>
      </c>
      <c r="L854" s="23">
        <v>1</v>
      </c>
      <c r="M854" s="23" t="s">
        <v>78</v>
      </c>
      <c r="N854" s="23" t="s">
        <v>78</v>
      </c>
      <c r="O854" s="23">
        <v>31243</v>
      </c>
      <c r="P854" s="23" t="s">
        <v>79</v>
      </c>
      <c r="Q854" s="23" t="s">
        <v>83</v>
      </c>
      <c r="R854" s="23">
        <v>11100299</v>
      </c>
      <c r="S854" s="24">
        <v>46205</v>
      </c>
      <c r="T854" s="24">
        <v>46065</v>
      </c>
      <c r="U854" s="24" t="s">
        <v>80</v>
      </c>
      <c r="X854" s="24">
        <v>46064</v>
      </c>
      <c r="Y854" s="23">
        <v>1111</v>
      </c>
      <c r="Z854" s="23">
        <v>11100002</v>
      </c>
      <c r="AA854" s="23">
        <v>330103</v>
      </c>
      <c r="AB854" s="24">
        <v>46065</v>
      </c>
    </row>
    <row r="855" spans="2:28" x14ac:dyDescent="0.2">
      <c r="C855" s="23">
        <v>1100576647</v>
      </c>
      <c r="E855" s="23">
        <v>20</v>
      </c>
      <c r="F855" s="23" t="s">
        <v>84</v>
      </c>
      <c r="G855" s="23" t="s">
        <v>123</v>
      </c>
      <c r="H855" s="24">
        <v>46205</v>
      </c>
      <c r="I855" s="24">
        <v>46205</v>
      </c>
      <c r="J855" s="23" t="s">
        <v>2559</v>
      </c>
      <c r="K855" s="23" t="s">
        <v>2559</v>
      </c>
      <c r="L855" s="23">
        <v>1</v>
      </c>
      <c r="M855" s="23" t="s">
        <v>78</v>
      </c>
      <c r="N855" s="23" t="s">
        <v>78</v>
      </c>
      <c r="O855" s="23">
        <v>0.01</v>
      </c>
      <c r="P855" s="23" t="s">
        <v>79</v>
      </c>
      <c r="Q855" s="23" t="s">
        <v>83</v>
      </c>
      <c r="R855" s="23">
        <v>11100299</v>
      </c>
      <c r="S855" s="24" t="s">
        <v>80</v>
      </c>
      <c r="T855" s="24">
        <v>46065</v>
      </c>
      <c r="U855" s="24" t="s">
        <v>80</v>
      </c>
      <c r="X855" s="24">
        <v>46064</v>
      </c>
      <c r="Y855" s="23">
        <v>1111</v>
      </c>
      <c r="Z855" s="23">
        <v>11100002</v>
      </c>
      <c r="AA855" s="23">
        <v>330103</v>
      </c>
      <c r="AB855" s="24">
        <v>46065</v>
      </c>
    </row>
    <row r="856" spans="2:28" x14ac:dyDescent="0.2">
      <c r="B856" s="23" t="s">
        <v>81</v>
      </c>
      <c r="C856" s="23">
        <v>1100576647</v>
      </c>
      <c r="H856" s="24">
        <v>46205</v>
      </c>
      <c r="O856" s="23">
        <v>31243.01</v>
      </c>
      <c r="P856" s="23" t="s">
        <v>79</v>
      </c>
    </row>
    <row r="857" spans="2:28" x14ac:dyDescent="0.2">
      <c r="C857" s="23">
        <v>1100569305</v>
      </c>
      <c r="E857" s="23">
        <v>10</v>
      </c>
      <c r="F857" s="23" t="s">
        <v>1562</v>
      </c>
      <c r="G857" s="23" t="s">
        <v>1563</v>
      </c>
      <c r="H857" s="24">
        <v>46211</v>
      </c>
      <c r="I857" s="24">
        <v>46211</v>
      </c>
      <c r="J857" s="23" t="s">
        <v>505</v>
      </c>
      <c r="K857" s="23" t="s">
        <v>505</v>
      </c>
      <c r="L857" s="23">
        <v>2</v>
      </c>
      <c r="M857" s="23" t="s">
        <v>78</v>
      </c>
      <c r="N857" s="23" t="s">
        <v>78</v>
      </c>
      <c r="O857" s="23">
        <v>28934</v>
      </c>
      <c r="P857" s="23" t="s">
        <v>79</v>
      </c>
      <c r="Q857" s="23" t="s">
        <v>83</v>
      </c>
      <c r="R857" s="23">
        <v>11100018</v>
      </c>
      <c r="S857" s="24">
        <v>46211</v>
      </c>
      <c r="T857" s="24">
        <v>45980</v>
      </c>
      <c r="U857" s="24">
        <v>46752</v>
      </c>
      <c r="X857" s="24">
        <v>45976</v>
      </c>
      <c r="Y857" s="23">
        <v>1111</v>
      </c>
      <c r="Z857" s="23">
        <v>11100002</v>
      </c>
      <c r="AA857" s="23">
        <v>3902</v>
      </c>
      <c r="AB857" s="24">
        <v>45980</v>
      </c>
    </row>
    <row r="858" spans="2:28" x14ac:dyDescent="0.2">
      <c r="C858" s="23">
        <v>1100569305</v>
      </c>
      <c r="E858" s="23">
        <v>20</v>
      </c>
      <c r="F858" s="23" t="s">
        <v>1564</v>
      </c>
      <c r="G858" s="23" t="s">
        <v>1565</v>
      </c>
      <c r="H858" s="24">
        <v>46211</v>
      </c>
      <c r="I858" s="24">
        <v>46211</v>
      </c>
      <c r="J858" s="23" t="s">
        <v>505</v>
      </c>
      <c r="K858" s="23" t="s">
        <v>505</v>
      </c>
      <c r="L858" s="23">
        <v>2</v>
      </c>
      <c r="M858" s="23" t="s">
        <v>78</v>
      </c>
      <c r="N858" s="23" t="s">
        <v>78</v>
      </c>
      <c r="O858" s="23">
        <v>53908</v>
      </c>
      <c r="P858" s="23" t="s">
        <v>79</v>
      </c>
      <c r="Q858" s="23" t="s">
        <v>83</v>
      </c>
      <c r="R858" s="23">
        <v>11100018</v>
      </c>
      <c r="S858" s="24">
        <v>46211</v>
      </c>
      <c r="T858" s="24">
        <v>45980</v>
      </c>
      <c r="U858" s="24">
        <v>46752</v>
      </c>
      <c r="X858" s="24">
        <v>45976</v>
      </c>
      <c r="Y858" s="23">
        <v>1111</v>
      </c>
      <c r="Z858" s="23">
        <v>11100002</v>
      </c>
      <c r="AA858" s="23">
        <v>3902</v>
      </c>
      <c r="AB858" s="24">
        <v>45980</v>
      </c>
    </row>
    <row r="859" spans="2:28" x14ac:dyDescent="0.2">
      <c r="C859" s="23">
        <v>1100569305</v>
      </c>
      <c r="E859" s="23">
        <v>30</v>
      </c>
      <c r="F859" s="23" t="s">
        <v>1566</v>
      </c>
      <c r="G859" s="23" t="s">
        <v>1567</v>
      </c>
      <c r="H859" s="24">
        <v>46211</v>
      </c>
      <c r="I859" s="24">
        <v>46211</v>
      </c>
      <c r="J859" s="23" t="s">
        <v>505</v>
      </c>
      <c r="K859" s="23" t="s">
        <v>505</v>
      </c>
      <c r="L859" s="23">
        <v>2</v>
      </c>
      <c r="M859" s="23" t="s">
        <v>78</v>
      </c>
      <c r="N859" s="23" t="s">
        <v>78</v>
      </c>
      <c r="O859" s="23">
        <v>64598</v>
      </c>
      <c r="P859" s="23" t="s">
        <v>79</v>
      </c>
      <c r="Q859" s="23" t="s">
        <v>83</v>
      </c>
      <c r="R859" s="23">
        <v>11100018</v>
      </c>
      <c r="S859" s="24">
        <v>46211</v>
      </c>
      <c r="T859" s="24">
        <v>45980</v>
      </c>
      <c r="U859" s="24">
        <v>46752</v>
      </c>
      <c r="X859" s="24">
        <v>45976</v>
      </c>
      <c r="Y859" s="23">
        <v>1111</v>
      </c>
      <c r="Z859" s="23">
        <v>11100002</v>
      </c>
      <c r="AA859" s="23">
        <v>3902</v>
      </c>
      <c r="AB859" s="24">
        <v>45980</v>
      </c>
    </row>
    <row r="860" spans="2:28" x14ac:dyDescent="0.2">
      <c r="C860" s="23">
        <v>1100569305</v>
      </c>
      <c r="E860" s="23">
        <v>40</v>
      </c>
      <c r="F860" s="23" t="s">
        <v>1568</v>
      </c>
      <c r="G860" s="23" t="s">
        <v>1569</v>
      </c>
      <c r="H860" s="24">
        <v>46211</v>
      </c>
      <c r="I860" s="24">
        <v>46211</v>
      </c>
      <c r="J860" s="23" t="s">
        <v>505</v>
      </c>
      <c r="K860" s="23" t="s">
        <v>505</v>
      </c>
      <c r="L860" s="23">
        <v>1</v>
      </c>
      <c r="M860" s="23" t="s">
        <v>78</v>
      </c>
      <c r="N860" s="23" t="s">
        <v>78</v>
      </c>
      <c r="O860" s="23">
        <v>26870</v>
      </c>
      <c r="P860" s="23" t="s">
        <v>79</v>
      </c>
      <c r="Q860" s="23" t="s">
        <v>83</v>
      </c>
      <c r="R860" s="23">
        <v>11100018</v>
      </c>
      <c r="S860" s="24">
        <v>46211</v>
      </c>
      <c r="T860" s="24">
        <v>45980</v>
      </c>
      <c r="U860" s="24">
        <v>46752</v>
      </c>
      <c r="X860" s="24">
        <v>45976</v>
      </c>
      <c r="Y860" s="23">
        <v>1111</v>
      </c>
      <c r="Z860" s="23">
        <v>11100002</v>
      </c>
      <c r="AA860" s="23">
        <v>3902</v>
      </c>
      <c r="AB860" s="24">
        <v>45980</v>
      </c>
    </row>
    <row r="861" spans="2:28" x14ac:dyDescent="0.2">
      <c r="C861" s="23">
        <v>1100569305</v>
      </c>
      <c r="E861" s="23">
        <v>50</v>
      </c>
      <c r="F861" s="23" t="s">
        <v>1570</v>
      </c>
      <c r="G861" s="23" t="s">
        <v>1571</v>
      </c>
      <c r="H861" s="24">
        <v>46211</v>
      </c>
      <c r="I861" s="24">
        <v>46211</v>
      </c>
      <c r="J861" s="23" t="s">
        <v>505</v>
      </c>
      <c r="K861" s="23" t="s">
        <v>505</v>
      </c>
      <c r="L861" s="23">
        <v>1</v>
      </c>
      <c r="M861" s="23" t="s">
        <v>78</v>
      </c>
      <c r="N861" s="23" t="s">
        <v>78</v>
      </c>
      <c r="O861" s="23">
        <v>5459</v>
      </c>
      <c r="P861" s="23" t="s">
        <v>79</v>
      </c>
      <c r="Q861" s="23" t="s">
        <v>83</v>
      </c>
      <c r="R861" s="23">
        <v>11100018</v>
      </c>
      <c r="S861" s="24">
        <v>46211</v>
      </c>
      <c r="T861" s="24">
        <v>45980</v>
      </c>
      <c r="U861" s="24">
        <v>46752</v>
      </c>
      <c r="X861" s="24">
        <v>45976</v>
      </c>
      <c r="Y861" s="23">
        <v>1111</v>
      </c>
      <c r="Z861" s="23">
        <v>11100002</v>
      </c>
      <c r="AA861" s="23">
        <v>3902</v>
      </c>
      <c r="AB861" s="24">
        <v>45980</v>
      </c>
    </row>
    <row r="862" spans="2:28" x14ac:dyDescent="0.2">
      <c r="C862" s="23">
        <v>1100569305</v>
      </c>
      <c r="E862" s="23">
        <v>60</v>
      </c>
      <c r="F862" s="23" t="s">
        <v>1572</v>
      </c>
      <c r="G862" s="23" t="s">
        <v>1573</v>
      </c>
      <c r="H862" s="24">
        <v>46211</v>
      </c>
      <c r="I862" s="24">
        <v>46211</v>
      </c>
      <c r="J862" s="23" t="s">
        <v>505</v>
      </c>
      <c r="K862" s="23" t="s">
        <v>505</v>
      </c>
      <c r="L862" s="23">
        <v>1</v>
      </c>
      <c r="M862" s="23" t="s">
        <v>78</v>
      </c>
      <c r="N862" s="23" t="s">
        <v>78</v>
      </c>
      <c r="O862" s="23">
        <v>18251</v>
      </c>
      <c r="P862" s="23" t="s">
        <v>79</v>
      </c>
      <c r="Q862" s="23" t="s">
        <v>83</v>
      </c>
      <c r="R862" s="23">
        <v>11100018</v>
      </c>
      <c r="S862" s="24">
        <v>46211</v>
      </c>
      <c r="T862" s="24">
        <v>45980</v>
      </c>
      <c r="U862" s="24">
        <v>46752</v>
      </c>
      <c r="X862" s="24">
        <v>45976</v>
      </c>
      <c r="Y862" s="23">
        <v>1111</v>
      </c>
      <c r="Z862" s="23">
        <v>11100002</v>
      </c>
      <c r="AA862" s="23">
        <v>3902</v>
      </c>
      <c r="AB862" s="24">
        <v>45980</v>
      </c>
    </row>
    <row r="863" spans="2:28" x14ac:dyDescent="0.2">
      <c r="C863" s="23">
        <v>1100569305</v>
      </c>
      <c r="E863" s="23">
        <v>70</v>
      </c>
      <c r="F863" s="23" t="s">
        <v>1574</v>
      </c>
      <c r="G863" s="23" t="s">
        <v>1573</v>
      </c>
      <c r="H863" s="24">
        <v>46211</v>
      </c>
      <c r="I863" s="24">
        <v>46211</v>
      </c>
      <c r="J863" s="23" t="s">
        <v>505</v>
      </c>
      <c r="K863" s="23" t="s">
        <v>505</v>
      </c>
      <c r="L863" s="23">
        <v>1</v>
      </c>
      <c r="M863" s="23" t="s">
        <v>78</v>
      </c>
      <c r="N863" s="23" t="s">
        <v>78</v>
      </c>
      <c r="O863" s="23">
        <v>31896</v>
      </c>
      <c r="P863" s="23" t="s">
        <v>79</v>
      </c>
      <c r="Q863" s="23" t="s">
        <v>83</v>
      </c>
      <c r="R863" s="23">
        <v>11100018</v>
      </c>
      <c r="S863" s="24">
        <v>46211</v>
      </c>
      <c r="T863" s="24">
        <v>45980</v>
      </c>
      <c r="U863" s="24">
        <v>46752</v>
      </c>
      <c r="X863" s="24">
        <v>45976</v>
      </c>
      <c r="Y863" s="23">
        <v>1111</v>
      </c>
      <c r="Z863" s="23">
        <v>11100002</v>
      </c>
      <c r="AA863" s="23">
        <v>3902</v>
      </c>
      <c r="AB863" s="24">
        <v>45980</v>
      </c>
    </row>
    <row r="864" spans="2:28" x14ac:dyDescent="0.2">
      <c r="C864" s="23">
        <v>1100569305</v>
      </c>
      <c r="E864" s="23">
        <v>80</v>
      </c>
      <c r="F864" s="23" t="s">
        <v>1575</v>
      </c>
      <c r="G864" s="23" t="s">
        <v>1576</v>
      </c>
      <c r="H864" s="24">
        <v>46211</v>
      </c>
      <c r="I864" s="24">
        <v>46211</v>
      </c>
      <c r="J864" s="23" t="s">
        <v>505</v>
      </c>
      <c r="K864" s="23" t="s">
        <v>505</v>
      </c>
      <c r="L864" s="23">
        <v>1</v>
      </c>
      <c r="M864" s="23" t="s">
        <v>78</v>
      </c>
      <c r="N864" s="23" t="s">
        <v>78</v>
      </c>
      <c r="O864" s="23">
        <v>16274</v>
      </c>
      <c r="P864" s="23" t="s">
        <v>79</v>
      </c>
      <c r="Q864" s="23" t="s">
        <v>83</v>
      </c>
      <c r="R864" s="23">
        <v>11100018</v>
      </c>
      <c r="S864" s="24">
        <v>46211</v>
      </c>
      <c r="T864" s="24">
        <v>45980</v>
      </c>
      <c r="U864" s="24">
        <v>46752</v>
      </c>
      <c r="X864" s="24">
        <v>45976</v>
      </c>
      <c r="Y864" s="23">
        <v>1111</v>
      </c>
      <c r="Z864" s="23">
        <v>11100002</v>
      </c>
      <c r="AA864" s="23">
        <v>3902</v>
      </c>
      <c r="AB864" s="24">
        <v>45980</v>
      </c>
    </row>
    <row r="865" spans="3:28" x14ac:dyDescent="0.2">
      <c r="C865" s="23">
        <v>1100569305</v>
      </c>
      <c r="E865" s="23">
        <v>90</v>
      </c>
      <c r="F865" s="23" t="s">
        <v>1577</v>
      </c>
      <c r="G865" s="23" t="s">
        <v>1578</v>
      </c>
      <c r="H865" s="24">
        <v>46211</v>
      </c>
      <c r="I865" s="24">
        <v>46211</v>
      </c>
      <c r="J865" s="23" t="s">
        <v>505</v>
      </c>
      <c r="K865" s="23" t="s">
        <v>505</v>
      </c>
      <c r="L865" s="23">
        <v>1</v>
      </c>
      <c r="M865" s="23" t="s">
        <v>78</v>
      </c>
      <c r="N865" s="23" t="s">
        <v>78</v>
      </c>
      <c r="O865" s="23">
        <v>4512</v>
      </c>
      <c r="P865" s="23" t="s">
        <v>79</v>
      </c>
      <c r="Q865" s="23" t="s">
        <v>83</v>
      </c>
      <c r="R865" s="23">
        <v>11100018</v>
      </c>
      <c r="S865" s="24">
        <v>46211</v>
      </c>
      <c r="T865" s="24">
        <v>45980</v>
      </c>
      <c r="U865" s="24">
        <v>46752</v>
      </c>
      <c r="X865" s="24">
        <v>45976</v>
      </c>
      <c r="Y865" s="23">
        <v>1111</v>
      </c>
      <c r="Z865" s="23">
        <v>11100002</v>
      </c>
      <c r="AA865" s="23">
        <v>3902</v>
      </c>
      <c r="AB865" s="24">
        <v>45980</v>
      </c>
    </row>
    <row r="866" spans="3:28" x14ac:dyDescent="0.2">
      <c r="C866" s="23">
        <v>1100569305</v>
      </c>
      <c r="E866" s="23">
        <v>100</v>
      </c>
      <c r="F866" s="23" t="s">
        <v>1579</v>
      </c>
      <c r="G866" s="23" t="s">
        <v>1580</v>
      </c>
      <c r="H866" s="24">
        <v>46211</v>
      </c>
      <c r="I866" s="24">
        <v>46211</v>
      </c>
      <c r="J866" s="23" t="s">
        <v>505</v>
      </c>
      <c r="K866" s="23" t="s">
        <v>505</v>
      </c>
      <c r="L866" s="23">
        <v>1</v>
      </c>
      <c r="M866" s="23" t="s">
        <v>78</v>
      </c>
      <c r="N866" s="23" t="s">
        <v>78</v>
      </c>
      <c r="O866" s="23">
        <v>15441</v>
      </c>
      <c r="P866" s="23" t="s">
        <v>79</v>
      </c>
      <c r="Q866" s="23" t="s">
        <v>83</v>
      </c>
      <c r="R866" s="23">
        <v>11100018</v>
      </c>
      <c r="S866" s="24">
        <v>46211</v>
      </c>
      <c r="T866" s="24">
        <v>45980</v>
      </c>
      <c r="U866" s="24">
        <v>46752</v>
      </c>
      <c r="X866" s="24">
        <v>45976</v>
      </c>
      <c r="Y866" s="23">
        <v>1111</v>
      </c>
      <c r="Z866" s="23">
        <v>11100002</v>
      </c>
      <c r="AA866" s="23">
        <v>3902</v>
      </c>
      <c r="AB866" s="24">
        <v>45980</v>
      </c>
    </row>
    <row r="867" spans="3:28" x14ac:dyDescent="0.2">
      <c r="C867" s="23">
        <v>1100569305</v>
      </c>
      <c r="E867" s="23">
        <v>110</v>
      </c>
      <c r="F867" s="23" t="s">
        <v>1581</v>
      </c>
      <c r="G867" s="23" t="s">
        <v>1580</v>
      </c>
      <c r="H867" s="24">
        <v>46211</v>
      </c>
      <c r="I867" s="24">
        <v>46211</v>
      </c>
      <c r="J867" s="23" t="s">
        <v>505</v>
      </c>
      <c r="K867" s="23" t="s">
        <v>505</v>
      </c>
      <c r="L867" s="23">
        <v>1</v>
      </c>
      <c r="M867" s="23" t="s">
        <v>78</v>
      </c>
      <c r="N867" s="23" t="s">
        <v>78</v>
      </c>
      <c r="O867" s="23">
        <v>29037</v>
      </c>
      <c r="P867" s="23" t="s">
        <v>79</v>
      </c>
      <c r="Q867" s="23" t="s">
        <v>83</v>
      </c>
      <c r="R867" s="23">
        <v>11100018</v>
      </c>
      <c r="S867" s="24">
        <v>46211</v>
      </c>
      <c r="T867" s="24">
        <v>45980</v>
      </c>
      <c r="U867" s="24">
        <v>46752</v>
      </c>
      <c r="X867" s="24">
        <v>45976</v>
      </c>
      <c r="Y867" s="23">
        <v>1111</v>
      </c>
      <c r="Z867" s="23">
        <v>11100002</v>
      </c>
      <c r="AA867" s="23">
        <v>3902</v>
      </c>
      <c r="AB867" s="24">
        <v>45980</v>
      </c>
    </row>
    <row r="868" spans="3:28" x14ac:dyDescent="0.2">
      <c r="C868" s="23">
        <v>1100569305</v>
      </c>
      <c r="E868" s="23">
        <v>120</v>
      </c>
      <c r="F868" s="23" t="s">
        <v>1582</v>
      </c>
      <c r="G868" s="23" t="s">
        <v>1583</v>
      </c>
      <c r="H868" s="24">
        <v>46211</v>
      </c>
      <c r="I868" s="24">
        <v>46211</v>
      </c>
      <c r="J868" s="23" t="s">
        <v>505</v>
      </c>
      <c r="K868" s="23" t="s">
        <v>505</v>
      </c>
      <c r="L868" s="23">
        <v>2</v>
      </c>
      <c r="M868" s="23" t="s">
        <v>78</v>
      </c>
      <c r="N868" s="23" t="s">
        <v>78</v>
      </c>
      <c r="O868" s="23">
        <v>29378</v>
      </c>
      <c r="P868" s="23" t="s">
        <v>79</v>
      </c>
      <c r="Q868" s="23" t="s">
        <v>83</v>
      </c>
      <c r="R868" s="23">
        <v>11100018</v>
      </c>
      <c r="S868" s="24">
        <v>46211</v>
      </c>
      <c r="T868" s="24">
        <v>45980</v>
      </c>
      <c r="U868" s="24">
        <v>46752</v>
      </c>
      <c r="X868" s="24">
        <v>45976</v>
      </c>
      <c r="Y868" s="23">
        <v>1111</v>
      </c>
      <c r="Z868" s="23">
        <v>11100002</v>
      </c>
      <c r="AA868" s="23">
        <v>3902</v>
      </c>
      <c r="AB868" s="24">
        <v>45980</v>
      </c>
    </row>
    <row r="869" spans="3:28" x14ac:dyDescent="0.2">
      <c r="C869" s="23">
        <v>1100569305</v>
      </c>
      <c r="E869" s="23">
        <v>130</v>
      </c>
      <c r="F869" s="23" t="s">
        <v>1584</v>
      </c>
      <c r="G869" s="23" t="s">
        <v>1585</v>
      </c>
      <c r="H869" s="24">
        <v>46211</v>
      </c>
      <c r="I869" s="24">
        <v>46211</v>
      </c>
      <c r="J869" s="23" t="s">
        <v>505</v>
      </c>
      <c r="K869" s="23" t="s">
        <v>505</v>
      </c>
      <c r="L869" s="23">
        <v>1</v>
      </c>
      <c r="M869" s="23" t="s">
        <v>78</v>
      </c>
      <c r="N869" s="23" t="s">
        <v>78</v>
      </c>
      <c r="O869" s="23">
        <v>79922</v>
      </c>
      <c r="P869" s="23" t="s">
        <v>79</v>
      </c>
      <c r="Q869" s="23" t="s">
        <v>83</v>
      </c>
      <c r="R869" s="23">
        <v>11100018</v>
      </c>
      <c r="S869" s="24">
        <v>46211</v>
      </c>
      <c r="T869" s="24">
        <v>45980</v>
      </c>
      <c r="U869" s="24">
        <v>46752</v>
      </c>
      <c r="X869" s="24">
        <v>45976</v>
      </c>
      <c r="Y869" s="23">
        <v>1111</v>
      </c>
      <c r="Z869" s="23">
        <v>11100002</v>
      </c>
      <c r="AA869" s="23">
        <v>3902</v>
      </c>
      <c r="AB869" s="24">
        <v>45980</v>
      </c>
    </row>
    <row r="870" spans="3:28" x14ac:dyDescent="0.2">
      <c r="C870" s="23">
        <v>1100569305</v>
      </c>
      <c r="E870" s="23">
        <v>140</v>
      </c>
      <c r="F870" s="23" t="s">
        <v>2560</v>
      </c>
      <c r="G870" s="23" t="s">
        <v>2561</v>
      </c>
      <c r="H870" s="24">
        <v>46211</v>
      </c>
      <c r="I870" s="24">
        <v>46211</v>
      </c>
      <c r="J870" s="23" t="s">
        <v>505</v>
      </c>
      <c r="K870" s="23" t="s">
        <v>505</v>
      </c>
      <c r="L870" s="23">
        <v>1</v>
      </c>
      <c r="M870" s="23" t="s">
        <v>78</v>
      </c>
      <c r="N870" s="23" t="s">
        <v>78</v>
      </c>
      <c r="O870" s="23">
        <v>0.01</v>
      </c>
      <c r="P870" s="23" t="s">
        <v>79</v>
      </c>
      <c r="Q870" s="23" t="s">
        <v>83</v>
      </c>
      <c r="R870" s="23">
        <v>11100018</v>
      </c>
      <c r="S870" s="24">
        <v>46211</v>
      </c>
      <c r="T870" s="24">
        <v>45980</v>
      </c>
      <c r="U870" s="24">
        <v>46752</v>
      </c>
      <c r="X870" s="24">
        <v>45976</v>
      </c>
      <c r="Y870" s="23">
        <v>1111</v>
      </c>
      <c r="Z870" s="23">
        <v>11100002</v>
      </c>
      <c r="AA870" s="23">
        <v>3902</v>
      </c>
      <c r="AB870" s="24">
        <v>45980</v>
      </c>
    </row>
    <row r="871" spans="3:28" x14ac:dyDescent="0.2">
      <c r="C871" s="23">
        <v>1100569305</v>
      </c>
      <c r="E871" s="23">
        <v>150</v>
      </c>
      <c r="F871" s="23" t="s">
        <v>2562</v>
      </c>
      <c r="G871" s="23" t="s">
        <v>2563</v>
      </c>
      <c r="H871" s="24">
        <v>46211</v>
      </c>
      <c r="I871" s="24">
        <v>46211</v>
      </c>
      <c r="J871" s="23" t="s">
        <v>505</v>
      </c>
      <c r="K871" s="23" t="s">
        <v>505</v>
      </c>
      <c r="L871" s="23">
        <v>1</v>
      </c>
      <c r="M871" s="23" t="s">
        <v>78</v>
      </c>
      <c r="N871" s="23" t="s">
        <v>78</v>
      </c>
      <c r="O871" s="23">
        <v>0.01</v>
      </c>
      <c r="P871" s="23" t="s">
        <v>79</v>
      </c>
      <c r="Q871" s="23" t="s">
        <v>83</v>
      </c>
      <c r="R871" s="23">
        <v>11100018</v>
      </c>
      <c r="S871" s="24">
        <v>46211</v>
      </c>
      <c r="T871" s="24">
        <v>45980</v>
      </c>
      <c r="U871" s="24">
        <v>46752</v>
      </c>
      <c r="X871" s="24">
        <v>45976</v>
      </c>
      <c r="Y871" s="23">
        <v>1111</v>
      </c>
      <c r="Z871" s="23">
        <v>11100002</v>
      </c>
      <c r="AA871" s="23">
        <v>3902</v>
      </c>
      <c r="AB871" s="24">
        <v>45980</v>
      </c>
    </row>
    <row r="872" spans="3:28" x14ac:dyDescent="0.2">
      <c r="C872" s="23">
        <v>1100569305</v>
      </c>
      <c r="E872" s="23">
        <v>160</v>
      </c>
      <c r="F872" s="23" t="s">
        <v>88</v>
      </c>
      <c r="G872" s="23" t="s">
        <v>158</v>
      </c>
      <c r="H872" s="24">
        <v>46211</v>
      </c>
      <c r="I872" s="24">
        <v>46211</v>
      </c>
      <c r="J872" s="23" t="s">
        <v>505</v>
      </c>
      <c r="K872" s="23" t="s">
        <v>505</v>
      </c>
      <c r="L872" s="23">
        <v>1</v>
      </c>
      <c r="M872" s="23" t="s">
        <v>78</v>
      </c>
      <c r="N872" s="23" t="s">
        <v>78</v>
      </c>
      <c r="O872" s="23">
        <v>0.01</v>
      </c>
      <c r="P872" s="23" t="s">
        <v>79</v>
      </c>
      <c r="Q872" s="23" t="s">
        <v>83</v>
      </c>
      <c r="R872" s="23">
        <v>11100018</v>
      </c>
      <c r="S872" s="24">
        <v>46211</v>
      </c>
      <c r="T872" s="24">
        <v>45980</v>
      </c>
      <c r="U872" s="24">
        <v>46752</v>
      </c>
      <c r="X872" s="24">
        <v>45976</v>
      </c>
      <c r="Y872" s="23">
        <v>1111</v>
      </c>
      <c r="Z872" s="23">
        <v>11100002</v>
      </c>
      <c r="AA872" s="23">
        <v>3902</v>
      </c>
      <c r="AB872" s="24">
        <v>45980</v>
      </c>
    </row>
    <row r="873" spans="3:28" x14ac:dyDescent="0.2">
      <c r="C873" s="23">
        <v>1100569305</v>
      </c>
      <c r="E873" s="23">
        <v>170</v>
      </c>
      <c r="F873" s="23" t="s">
        <v>1586</v>
      </c>
      <c r="G873" s="23" t="s">
        <v>1587</v>
      </c>
      <c r="H873" s="24">
        <v>46211</v>
      </c>
      <c r="I873" s="24">
        <v>46211</v>
      </c>
      <c r="J873" s="23" t="s">
        <v>505</v>
      </c>
      <c r="K873" s="23" t="s">
        <v>505</v>
      </c>
      <c r="L873" s="23">
        <v>1</v>
      </c>
      <c r="M873" s="23" t="s">
        <v>78</v>
      </c>
      <c r="N873" s="23" t="s">
        <v>78</v>
      </c>
      <c r="O873" s="23">
        <v>79817</v>
      </c>
      <c r="P873" s="23" t="s">
        <v>79</v>
      </c>
      <c r="Q873" s="23" t="s">
        <v>83</v>
      </c>
      <c r="R873" s="23">
        <v>11100018</v>
      </c>
      <c r="S873" s="24">
        <v>46211</v>
      </c>
      <c r="T873" s="24">
        <v>45980</v>
      </c>
      <c r="U873" s="24">
        <v>46752</v>
      </c>
      <c r="X873" s="24">
        <v>45976</v>
      </c>
      <c r="Y873" s="23">
        <v>1111</v>
      </c>
      <c r="Z873" s="23">
        <v>11100002</v>
      </c>
      <c r="AA873" s="23">
        <v>3902</v>
      </c>
      <c r="AB873" s="24">
        <v>45980</v>
      </c>
    </row>
    <row r="874" spans="3:28" x14ac:dyDescent="0.2">
      <c r="C874" s="23">
        <v>1100569305</v>
      </c>
      <c r="E874" s="23">
        <v>180</v>
      </c>
      <c r="F874" s="23" t="s">
        <v>2564</v>
      </c>
      <c r="G874" s="23" t="s">
        <v>2565</v>
      </c>
      <c r="H874" s="24">
        <v>46211</v>
      </c>
      <c r="I874" s="24">
        <v>46211</v>
      </c>
      <c r="J874" s="23" t="s">
        <v>505</v>
      </c>
      <c r="K874" s="23" t="s">
        <v>505</v>
      </c>
      <c r="L874" s="23">
        <v>1</v>
      </c>
      <c r="M874" s="23" t="s">
        <v>78</v>
      </c>
      <c r="N874" s="23" t="s">
        <v>78</v>
      </c>
      <c r="O874" s="23">
        <v>0.01</v>
      </c>
      <c r="P874" s="23" t="s">
        <v>79</v>
      </c>
      <c r="Q874" s="23" t="s">
        <v>83</v>
      </c>
      <c r="R874" s="23">
        <v>11100018</v>
      </c>
      <c r="S874" s="24" t="s">
        <v>80</v>
      </c>
      <c r="T874" s="24">
        <v>45980</v>
      </c>
      <c r="U874" s="24">
        <v>46752</v>
      </c>
      <c r="X874" s="24">
        <v>45976</v>
      </c>
      <c r="Y874" s="23">
        <v>1111</v>
      </c>
      <c r="Z874" s="23">
        <v>11100002</v>
      </c>
      <c r="AA874" s="23">
        <v>3902</v>
      </c>
      <c r="AB874" s="24">
        <v>45980</v>
      </c>
    </row>
    <row r="875" spans="3:28" x14ac:dyDescent="0.2">
      <c r="C875" s="23">
        <v>1100569305</v>
      </c>
      <c r="E875" s="23">
        <v>190</v>
      </c>
      <c r="F875" s="23" t="s">
        <v>2566</v>
      </c>
      <c r="G875" s="23" t="s">
        <v>2563</v>
      </c>
      <c r="H875" s="24">
        <v>46211</v>
      </c>
      <c r="I875" s="24">
        <v>46211</v>
      </c>
      <c r="J875" s="23" t="s">
        <v>505</v>
      </c>
      <c r="K875" s="23" t="s">
        <v>505</v>
      </c>
      <c r="L875" s="23">
        <v>1</v>
      </c>
      <c r="M875" s="23" t="s">
        <v>78</v>
      </c>
      <c r="N875" s="23" t="s">
        <v>78</v>
      </c>
      <c r="O875" s="23">
        <v>12477</v>
      </c>
      <c r="P875" s="23" t="s">
        <v>79</v>
      </c>
      <c r="Q875" s="23" t="s">
        <v>83</v>
      </c>
      <c r="R875" s="23">
        <v>11100018</v>
      </c>
      <c r="S875" s="24" t="s">
        <v>80</v>
      </c>
      <c r="T875" s="24">
        <v>45980</v>
      </c>
      <c r="U875" s="24">
        <v>46752</v>
      </c>
      <c r="X875" s="24">
        <v>45976</v>
      </c>
      <c r="Y875" s="23">
        <v>1111</v>
      </c>
      <c r="Z875" s="23">
        <v>11100002</v>
      </c>
      <c r="AA875" s="23">
        <v>3902</v>
      </c>
      <c r="AB875" s="24">
        <v>45980</v>
      </c>
    </row>
    <row r="876" spans="3:28" x14ac:dyDescent="0.2">
      <c r="C876" s="23">
        <v>1100569305</v>
      </c>
      <c r="E876" s="23">
        <v>200</v>
      </c>
      <c r="F876" s="23" t="s">
        <v>309</v>
      </c>
      <c r="G876" s="23" t="s">
        <v>310</v>
      </c>
      <c r="H876" s="24">
        <v>46211</v>
      </c>
      <c r="I876" s="24">
        <v>46211</v>
      </c>
      <c r="J876" s="23" t="s">
        <v>505</v>
      </c>
      <c r="K876" s="23" t="s">
        <v>505</v>
      </c>
      <c r="L876" s="23">
        <v>1</v>
      </c>
      <c r="M876" s="23" t="s">
        <v>78</v>
      </c>
      <c r="N876" s="23" t="s">
        <v>78</v>
      </c>
      <c r="O876" s="23">
        <v>0.01</v>
      </c>
      <c r="P876" s="23" t="s">
        <v>79</v>
      </c>
      <c r="Q876" s="23" t="s">
        <v>83</v>
      </c>
      <c r="R876" s="23">
        <v>11100018</v>
      </c>
      <c r="S876" s="24" t="s">
        <v>80</v>
      </c>
      <c r="T876" s="24">
        <v>45980</v>
      </c>
      <c r="U876" s="24">
        <v>46752</v>
      </c>
      <c r="X876" s="24">
        <v>45976</v>
      </c>
      <c r="Y876" s="23">
        <v>1111</v>
      </c>
      <c r="Z876" s="23">
        <v>11100002</v>
      </c>
      <c r="AA876" s="23">
        <v>3902</v>
      </c>
      <c r="AB876" s="24">
        <v>45980</v>
      </c>
    </row>
    <row r="877" spans="3:28" x14ac:dyDescent="0.2">
      <c r="C877" s="23">
        <v>1100569305</v>
      </c>
      <c r="E877" s="23">
        <v>210</v>
      </c>
      <c r="F877" s="23" t="s">
        <v>288</v>
      </c>
      <c r="G877" s="23" t="s">
        <v>289</v>
      </c>
      <c r="H877" s="24">
        <v>46211</v>
      </c>
      <c r="I877" s="24">
        <v>46211</v>
      </c>
      <c r="J877" s="23" t="s">
        <v>505</v>
      </c>
      <c r="K877" s="23" t="s">
        <v>505</v>
      </c>
      <c r="L877" s="23">
        <v>1</v>
      </c>
      <c r="M877" s="23" t="s">
        <v>131</v>
      </c>
      <c r="N877" s="23" t="s">
        <v>131</v>
      </c>
      <c r="O877" s="23">
        <v>12972</v>
      </c>
      <c r="P877" s="23" t="s">
        <v>79</v>
      </c>
      <c r="Q877" s="23" t="s">
        <v>83</v>
      </c>
      <c r="R877" s="23">
        <v>11100018</v>
      </c>
      <c r="S877" s="24" t="s">
        <v>80</v>
      </c>
      <c r="T877" s="24">
        <v>45980</v>
      </c>
      <c r="U877" s="24">
        <v>46752</v>
      </c>
      <c r="X877" s="24">
        <v>45976</v>
      </c>
      <c r="Y877" s="23">
        <v>1111</v>
      </c>
      <c r="Z877" s="23">
        <v>11100002</v>
      </c>
      <c r="AA877" s="23">
        <v>3902</v>
      </c>
      <c r="AB877" s="24">
        <v>45980</v>
      </c>
    </row>
    <row r="878" spans="3:28" x14ac:dyDescent="0.2">
      <c r="C878" s="23">
        <v>1100569305</v>
      </c>
      <c r="E878" s="23">
        <v>220</v>
      </c>
      <c r="F878" s="23" t="s">
        <v>94</v>
      </c>
      <c r="G878" s="23" t="s">
        <v>95</v>
      </c>
      <c r="H878" s="24">
        <v>46211</v>
      </c>
      <c r="I878" s="24">
        <v>46211</v>
      </c>
      <c r="J878" s="23" t="s">
        <v>505</v>
      </c>
      <c r="K878" s="23" t="s">
        <v>505</v>
      </c>
      <c r="L878" s="23">
        <v>1</v>
      </c>
      <c r="M878" s="23" t="s">
        <v>78</v>
      </c>
      <c r="N878" s="23" t="s">
        <v>78</v>
      </c>
      <c r="O878" s="23">
        <v>10203</v>
      </c>
      <c r="P878" s="23" t="s">
        <v>79</v>
      </c>
      <c r="Q878" s="23" t="s">
        <v>83</v>
      </c>
      <c r="R878" s="23">
        <v>11100018</v>
      </c>
      <c r="S878" s="24" t="s">
        <v>80</v>
      </c>
      <c r="T878" s="24">
        <v>45980</v>
      </c>
      <c r="U878" s="24">
        <v>46752</v>
      </c>
      <c r="X878" s="24">
        <v>45976</v>
      </c>
      <c r="Y878" s="23">
        <v>1111</v>
      </c>
      <c r="Z878" s="23">
        <v>11100002</v>
      </c>
      <c r="AA878" s="23">
        <v>3902</v>
      </c>
      <c r="AB878" s="24">
        <v>45980</v>
      </c>
    </row>
    <row r="879" spans="3:28" x14ac:dyDescent="0.2">
      <c r="C879" s="23">
        <v>1100569305</v>
      </c>
      <c r="E879" s="23">
        <v>230</v>
      </c>
      <c r="F879" s="23" t="s">
        <v>84</v>
      </c>
      <c r="G879" s="23" t="s">
        <v>123</v>
      </c>
      <c r="H879" s="24">
        <v>46211</v>
      </c>
      <c r="I879" s="24">
        <v>46211</v>
      </c>
      <c r="J879" s="23" t="s">
        <v>505</v>
      </c>
      <c r="K879" s="23" t="s">
        <v>505</v>
      </c>
      <c r="L879" s="23">
        <v>1</v>
      </c>
      <c r="M879" s="23" t="s">
        <v>78</v>
      </c>
      <c r="N879" s="23" t="s">
        <v>78</v>
      </c>
      <c r="O879" s="23">
        <v>0.01</v>
      </c>
      <c r="P879" s="23" t="s">
        <v>79</v>
      </c>
      <c r="Q879" s="23" t="s">
        <v>83</v>
      </c>
      <c r="R879" s="23">
        <v>11100018</v>
      </c>
      <c r="S879" s="24" t="s">
        <v>80</v>
      </c>
      <c r="T879" s="24">
        <v>45980</v>
      </c>
      <c r="U879" s="24">
        <v>46752</v>
      </c>
      <c r="X879" s="24">
        <v>45976</v>
      </c>
      <c r="Y879" s="23">
        <v>1111</v>
      </c>
      <c r="Z879" s="23">
        <v>11100002</v>
      </c>
      <c r="AA879" s="23">
        <v>3902</v>
      </c>
      <c r="AB879" s="24">
        <v>45980</v>
      </c>
    </row>
    <row r="880" spans="3:28" x14ac:dyDescent="0.2">
      <c r="C880" s="23">
        <v>1100569305</v>
      </c>
      <c r="E880" s="23">
        <v>240</v>
      </c>
      <c r="F880" s="23" t="s">
        <v>1588</v>
      </c>
      <c r="G880" s="23" t="s">
        <v>1589</v>
      </c>
      <c r="H880" s="24">
        <v>46211</v>
      </c>
      <c r="I880" s="24">
        <v>46211</v>
      </c>
      <c r="J880" s="23" t="s">
        <v>505</v>
      </c>
      <c r="K880" s="23" t="s">
        <v>505</v>
      </c>
      <c r="L880" s="23">
        <v>2</v>
      </c>
      <c r="M880" s="23" t="s">
        <v>78</v>
      </c>
      <c r="N880" s="23" t="s">
        <v>78</v>
      </c>
      <c r="O880" s="23">
        <v>32584</v>
      </c>
      <c r="P880" s="23" t="s">
        <v>79</v>
      </c>
      <c r="Q880" s="23" t="s">
        <v>83</v>
      </c>
      <c r="R880" s="23">
        <v>11100018</v>
      </c>
      <c r="S880" s="24">
        <v>46211</v>
      </c>
      <c r="T880" s="24">
        <v>45980</v>
      </c>
      <c r="U880" s="24">
        <v>46752</v>
      </c>
      <c r="X880" s="24">
        <v>45976</v>
      </c>
      <c r="Y880" s="23">
        <v>1111</v>
      </c>
      <c r="Z880" s="23">
        <v>11100002</v>
      </c>
      <c r="AA880" s="23">
        <v>3902</v>
      </c>
      <c r="AB880" s="24">
        <v>45980</v>
      </c>
    </row>
    <row r="881" spans="2:28" x14ac:dyDescent="0.2">
      <c r="C881" s="23">
        <v>1100569305</v>
      </c>
      <c r="E881" s="23">
        <v>250</v>
      </c>
      <c r="F881" s="23" t="s">
        <v>87</v>
      </c>
      <c r="G881" s="23" t="s">
        <v>142</v>
      </c>
      <c r="H881" s="24">
        <v>46211</v>
      </c>
      <c r="I881" s="24">
        <v>46211</v>
      </c>
      <c r="J881" s="23" t="s">
        <v>505</v>
      </c>
      <c r="K881" s="23" t="s">
        <v>505</v>
      </c>
      <c r="L881" s="23">
        <v>2</v>
      </c>
      <c r="M881" s="23" t="s">
        <v>78</v>
      </c>
      <c r="N881" s="23" t="s">
        <v>78</v>
      </c>
      <c r="O881" s="23">
        <v>24954</v>
      </c>
      <c r="P881" s="23" t="s">
        <v>79</v>
      </c>
      <c r="Q881" s="23" t="s">
        <v>83</v>
      </c>
      <c r="R881" s="23">
        <v>11100018</v>
      </c>
      <c r="S881" s="24">
        <v>46211</v>
      </c>
      <c r="T881" s="24">
        <v>45980</v>
      </c>
      <c r="U881" s="24">
        <v>46211</v>
      </c>
      <c r="X881" s="24">
        <v>45976</v>
      </c>
      <c r="Y881" s="23">
        <v>1111</v>
      </c>
      <c r="Z881" s="23">
        <v>11100002</v>
      </c>
      <c r="AA881" s="23">
        <v>3902</v>
      </c>
      <c r="AB881" s="24">
        <v>45980</v>
      </c>
    </row>
    <row r="882" spans="2:28" x14ac:dyDescent="0.2">
      <c r="C882" s="23">
        <v>1100569305</v>
      </c>
      <c r="E882" s="23">
        <v>260</v>
      </c>
      <c r="F882" s="23" t="s">
        <v>288</v>
      </c>
      <c r="G882" s="23" t="s">
        <v>289</v>
      </c>
      <c r="H882" s="24">
        <v>46211</v>
      </c>
      <c r="I882" s="24">
        <v>46211</v>
      </c>
      <c r="J882" s="23" t="s">
        <v>505</v>
      </c>
      <c r="K882" s="23" t="s">
        <v>505</v>
      </c>
      <c r="L882" s="23">
        <v>1</v>
      </c>
      <c r="M882" s="23" t="s">
        <v>131</v>
      </c>
      <c r="N882" s="23" t="s">
        <v>131</v>
      </c>
      <c r="O882" s="23">
        <v>1713</v>
      </c>
      <c r="P882" s="23" t="s">
        <v>79</v>
      </c>
      <c r="Q882" s="23" t="s">
        <v>83</v>
      </c>
      <c r="R882" s="23">
        <v>11100018</v>
      </c>
      <c r="S882" s="24" t="s">
        <v>80</v>
      </c>
      <c r="T882" s="24">
        <v>45980</v>
      </c>
      <c r="U882" s="24">
        <v>46211</v>
      </c>
      <c r="X882" s="24">
        <v>45976</v>
      </c>
      <c r="Y882" s="23">
        <v>1111</v>
      </c>
      <c r="Z882" s="23">
        <v>11100002</v>
      </c>
      <c r="AA882" s="23">
        <v>3902</v>
      </c>
      <c r="AB882" s="24">
        <v>45980</v>
      </c>
    </row>
    <row r="883" spans="2:28" x14ac:dyDescent="0.2">
      <c r="B883" s="23" t="s">
        <v>81</v>
      </c>
      <c r="C883" s="23">
        <v>1100569305</v>
      </c>
      <c r="H883" s="24">
        <v>46211</v>
      </c>
      <c r="O883" s="23">
        <v>579200.06000000006</v>
      </c>
      <c r="P883" s="23" t="s">
        <v>79</v>
      </c>
    </row>
    <row r="884" spans="2:28" x14ac:dyDescent="0.2">
      <c r="C884" s="23">
        <v>1100574519</v>
      </c>
      <c r="E884" s="23">
        <v>270</v>
      </c>
      <c r="F884" s="23" t="s">
        <v>84</v>
      </c>
      <c r="G884" s="23" t="s">
        <v>123</v>
      </c>
      <c r="H884" s="24">
        <v>46218</v>
      </c>
      <c r="I884" s="24">
        <v>46218</v>
      </c>
      <c r="J884" s="23" t="s">
        <v>671</v>
      </c>
      <c r="K884" s="23" t="s">
        <v>671</v>
      </c>
      <c r="L884" s="23">
        <v>1</v>
      </c>
      <c r="M884" s="23" t="s">
        <v>78</v>
      </c>
      <c r="N884" s="23" t="s">
        <v>78</v>
      </c>
      <c r="O884" s="23">
        <v>0.01</v>
      </c>
      <c r="P884" s="23" t="s">
        <v>79</v>
      </c>
      <c r="Q884" s="23" t="s">
        <v>83</v>
      </c>
      <c r="R884" s="23">
        <v>11100008</v>
      </c>
      <c r="S884" s="24" t="s">
        <v>80</v>
      </c>
      <c r="T884" s="24">
        <v>46044</v>
      </c>
      <c r="U884" s="24" t="s">
        <v>80</v>
      </c>
      <c r="X884" s="24">
        <v>46024</v>
      </c>
      <c r="Y884" s="23">
        <v>1111</v>
      </c>
      <c r="Z884" s="23">
        <v>11100303</v>
      </c>
      <c r="AA884" s="23">
        <v>336103</v>
      </c>
      <c r="AB884" s="24">
        <v>46044</v>
      </c>
    </row>
    <row r="885" spans="2:28" x14ac:dyDescent="0.2">
      <c r="C885" s="23">
        <v>1100574519</v>
      </c>
      <c r="E885" s="23">
        <v>290</v>
      </c>
      <c r="F885" s="23" t="s">
        <v>82</v>
      </c>
      <c r="G885" s="23" t="s">
        <v>139</v>
      </c>
      <c r="H885" s="24">
        <v>46218</v>
      </c>
      <c r="I885" s="24">
        <v>46218</v>
      </c>
      <c r="J885" s="23" t="s">
        <v>671</v>
      </c>
      <c r="K885" s="23" t="s">
        <v>671</v>
      </c>
      <c r="L885" s="23">
        <v>1</v>
      </c>
      <c r="M885" s="23" t="s">
        <v>78</v>
      </c>
      <c r="N885" s="23" t="s">
        <v>78</v>
      </c>
      <c r="O885" s="23">
        <v>0.01</v>
      </c>
      <c r="P885" s="23" t="s">
        <v>79</v>
      </c>
      <c r="Q885" s="23" t="s">
        <v>83</v>
      </c>
      <c r="R885" s="23">
        <v>11100008</v>
      </c>
      <c r="S885" s="24" t="s">
        <v>80</v>
      </c>
      <c r="T885" s="24">
        <v>46044</v>
      </c>
      <c r="U885" s="24" t="s">
        <v>80</v>
      </c>
      <c r="X885" s="24">
        <v>46024</v>
      </c>
      <c r="Y885" s="23">
        <v>1111</v>
      </c>
      <c r="Z885" s="23">
        <v>11100303</v>
      </c>
      <c r="AA885" s="23">
        <v>336103</v>
      </c>
      <c r="AB885" s="24">
        <v>46044</v>
      </c>
    </row>
    <row r="886" spans="2:28" x14ac:dyDescent="0.2">
      <c r="C886" s="23">
        <v>1100574519</v>
      </c>
      <c r="E886" s="23">
        <v>390</v>
      </c>
      <c r="F886" s="23" t="s">
        <v>288</v>
      </c>
      <c r="G886" s="23" t="s">
        <v>289</v>
      </c>
      <c r="H886" s="24">
        <v>46218</v>
      </c>
      <c r="I886" s="24">
        <v>47118</v>
      </c>
      <c r="J886" s="23" t="s">
        <v>671</v>
      </c>
      <c r="K886" s="23" t="s">
        <v>671</v>
      </c>
      <c r="L886" s="23">
        <v>1</v>
      </c>
      <c r="M886" s="23" t="s">
        <v>131</v>
      </c>
      <c r="N886" s="23" t="s">
        <v>131</v>
      </c>
      <c r="O886" s="23">
        <v>0.01</v>
      </c>
      <c r="P886" s="23" t="s">
        <v>79</v>
      </c>
      <c r="Q886" s="23" t="s">
        <v>83</v>
      </c>
      <c r="R886" s="23">
        <v>11100008</v>
      </c>
      <c r="S886" s="24">
        <v>46113</v>
      </c>
      <c r="T886" s="24">
        <v>46044</v>
      </c>
      <c r="U886" s="24" t="s">
        <v>80</v>
      </c>
      <c r="X886" s="24">
        <v>46024</v>
      </c>
      <c r="Y886" s="23">
        <v>1111</v>
      </c>
      <c r="Z886" s="23">
        <v>11100303</v>
      </c>
      <c r="AA886" s="23">
        <v>336103</v>
      </c>
      <c r="AB886" s="24">
        <v>46044</v>
      </c>
    </row>
    <row r="887" spans="2:28" x14ac:dyDescent="0.2">
      <c r="C887" s="23">
        <v>1100574519</v>
      </c>
      <c r="E887" s="23">
        <v>400</v>
      </c>
      <c r="F887" s="23" t="s">
        <v>87</v>
      </c>
      <c r="G887" s="23" t="s">
        <v>2567</v>
      </c>
      <c r="H887" s="24">
        <v>46218</v>
      </c>
      <c r="I887" s="24">
        <v>46218</v>
      </c>
      <c r="J887" s="23" t="s">
        <v>671</v>
      </c>
      <c r="K887" s="23" t="s">
        <v>671</v>
      </c>
      <c r="L887" s="23">
        <v>1</v>
      </c>
      <c r="M887" s="23" t="s">
        <v>78</v>
      </c>
      <c r="N887" s="23" t="s">
        <v>78</v>
      </c>
      <c r="O887" s="23">
        <v>77465</v>
      </c>
      <c r="P887" s="23" t="s">
        <v>79</v>
      </c>
      <c r="Q887" s="23" t="s">
        <v>83</v>
      </c>
      <c r="R887" s="23">
        <v>11100008</v>
      </c>
      <c r="S887" s="24" t="s">
        <v>80</v>
      </c>
      <c r="T887" s="24">
        <v>46044</v>
      </c>
      <c r="U887" s="24" t="s">
        <v>80</v>
      </c>
      <c r="X887" s="24" t="s">
        <v>80</v>
      </c>
      <c r="Y887" s="23">
        <v>1111</v>
      </c>
      <c r="Z887" s="23">
        <v>11100303</v>
      </c>
      <c r="AA887" s="23">
        <v>336103</v>
      </c>
      <c r="AB887" s="24" t="s">
        <v>80</v>
      </c>
    </row>
    <row r="888" spans="2:28" x14ac:dyDescent="0.2">
      <c r="B888" s="23" t="s">
        <v>81</v>
      </c>
      <c r="C888" s="23">
        <v>1100574519</v>
      </c>
      <c r="H888" s="24">
        <v>46218</v>
      </c>
      <c r="O888" s="23">
        <v>77465.03</v>
      </c>
      <c r="P888" s="23" t="s">
        <v>79</v>
      </c>
    </row>
    <row r="889" spans="2:28" x14ac:dyDescent="0.2">
      <c r="C889" s="23">
        <v>1100576272</v>
      </c>
      <c r="E889" s="23">
        <v>10</v>
      </c>
      <c r="F889" s="23" t="s">
        <v>87</v>
      </c>
      <c r="G889" s="23" t="s">
        <v>2568</v>
      </c>
      <c r="H889" s="24">
        <v>46218</v>
      </c>
      <c r="I889" s="24">
        <v>46218</v>
      </c>
      <c r="J889" s="23" t="s">
        <v>2569</v>
      </c>
      <c r="K889" s="23" t="s">
        <v>2569</v>
      </c>
      <c r="L889" s="23">
        <v>1</v>
      </c>
      <c r="M889" s="23" t="s">
        <v>78</v>
      </c>
      <c r="N889" s="23" t="s">
        <v>78</v>
      </c>
      <c r="O889" s="23">
        <v>22545</v>
      </c>
      <c r="P889" s="23" t="s">
        <v>79</v>
      </c>
      <c r="Q889" s="23" t="s">
        <v>83</v>
      </c>
      <c r="R889" s="23">
        <v>11100018</v>
      </c>
      <c r="S889" s="24" t="s">
        <v>80</v>
      </c>
      <c r="T889" s="24">
        <v>46062</v>
      </c>
      <c r="U889" s="24" t="s">
        <v>80</v>
      </c>
      <c r="X889" s="24" t="s">
        <v>80</v>
      </c>
      <c r="Y889" s="23">
        <v>1111</v>
      </c>
      <c r="Z889" s="23">
        <v>11100303</v>
      </c>
      <c r="AA889" s="23">
        <v>314903</v>
      </c>
      <c r="AB889" s="24" t="s">
        <v>80</v>
      </c>
    </row>
    <row r="890" spans="2:28" x14ac:dyDescent="0.2">
      <c r="C890" s="23">
        <v>1100576272</v>
      </c>
      <c r="E890" s="23">
        <v>20</v>
      </c>
      <c r="F890" s="23" t="s">
        <v>84</v>
      </c>
      <c r="G890" s="23" t="s">
        <v>123</v>
      </c>
      <c r="H890" s="24">
        <v>46218</v>
      </c>
      <c r="I890" s="24">
        <v>46218</v>
      </c>
      <c r="J890" s="23" t="s">
        <v>2569</v>
      </c>
      <c r="K890" s="23" t="s">
        <v>2569</v>
      </c>
      <c r="L890" s="23">
        <v>1</v>
      </c>
      <c r="M890" s="23" t="s">
        <v>78</v>
      </c>
      <c r="N890" s="23" t="s">
        <v>78</v>
      </c>
      <c r="O890" s="23">
        <v>0.01</v>
      </c>
      <c r="P890" s="23" t="s">
        <v>79</v>
      </c>
      <c r="Q890" s="23" t="s">
        <v>83</v>
      </c>
      <c r="R890" s="23">
        <v>11100018</v>
      </c>
      <c r="S890" s="24" t="s">
        <v>80</v>
      </c>
      <c r="T890" s="24">
        <v>46062</v>
      </c>
      <c r="U890" s="24" t="s">
        <v>80</v>
      </c>
      <c r="X890" s="24">
        <v>46045</v>
      </c>
      <c r="Y890" s="23">
        <v>1111</v>
      </c>
      <c r="Z890" s="23">
        <v>11100303</v>
      </c>
      <c r="AA890" s="23">
        <v>314903</v>
      </c>
      <c r="AB890" s="24">
        <v>46062</v>
      </c>
    </row>
    <row r="891" spans="2:28" x14ac:dyDescent="0.2">
      <c r="B891" s="23" t="s">
        <v>81</v>
      </c>
      <c r="C891" s="23">
        <v>1100576272</v>
      </c>
      <c r="H891" s="24">
        <v>46218</v>
      </c>
      <c r="O891" s="23">
        <v>22545.01</v>
      </c>
      <c r="P891" s="23" t="s">
        <v>79</v>
      </c>
    </row>
    <row r="892" spans="2:28" x14ac:dyDescent="0.2">
      <c r="C892" s="23">
        <v>1100573067</v>
      </c>
      <c r="E892" s="23">
        <v>50</v>
      </c>
      <c r="F892" s="23" t="s">
        <v>87</v>
      </c>
      <c r="G892" s="23" t="s">
        <v>1590</v>
      </c>
      <c r="H892" s="24">
        <v>46226</v>
      </c>
      <c r="I892" s="24">
        <v>46226</v>
      </c>
      <c r="J892" s="23" t="s">
        <v>734</v>
      </c>
      <c r="K892" s="23" t="s">
        <v>734</v>
      </c>
      <c r="L892" s="23">
        <v>4</v>
      </c>
      <c r="M892" s="23" t="s">
        <v>78</v>
      </c>
      <c r="N892" s="23" t="s">
        <v>78</v>
      </c>
      <c r="O892" s="23">
        <v>104032</v>
      </c>
      <c r="P892" s="23" t="s">
        <v>79</v>
      </c>
      <c r="Q892" s="23" t="s">
        <v>83</v>
      </c>
      <c r="R892" s="23">
        <v>11100189</v>
      </c>
      <c r="S892" s="24">
        <v>46226</v>
      </c>
      <c r="T892" s="24">
        <v>46030</v>
      </c>
      <c r="U892" s="24">
        <v>46226</v>
      </c>
      <c r="X892" s="24">
        <v>45993</v>
      </c>
      <c r="Y892" s="23">
        <v>1111</v>
      </c>
      <c r="Z892" s="23">
        <v>11400124</v>
      </c>
      <c r="AA892" s="23">
        <v>330103</v>
      </c>
      <c r="AB892" s="24">
        <v>47118</v>
      </c>
    </row>
    <row r="893" spans="2:28" x14ac:dyDescent="0.2">
      <c r="C893" s="23">
        <v>1100573067</v>
      </c>
      <c r="E893" s="23">
        <v>80</v>
      </c>
      <c r="F893" s="23" t="s">
        <v>84</v>
      </c>
      <c r="G893" s="23" t="s">
        <v>123</v>
      </c>
      <c r="H893" s="24">
        <v>46226</v>
      </c>
      <c r="I893" s="24">
        <v>47118</v>
      </c>
      <c r="J893" s="23" t="s">
        <v>734</v>
      </c>
      <c r="K893" s="23" t="s">
        <v>734</v>
      </c>
      <c r="L893" s="23">
        <v>1</v>
      </c>
      <c r="M893" s="23" t="s">
        <v>78</v>
      </c>
      <c r="N893" s="23" t="s">
        <v>78</v>
      </c>
      <c r="O893" s="23">
        <v>0.01</v>
      </c>
      <c r="P893" s="23" t="s">
        <v>79</v>
      </c>
      <c r="Q893" s="23" t="s">
        <v>83</v>
      </c>
      <c r="R893" s="23">
        <v>11100189</v>
      </c>
      <c r="S893" s="24">
        <v>46226</v>
      </c>
      <c r="T893" s="24">
        <v>46030</v>
      </c>
      <c r="U893" s="24">
        <v>47116</v>
      </c>
      <c r="X893" s="24">
        <v>45993</v>
      </c>
      <c r="Y893" s="23">
        <v>1111</v>
      </c>
      <c r="Z893" s="23">
        <v>11400124</v>
      </c>
      <c r="AA893" s="23">
        <v>336103</v>
      </c>
      <c r="AB893" s="24">
        <v>47118</v>
      </c>
    </row>
    <row r="894" spans="2:28" x14ac:dyDescent="0.2">
      <c r="B894" s="23" t="s">
        <v>81</v>
      </c>
      <c r="C894" s="23">
        <v>1100573067</v>
      </c>
      <c r="H894" s="24">
        <v>46226</v>
      </c>
      <c r="O894" s="23">
        <v>104032.01</v>
      </c>
      <c r="P894" s="23" t="s">
        <v>79</v>
      </c>
    </row>
    <row r="895" spans="2:28" x14ac:dyDescent="0.2">
      <c r="C895" s="23">
        <v>1100576673</v>
      </c>
      <c r="E895" s="23">
        <v>10</v>
      </c>
      <c r="F895" s="23" t="s">
        <v>400</v>
      </c>
      <c r="G895" s="23" t="s">
        <v>401</v>
      </c>
      <c r="H895" s="24">
        <v>46227</v>
      </c>
      <c r="I895" s="24">
        <v>46227</v>
      </c>
      <c r="J895" s="23" t="s">
        <v>157</v>
      </c>
      <c r="K895" s="23" t="s">
        <v>157</v>
      </c>
      <c r="L895" s="23">
        <v>1</v>
      </c>
      <c r="M895" s="23" t="s">
        <v>78</v>
      </c>
      <c r="N895" s="23" t="s">
        <v>78</v>
      </c>
      <c r="O895" s="23">
        <v>82118</v>
      </c>
      <c r="P895" s="23" t="s">
        <v>79</v>
      </c>
      <c r="Q895" s="23" t="s">
        <v>83</v>
      </c>
      <c r="R895" s="23">
        <v>11100018</v>
      </c>
      <c r="S895" s="24">
        <v>46255</v>
      </c>
      <c r="T895" s="24">
        <v>46065</v>
      </c>
      <c r="U895" s="24" t="s">
        <v>80</v>
      </c>
      <c r="X895" s="24">
        <v>46064</v>
      </c>
      <c r="Y895" s="23">
        <v>1111</v>
      </c>
      <c r="Z895" s="23">
        <v>11100002</v>
      </c>
      <c r="AA895" s="23">
        <v>5424</v>
      </c>
      <c r="AB895" s="24">
        <v>46065</v>
      </c>
    </row>
    <row r="896" spans="2:28" x14ac:dyDescent="0.2">
      <c r="C896" s="23">
        <v>1100576673</v>
      </c>
      <c r="E896" s="23">
        <v>20</v>
      </c>
      <c r="F896" s="23" t="s">
        <v>400</v>
      </c>
      <c r="G896" s="23" t="s">
        <v>401</v>
      </c>
      <c r="H896" s="24">
        <v>46227</v>
      </c>
      <c r="I896" s="24">
        <v>46227</v>
      </c>
      <c r="J896" s="23" t="s">
        <v>157</v>
      </c>
      <c r="K896" s="23" t="s">
        <v>157</v>
      </c>
      <c r="L896" s="23">
        <v>1</v>
      </c>
      <c r="M896" s="23" t="s">
        <v>78</v>
      </c>
      <c r="N896" s="23" t="s">
        <v>78</v>
      </c>
      <c r="O896" s="23">
        <v>82118</v>
      </c>
      <c r="P896" s="23" t="s">
        <v>79</v>
      </c>
      <c r="Q896" s="23" t="s">
        <v>83</v>
      </c>
      <c r="R896" s="23">
        <v>11100018</v>
      </c>
      <c r="S896" s="24">
        <v>46255</v>
      </c>
      <c r="T896" s="24">
        <v>46065</v>
      </c>
      <c r="U896" s="24" t="s">
        <v>80</v>
      </c>
      <c r="X896" s="24">
        <v>46064</v>
      </c>
      <c r="Y896" s="23">
        <v>1111</v>
      </c>
      <c r="Z896" s="23">
        <v>11100002</v>
      </c>
      <c r="AA896" s="23">
        <v>5424</v>
      </c>
      <c r="AB896" s="24">
        <v>46065</v>
      </c>
    </row>
    <row r="897" spans="2:28" x14ac:dyDescent="0.2">
      <c r="C897" s="23">
        <v>1100576673</v>
      </c>
      <c r="E897" s="23">
        <v>30</v>
      </c>
      <c r="F897" s="23" t="s">
        <v>400</v>
      </c>
      <c r="G897" s="23" t="s">
        <v>401</v>
      </c>
      <c r="H897" s="24">
        <v>46227</v>
      </c>
      <c r="I897" s="24">
        <v>46241</v>
      </c>
      <c r="J897" s="23" t="s">
        <v>157</v>
      </c>
      <c r="K897" s="23" t="s">
        <v>157</v>
      </c>
      <c r="L897" s="23">
        <v>1</v>
      </c>
      <c r="M897" s="23" t="s">
        <v>78</v>
      </c>
      <c r="N897" s="23" t="s">
        <v>78</v>
      </c>
      <c r="O897" s="23">
        <v>82118</v>
      </c>
      <c r="P897" s="23" t="s">
        <v>79</v>
      </c>
      <c r="Q897" s="23" t="s">
        <v>83</v>
      </c>
      <c r="R897" s="23">
        <v>11100018</v>
      </c>
      <c r="S897" s="24">
        <v>46255</v>
      </c>
      <c r="T897" s="24">
        <v>46065</v>
      </c>
      <c r="U897" s="24" t="s">
        <v>80</v>
      </c>
      <c r="X897" s="24">
        <v>46064</v>
      </c>
      <c r="Y897" s="23">
        <v>1111</v>
      </c>
      <c r="Z897" s="23">
        <v>11100002</v>
      </c>
      <c r="AA897" s="23">
        <v>5424</v>
      </c>
      <c r="AB897" s="24">
        <v>46065</v>
      </c>
    </row>
    <row r="898" spans="2:28" x14ac:dyDescent="0.2">
      <c r="C898" s="23">
        <v>1100576673</v>
      </c>
      <c r="E898" s="23">
        <v>40</v>
      </c>
      <c r="F898" s="23" t="s">
        <v>400</v>
      </c>
      <c r="G898" s="23" t="s">
        <v>401</v>
      </c>
      <c r="H898" s="24">
        <v>46227</v>
      </c>
      <c r="I898" s="24">
        <v>46241</v>
      </c>
      <c r="J898" s="23" t="s">
        <v>157</v>
      </c>
      <c r="K898" s="23" t="s">
        <v>157</v>
      </c>
      <c r="L898" s="23">
        <v>1</v>
      </c>
      <c r="M898" s="23" t="s">
        <v>78</v>
      </c>
      <c r="N898" s="23" t="s">
        <v>78</v>
      </c>
      <c r="O898" s="23">
        <v>82118</v>
      </c>
      <c r="P898" s="23" t="s">
        <v>79</v>
      </c>
      <c r="Q898" s="23" t="s">
        <v>83</v>
      </c>
      <c r="R898" s="23">
        <v>11100018</v>
      </c>
      <c r="S898" s="24">
        <v>46255</v>
      </c>
      <c r="T898" s="24">
        <v>46065</v>
      </c>
      <c r="U898" s="24" t="s">
        <v>80</v>
      </c>
      <c r="X898" s="24">
        <v>46064</v>
      </c>
      <c r="Y898" s="23">
        <v>1111</v>
      </c>
      <c r="Z898" s="23">
        <v>11100002</v>
      </c>
      <c r="AA898" s="23">
        <v>5424</v>
      </c>
      <c r="AB898" s="24">
        <v>46065</v>
      </c>
    </row>
    <row r="899" spans="2:28" x14ac:dyDescent="0.2">
      <c r="C899" s="23">
        <v>1100576673</v>
      </c>
      <c r="E899" s="23">
        <v>50</v>
      </c>
      <c r="F899" s="23" t="s">
        <v>400</v>
      </c>
      <c r="G899" s="23" t="s">
        <v>401</v>
      </c>
      <c r="H899" s="24">
        <v>46227</v>
      </c>
      <c r="I899" s="24">
        <v>46255</v>
      </c>
      <c r="J899" s="23" t="s">
        <v>157</v>
      </c>
      <c r="K899" s="23" t="s">
        <v>157</v>
      </c>
      <c r="L899" s="23">
        <v>1</v>
      </c>
      <c r="M899" s="23" t="s">
        <v>78</v>
      </c>
      <c r="N899" s="23" t="s">
        <v>78</v>
      </c>
      <c r="O899" s="23">
        <v>82118</v>
      </c>
      <c r="P899" s="23" t="s">
        <v>79</v>
      </c>
      <c r="Q899" s="23" t="s">
        <v>83</v>
      </c>
      <c r="R899" s="23">
        <v>11100018</v>
      </c>
      <c r="S899" s="24">
        <v>46255</v>
      </c>
      <c r="T899" s="24">
        <v>46065</v>
      </c>
      <c r="U899" s="24" t="s">
        <v>80</v>
      </c>
      <c r="X899" s="24">
        <v>46064</v>
      </c>
      <c r="Y899" s="23">
        <v>1111</v>
      </c>
      <c r="Z899" s="23">
        <v>11100002</v>
      </c>
      <c r="AA899" s="23">
        <v>5424</v>
      </c>
      <c r="AB899" s="24">
        <v>46065</v>
      </c>
    </row>
    <row r="900" spans="2:28" x14ac:dyDescent="0.2">
      <c r="C900" s="23">
        <v>1100576673</v>
      </c>
      <c r="E900" s="23">
        <v>60</v>
      </c>
      <c r="F900" s="23" t="s">
        <v>400</v>
      </c>
      <c r="G900" s="23" t="s">
        <v>401</v>
      </c>
      <c r="H900" s="24">
        <v>46227</v>
      </c>
      <c r="I900" s="24">
        <v>46255</v>
      </c>
      <c r="J900" s="23" t="s">
        <v>157</v>
      </c>
      <c r="K900" s="23" t="s">
        <v>157</v>
      </c>
      <c r="L900" s="23">
        <v>1</v>
      </c>
      <c r="M900" s="23" t="s">
        <v>78</v>
      </c>
      <c r="N900" s="23" t="s">
        <v>78</v>
      </c>
      <c r="O900" s="23">
        <v>82118</v>
      </c>
      <c r="P900" s="23" t="s">
        <v>79</v>
      </c>
      <c r="Q900" s="23" t="s">
        <v>83</v>
      </c>
      <c r="R900" s="23">
        <v>11100018</v>
      </c>
      <c r="S900" s="24">
        <v>46255</v>
      </c>
      <c r="T900" s="24">
        <v>46065</v>
      </c>
      <c r="U900" s="24" t="s">
        <v>80</v>
      </c>
      <c r="X900" s="24">
        <v>46064</v>
      </c>
      <c r="Y900" s="23">
        <v>1111</v>
      </c>
      <c r="Z900" s="23">
        <v>11100002</v>
      </c>
      <c r="AA900" s="23">
        <v>5424</v>
      </c>
      <c r="AB900" s="24">
        <v>46065</v>
      </c>
    </row>
    <row r="901" spans="2:28" x14ac:dyDescent="0.2">
      <c r="B901" s="23" t="s">
        <v>81</v>
      </c>
      <c r="C901" s="23">
        <v>1100576673</v>
      </c>
      <c r="H901" s="24">
        <v>46227</v>
      </c>
      <c r="O901" s="23">
        <v>492708</v>
      </c>
      <c r="P901" s="23" t="s">
        <v>79</v>
      </c>
    </row>
    <row r="902" spans="2:28" x14ac:dyDescent="0.2">
      <c r="C902" s="23">
        <v>1100578300</v>
      </c>
      <c r="E902" s="23">
        <v>10</v>
      </c>
      <c r="F902" s="23" t="s">
        <v>87</v>
      </c>
      <c r="G902" s="23" t="s">
        <v>142</v>
      </c>
      <c r="H902" s="24">
        <v>46232</v>
      </c>
      <c r="I902" s="24">
        <v>46232</v>
      </c>
      <c r="J902" s="23" t="s">
        <v>510</v>
      </c>
      <c r="K902" s="23" t="s">
        <v>510</v>
      </c>
      <c r="L902" s="23">
        <v>1</v>
      </c>
      <c r="M902" s="23" t="s">
        <v>78</v>
      </c>
      <c r="N902" s="23" t="s">
        <v>78</v>
      </c>
      <c r="O902" s="23">
        <v>35400</v>
      </c>
      <c r="P902" s="23" t="s">
        <v>79</v>
      </c>
      <c r="Q902" s="23" t="s">
        <v>83</v>
      </c>
      <c r="R902" s="23">
        <v>11100299</v>
      </c>
      <c r="S902" s="24">
        <v>46232</v>
      </c>
      <c r="T902" s="24">
        <v>46080</v>
      </c>
      <c r="U902" s="24" t="s">
        <v>80</v>
      </c>
      <c r="X902" s="24">
        <v>46078</v>
      </c>
      <c r="Y902" s="23">
        <v>1111</v>
      </c>
      <c r="Z902" s="23">
        <v>11100002</v>
      </c>
      <c r="AA902" s="23">
        <v>3902</v>
      </c>
      <c r="AB902" s="24">
        <v>46080</v>
      </c>
    </row>
    <row r="903" spans="2:28" x14ac:dyDescent="0.2">
      <c r="C903" s="23">
        <v>1100578300</v>
      </c>
      <c r="E903" s="23">
        <v>20</v>
      </c>
      <c r="F903" s="23" t="s">
        <v>84</v>
      </c>
      <c r="G903" s="23" t="s">
        <v>123</v>
      </c>
      <c r="H903" s="24">
        <v>46232</v>
      </c>
      <c r="I903" s="24">
        <v>46232</v>
      </c>
      <c r="J903" s="23" t="s">
        <v>510</v>
      </c>
      <c r="K903" s="23" t="s">
        <v>510</v>
      </c>
      <c r="L903" s="23">
        <v>1</v>
      </c>
      <c r="M903" s="23" t="s">
        <v>78</v>
      </c>
      <c r="N903" s="23" t="s">
        <v>78</v>
      </c>
      <c r="O903" s="23">
        <v>0.01</v>
      </c>
      <c r="P903" s="23" t="s">
        <v>79</v>
      </c>
      <c r="Q903" s="23" t="s">
        <v>83</v>
      </c>
      <c r="R903" s="23">
        <v>11100299</v>
      </c>
      <c r="S903" s="24" t="s">
        <v>80</v>
      </c>
      <c r="T903" s="24">
        <v>46080</v>
      </c>
      <c r="U903" s="24" t="s">
        <v>80</v>
      </c>
      <c r="X903" s="24">
        <v>46078</v>
      </c>
      <c r="Y903" s="23">
        <v>1111</v>
      </c>
      <c r="Z903" s="23">
        <v>11100002</v>
      </c>
      <c r="AA903" s="23">
        <v>3902</v>
      </c>
      <c r="AB903" s="24">
        <v>46080</v>
      </c>
    </row>
    <row r="904" spans="2:28" x14ac:dyDescent="0.2">
      <c r="C904" s="23">
        <v>1100578300</v>
      </c>
      <c r="E904" s="23">
        <v>30</v>
      </c>
      <c r="F904" s="23" t="s">
        <v>82</v>
      </c>
      <c r="G904" s="23" t="s">
        <v>139</v>
      </c>
      <c r="H904" s="24">
        <v>46232</v>
      </c>
      <c r="I904" s="24">
        <v>46232</v>
      </c>
      <c r="J904" s="23" t="s">
        <v>510</v>
      </c>
      <c r="K904" s="23" t="s">
        <v>510</v>
      </c>
      <c r="L904" s="23">
        <v>1</v>
      </c>
      <c r="M904" s="23" t="s">
        <v>78</v>
      </c>
      <c r="N904" s="23" t="s">
        <v>78</v>
      </c>
      <c r="O904" s="23">
        <v>0.01</v>
      </c>
      <c r="P904" s="23" t="s">
        <v>79</v>
      </c>
      <c r="Q904" s="23" t="s">
        <v>83</v>
      </c>
      <c r="R904" s="23">
        <v>11100299</v>
      </c>
      <c r="S904" s="24" t="s">
        <v>80</v>
      </c>
      <c r="T904" s="24">
        <v>46080</v>
      </c>
      <c r="U904" s="24" t="s">
        <v>80</v>
      </c>
      <c r="X904" s="24">
        <v>46078</v>
      </c>
      <c r="Y904" s="23">
        <v>1111</v>
      </c>
      <c r="Z904" s="23">
        <v>11100002</v>
      </c>
      <c r="AA904" s="23">
        <v>3902</v>
      </c>
      <c r="AB904" s="24">
        <v>46080</v>
      </c>
    </row>
    <row r="905" spans="2:28" x14ac:dyDescent="0.2">
      <c r="B905" s="23" t="s">
        <v>81</v>
      </c>
      <c r="C905" s="23">
        <v>1100578300</v>
      </c>
      <c r="H905" s="24">
        <v>46232</v>
      </c>
      <c r="O905" s="23">
        <v>35400.019999999997</v>
      </c>
      <c r="P905" s="23" t="s">
        <v>79</v>
      </c>
    </row>
    <row r="906" spans="2:28" x14ac:dyDescent="0.2">
      <c r="C906" s="23">
        <v>1100573835</v>
      </c>
      <c r="E906" s="23">
        <v>10</v>
      </c>
      <c r="F906" s="23" t="s">
        <v>87</v>
      </c>
      <c r="G906" s="23" t="s">
        <v>1329</v>
      </c>
      <c r="H906" s="24">
        <v>46239</v>
      </c>
      <c r="I906" s="24">
        <v>46239</v>
      </c>
      <c r="J906" s="23" t="s">
        <v>2570</v>
      </c>
      <c r="K906" s="23" t="s">
        <v>2570</v>
      </c>
      <c r="L906" s="23">
        <v>1</v>
      </c>
      <c r="M906" s="23" t="s">
        <v>78</v>
      </c>
      <c r="N906" s="23" t="s">
        <v>78</v>
      </c>
      <c r="O906" s="23">
        <v>49120</v>
      </c>
      <c r="P906" s="23" t="s">
        <v>79</v>
      </c>
      <c r="Q906" s="23" t="s">
        <v>83</v>
      </c>
      <c r="R906" s="23">
        <v>11100018</v>
      </c>
      <c r="S906" s="24" t="s">
        <v>80</v>
      </c>
      <c r="T906" s="24">
        <v>46036</v>
      </c>
      <c r="U906" s="24">
        <v>47116</v>
      </c>
      <c r="X906" s="24" t="s">
        <v>80</v>
      </c>
      <c r="Y906" s="23">
        <v>1111</v>
      </c>
      <c r="Z906" s="23">
        <v>11100303</v>
      </c>
      <c r="AA906" s="23">
        <v>500103</v>
      </c>
      <c r="AB906" s="24" t="s">
        <v>80</v>
      </c>
    </row>
    <row r="907" spans="2:28" x14ac:dyDescent="0.2">
      <c r="C907" s="23">
        <v>1100573835</v>
      </c>
      <c r="E907" s="23">
        <v>20</v>
      </c>
      <c r="F907" s="23" t="s">
        <v>84</v>
      </c>
      <c r="G907" s="23" t="s">
        <v>123</v>
      </c>
      <c r="H907" s="24">
        <v>46239</v>
      </c>
      <c r="I907" s="24">
        <v>46239</v>
      </c>
      <c r="J907" s="23" t="s">
        <v>2570</v>
      </c>
      <c r="K907" s="23" t="s">
        <v>2570</v>
      </c>
      <c r="L907" s="23">
        <v>1</v>
      </c>
      <c r="M907" s="23" t="s">
        <v>78</v>
      </c>
      <c r="N907" s="23" t="s">
        <v>78</v>
      </c>
      <c r="O907" s="23">
        <v>0.01</v>
      </c>
      <c r="P907" s="23" t="s">
        <v>79</v>
      </c>
      <c r="Q907" s="23" t="s">
        <v>83</v>
      </c>
      <c r="R907" s="23">
        <v>11100018</v>
      </c>
      <c r="S907" s="24" t="s">
        <v>80</v>
      </c>
      <c r="T907" s="24">
        <v>46036</v>
      </c>
      <c r="U907" s="24">
        <v>47116</v>
      </c>
      <c r="X907" s="24">
        <v>46029</v>
      </c>
      <c r="Y907" s="23">
        <v>1111</v>
      </c>
      <c r="Z907" s="23">
        <v>11100303</v>
      </c>
      <c r="AA907" s="23">
        <v>500103</v>
      </c>
      <c r="AB907" s="24">
        <v>46036</v>
      </c>
    </row>
    <row r="908" spans="2:28" x14ac:dyDescent="0.2">
      <c r="C908" s="23">
        <v>1100573835</v>
      </c>
      <c r="E908" s="23">
        <v>30</v>
      </c>
      <c r="F908" s="23" t="s">
        <v>82</v>
      </c>
      <c r="G908" s="23" t="s">
        <v>139</v>
      </c>
      <c r="H908" s="24">
        <v>46239</v>
      </c>
      <c r="I908" s="24">
        <v>46239</v>
      </c>
      <c r="J908" s="23" t="s">
        <v>2570</v>
      </c>
      <c r="K908" s="23" t="s">
        <v>2570</v>
      </c>
      <c r="L908" s="23">
        <v>1</v>
      </c>
      <c r="M908" s="23" t="s">
        <v>78</v>
      </c>
      <c r="N908" s="23" t="s">
        <v>78</v>
      </c>
      <c r="O908" s="23">
        <v>0.01</v>
      </c>
      <c r="P908" s="23" t="s">
        <v>79</v>
      </c>
      <c r="Q908" s="23" t="s">
        <v>83</v>
      </c>
      <c r="R908" s="23">
        <v>11100018</v>
      </c>
      <c r="S908" s="24" t="s">
        <v>80</v>
      </c>
      <c r="T908" s="24">
        <v>46036</v>
      </c>
      <c r="U908" s="24">
        <v>47116</v>
      </c>
      <c r="X908" s="24">
        <v>46029</v>
      </c>
      <c r="Y908" s="23">
        <v>1111</v>
      </c>
      <c r="Z908" s="23">
        <v>11100303</v>
      </c>
      <c r="AA908" s="23">
        <v>500103</v>
      </c>
      <c r="AB908" s="24">
        <v>46036</v>
      </c>
    </row>
    <row r="909" spans="2:28" x14ac:dyDescent="0.2">
      <c r="B909" s="23" t="s">
        <v>81</v>
      </c>
      <c r="C909" s="23">
        <v>1100573835</v>
      </c>
      <c r="H909" s="24">
        <v>46239</v>
      </c>
      <c r="O909" s="23">
        <v>49120.02</v>
      </c>
      <c r="P909" s="23" t="s">
        <v>79</v>
      </c>
    </row>
    <row r="910" spans="2:28" x14ac:dyDescent="0.2">
      <c r="C910" s="23">
        <v>1100576916</v>
      </c>
      <c r="E910" s="23">
        <v>10</v>
      </c>
      <c r="F910" s="23" t="s">
        <v>402</v>
      </c>
      <c r="G910" s="23" t="s">
        <v>403</v>
      </c>
      <c r="H910" s="24">
        <v>46255</v>
      </c>
      <c r="I910" s="24">
        <v>46255</v>
      </c>
      <c r="J910" s="23" t="s">
        <v>157</v>
      </c>
      <c r="K910" s="23" t="s">
        <v>157</v>
      </c>
      <c r="L910" s="23">
        <v>1</v>
      </c>
      <c r="M910" s="23" t="s">
        <v>78</v>
      </c>
      <c r="N910" s="23" t="s">
        <v>78</v>
      </c>
      <c r="O910" s="23">
        <v>72742</v>
      </c>
      <c r="P910" s="23" t="s">
        <v>79</v>
      </c>
      <c r="Q910" s="23" t="s">
        <v>83</v>
      </c>
      <c r="R910" s="23">
        <v>11100008</v>
      </c>
      <c r="S910" s="24">
        <v>46255</v>
      </c>
      <c r="T910" s="24">
        <v>46069</v>
      </c>
      <c r="U910" s="24" t="s">
        <v>80</v>
      </c>
      <c r="X910" s="24">
        <v>46064</v>
      </c>
      <c r="Y910" s="23">
        <v>1111</v>
      </c>
      <c r="Z910" s="23">
        <v>11100002</v>
      </c>
      <c r="AA910" s="23">
        <v>5424</v>
      </c>
      <c r="AB910" s="24">
        <v>46069</v>
      </c>
    </row>
    <row r="911" spans="2:28" x14ac:dyDescent="0.2">
      <c r="C911" s="23">
        <v>1100576916</v>
      </c>
      <c r="E911" s="23">
        <v>20</v>
      </c>
      <c r="F911" s="23" t="s">
        <v>402</v>
      </c>
      <c r="G911" s="23" t="s">
        <v>403</v>
      </c>
      <c r="H911" s="24">
        <v>46255</v>
      </c>
      <c r="I911" s="24">
        <v>46255</v>
      </c>
      <c r="J911" s="23" t="s">
        <v>157</v>
      </c>
      <c r="K911" s="23" t="s">
        <v>157</v>
      </c>
      <c r="L911" s="23">
        <v>1</v>
      </c>
      <c r="M911" s="23" t="s">
        <v>78</v>
      </c>
      <c r="N911" s="23" t="s">
        <v>78</v>
      </c>
      <c r="O911" s="23">
        <v>72742</v>
      </c>
      <c r="P911" s="23" t="s">
        <v>79</v>
      </c>
      <c r="Q911" s="23" t="s">
        <v>83</v>
      </c>
      <c r="R911" s="23">
        <v>11100008</v>
      </c>
      <c r="S911" s="24">
        <v>46255</v>
      </c>
      <c r="T911" s="24">
        <v>46069</v>
      </c>
      <c r="U911" s="24" t="s">
        <v>80</v>
      </c>
      <c r="X911" s="24">
        <v>46064</v>
      </c>
      <c r="Y911" s="23">
        <v>1111</v>
      </c>
      <c r="Z911" s="23">
        <v>11100002</v>
      </c>
      <c r="AA911" s="23">
        <v>5424</v>
      </c>
      <c r="AB911" s="24">
        <v>46069</v>
      </c>
    </row>
    <row r="912" spans="2:28" x14ac:dyDescent="0.2">
      <c r="C912" s="23">
        <v>1100576916</v>
      </c>
      <c r="E912" s="23">
        <v>30</v>
      </c>
      <c r="F912" s="23" t="s">
        <v>402</v>
      </c>
      <c r="G912" s="23" t="s">
        <v>403</v>
      </c>
      <c r="H912" s="24">
        <v>46255</v>
      </c>
      <c r="I912" s="24">
        <v>46255</v>
      </c>
      <c r="J912" s="23" t="s">
        <v>157</v>
      </c>
      <c r="K912" s="23" t="s">
        <v>157</v>
      </c>
      <c r="L912" s="23">
        <v>1</v>
      </c>
      <c r="M912" s="23" t="s">
        <v>78</v>
      </c>
      <c r="N912" s="23" t="s">
        <v>78</v>
      </c>
      <c r="O912" s="23">
        <v>72742</v>
      </c>
      <c r="P912" s="23" t="s">
        <v>79</v>
      </c>
      <c r="Q912" s="23" t="s">
        <v>83</v>
      </c>
      <c r="R912" s="23">
        <v>11100008</v>
      </c>
      <c r="S912" s="24">
        <v>46255</v>
      </c>
      <c r="T912" s="24">
        <v>46069</v>
      </c>
      <c r="U912" s="24" t="s">
        <v>80</v>
      </c>
      <c r="X912" s="24">
        <v>46064</v>
      </c>
      <c r="Y912" s="23">
        <v>1111</v>
      </c>
      <c r="Z912" s="23">
        <v>11100002</v>
      </c>
      <c r="AA912" s="23">
        <v>5424</v>
      </c>
      <c r="AB912" s="24">
        <v>46069</v>
      </c>
    </row>
    <row r="913" spans="2:28" x14ac:dyDescent="0.2">
      <c r="C913" s="23">
        <v>1100576916</v>
      </c>
      <c r="E913" s="23">
        <v>40</v>
      </c>
      <c r="F913" s="23" t="s">
        <v>402</v>
      </c>
      <c r="G913" s="23" t="s">
        <v>403</v>
      </c>
      <c r="H913" s="24">
        <v>46255</v>
      </c>
      <c r="I913" s="24">
        <v>46255</v>
      </c>
      <c r="J913" s="23" t="s">
        <v>157</v>
      </c>
      <c r="K913" s="23" t="s">
        <v>157</v>
      </c>
      <c r="L913" s="23">
        <v>1</v>
      </c>
      <c r="M913" s="23" t="s">
        <v>78</v>
      </c>
      <c r="N913" s="23" t="s">
        <v>78</v>
      </c>
      <c r="O913" s="23">
        <v>72742</v>
      </c>
      <c r="P913" s="23" t="s">
        <v>79</v>
      </c>
      <c r="Q913" s="23" t="s">
        <v>83</v>
      </c>
      <c r="R913" s="23">
        <v>11100008</v>
      </c>
      <c r="S913" s="24">
        <v>46255</v>
      </c>
      <c r="T913" s="24">
        <v>46069</v>
      </c>
      <c r="U913" s="24" t="s">
        <v>80</v>
      </c>
      <c r="X913" s="24">
        <v>46064</v>
      </c>
      <c r="Y913" s="23">
        <v>1111</v>
      </c>
      <c r="Z913" s="23">
        <v>11100002</v>
      </c>
      <c r="AA913" s="23">
        <v>5424</v>
      </c>
      <c r="AB913" s="24">
        <v>46069</v>
      </c>
    </row>
    <row r="914" spans="2:28" x14ac:dyDescent="0.2">
      <c r="C914" s="23">
        <v>1100576916</v>
      </c>
      <c r="E914" s="23">
        <v>50</v>
      </c>
      <c r="F914" s="23" t="s">
        <v>402</v>
      </c>
      <c r="G914" s="23" t="s">
        <v>403</v>
      </c>
      <c r="H914" s="24">
        <v>46255</v>
      </c>
      <c r="I914" s="24">
        <v>46255</v>
      </c>
      <c r="J914" s="23" t="s">
        <v>157</v>
      </c>
      <c r="K914" s="23" t="s">
        <v>157</v>
      </c>
      <c r="L914" s="23">
        <v>1</v>
      </c>
      <c r="M914" s="23" t="s">
        <v>78</v>
      </c>
      <c r="N914" s="23" t="s">
        <v>78</v>
      </c>
      <c r="O914" s="23">
        <v>72742</v>
      </c>
      <c r="P914" s="23" t="s">
        <v>79</v>
      </c>
      <c r="Q914" s="23" t="s">
        <v>83</v>
      </c>
      <c r="R914" s="23">
        <v>11100008</v>
      </c>
      <c r="S914" s="24">
        <v>46255</v>
      </c>
      <c r="T914" s="24">
        <v>46069</v>
      </c>
      <c r="U914" s="24" t="s">
        <v>80</v>
      </c>
      <c r="X914" s="24">
        <v>46064</v>
      </c>
      <c r="Y914" s="23">
        <v>1111</v>
      </c>
      <c r="Z914" s="23">
        <v>11100002</v>
      </c>
      <c r="AA914" s="23">
        <v>5424</v>
      </c>
      <c r="AB914" s="24">
        <v>46069</v>
      </c>
    </row>
    <row r="915" spans="2:28" x14ac:dyDescent="0.2">
      <c r="C915" s="23">
        <v>1100576916</v>
      </c>
      <c r="E915" s="23">
        <v>60</v>
      </c>
      <c r="F915" s="23" t="s">
        <v>402</v>
      </c>
      <c r="G915" s="23" t="s">
        <v>403</v>
      </c>
      <c r="H915" s="24">
        <v>46255</v>
      </c>
      <c r="I915" s="24">
        <v>46255</v>
      </c>
      <c r="J915" s="23" t="s">
        <v>157</v>
      </c>
      <c r="K915" s="23" t="s">
        <v>157</v>
      </c>
      <c r="L915" s="23">
        <v>1</v>
      </c>
      <c r="M915" s="23" t="s">
        <v>78</v>
      </c>
      <c r="N915" s="23" t="s">
        <v>78</v>
      </c>
      <c r="O915" s="23">
        <v>72742</v>
      </c>
      <c r="P915" s="23" t="s">
        <v>79</v>
      </c>
      <c r="Q915" s="23" t="s">
        <v>83</v>
      </c>
      <c r="R915" s="23">
        <v>11100008</v>
      </c>
      <c r="S915" s="24">
        <v>46255</v>
      </c>
      <c r="T915" s="24">
        <v>46069</v>
      </c>
      <c r="U915" s="24" t="s">
        <v>80</v>
      </c>
      <c r="X915" s="24">
        <v>46064</v>
      </c>
      <c r="Y915" s="23">
        <v>1111</v>
      </c>
      <c r="Z915" s="23">
        <v>11100002</v>
      </c>
      <c r="AA915" s="23">
        <v>5424</v>
      </c>
      <c r="AB915" s="24">
        <v>46069</v>
      </c>
    </row>
    <row r="916" spans="2:28" x14ac:dyDescent="0.2">
      <c r="B916" s="23" t="s">
        <v>81</v>
      </c>
      <c r="C916" s="23">
        <v>1100576916</v>
      </c>
      <c r="H916" s="24">
        <v>46255</v>
      </c>
      <c r="O916" s="23">
        <v>436452</v>
      </c>
      <c r="P916" s="23" t="s">
        <v>79</v>
      </c>
    </row>
    <row r="917" spans="2:28" x14ac:dyDescent="0.2">
      <c r="C917" s="23">
        <v>1100102766</v>
      </c>
      <c r="E917" s="23">
        <v>750</v>
      </c>
      <c r="F917" s="23" t="s">
        <v>2571</v>
      </c>
      <c r="G917" s="23" t="s">
        <v>305</v>
      </c>
      <c r="H917" s="24">
        <v>46360</v>
      </c>
      <c r="I917" s="24">
        <v>46752</v>
      </c>
      <c r="J917" s="23" t="s">
        <v>2572</v>
      </c>
      <c r="K917" s="23" t="s">
        <v>2572</v>
      </c>
      <c r="L917" s="23">
        <v>1</v>
      </c>
      <c r="M917" s="23" t="s">
        <v>78</v>
      </c>
      <c r="N917" s="23" t="s">
        <v>78</v>
      </c>
      <c r="O917" s="23">
        <v>0</v>
      </c>
      <c r="P917" s="23" t="s">
        <v>79</v>
      </c>
      <c r="Q917" s="23" t="s">
        <v>119</v>
      </c>
      <c r="R917" s="23">
        <v>11100008</v>
      </c>
      <c r="S917" s="24" t="s">
        <v>80</v>
      </c>
      <c r="T917" s="24">
        <v>46056</v>
      </c>
      <c r="U917" s="24">
        <v>46751</v>
      </c>
      <c r="X917" s="24">
        <v>46056</v>
      </c>
      <c r="Y917" s="23">
        <v>1111</v>
      </c>
      <c r="Z917" s="23">
        <v>11400912</v>
      </c>
      <c r="AA917" s="23">
        <v>5261</v>
      </c>
      <c r="AB917" s="24">
        <v>46056</v>
      </c>
    </row>
    <row r="918" spans="2:28" x14ac:dyDescent="0.2">
      <c r="C918" s="23">
        <v>1100102766</v>
      </c>
      <c r="E918" s="23">
        <v>15900</v>
      </c>
      <c r="F918" s="23" t="s">
        <v>2573</v>
      </c>
      <c r="G918" s="23" t="s">
        <v>2574</v>
      </c>
      <c r="H918" s="24">
        <v>46360</v>
      </c>
      <c r="I918" s="24">
        <v>46360</v>
      </c>
      <c r="J918" s="23" t="s">
        <v>2572</v>
      </c>
      <c r="K918" s="23" t="s">
        <v>2572</v>
      </c>
      <c r="L918" s="23">
        <v>1</v>
      </c>
      <c r="M918" s="23" t="s">
        <v>78</v>
      </c>
      <c r="N918" s="23" t="s">
        <v>78</v>
      </c>
      <c r="O918" s="23">
        <v>94903</v>
      </c>
      <c r="P918" s="23" t="s">
        <v>79</v>
      </c>
      <c r="Q918" s="23" t="s">
        <v>119</v>
      </c>
      <c r="R918" s="23">
        <v>11100008</v>
      </c>
      <c r="S918" s="24" t="s">
        <v>80</v>
      </c>
      <c r="T918" s="24">
        <v>46056</v>
      </c>
      <c r="U918" s="24">
        <v>46751</v>
      </c>
      <c r="X918" s="24">
        <v>46056</v>
      </c>
      <c r="Y918" s="23">
        <v>1111</v>
      </c>
      <c r="Z918" s="23">
        <v>11400912</v>
      </c>
      <c r="AA918" s="23">
        <v>5261</v>
      </c>
      <c r="AB918" s="24">
        <v>46056</v>
      </c>
    </row>
    <row r="919" spans="2:28" x14ac:dyDescent="0.2">
      <c r="C919" s="23">
        <v>1100102766</v>
      </c>
      <c r="E919" s="23">
        <v>16500</v>
      </c>
      <c r="F919" s="23" t="s">
        <v>2575</v>
      </c>
      <c r="G919" s="23" t="s">
        <v>2576</v>
      </c>
      <c r="H919" s="24">
        <v>46360</v>
      </c>
      <c r="I919" s="24">
        <v>46360</v>
      </c>
      <c r="J919" s="23" t="s">
        <v>2572</v>
      </c>
      <c r="K919" s="23" t="s">
        <v>2572</v>
      </c>
      <c r="L919" s="23">
        <v>1</v>
      </c>
      <c r="M919" s="23" t="s">
        <v>78</v>
      </c>
      <c r="N919" s="23" t="s">
        <v>78</v>
      </c>
      <c r="O919" s="23">
        <v>103612</v>
      </c>
      <c r="P919" s="23" t="s">
        <v>79</v>
      </c>
      <c r="Q919" s="23" t="s">
        <v>119</v>
      </c>
      <c r="R919" s="23">
        <v>11100008</v>
      </c>
      <c r="S919" s="24" t="s">
        <v>80</v>
      </c>
      <c r="T919" s="24">
        <v>46056</v>
      </c>
      <c r="U919" s="24">
        <v>46751</v>
      </c>
      <c r="X919" s="24">
        <v>46056</v>
      </c>
      <c r="Y919" s="23">
        <v>1111</v>
      </c>
      <c r="Z919" s="23">
        <v>11400912</v>
      </c>
      <c r="AA919" s="23">
        <v>5261</v>
      </c>
      <c r="AB919" s="24">
        <v>46056</v>
      </c>
    </row>
    <row r="920" spans="2:28" x14ac:dyDescent="0.2">
      <c r="B920" s="23" t="s">
        <v>81</v>
      </c>
      <c r="C920" s="23">
        <v>1100102766</v>
      </c>
      <c r="H920" s="24">
        <v>46360</v>
      </c>
      <c r="O920" s="23">
        <v>198515</v>
      </c>
      <c r="P920" s="23" t="s">
        <v>79</v>
      </c>
    </row>
    <row r="921" spans="2:28" x14ac:dyDescent="0.2">
      <c r="C921" s="23">
        <v>1100564814</v>
      </c>
      <c r="E921" s="23">
        <v>10</v>
      </c>
      <c r="F921" s="23" t="s">
        <v>1591</v>
      </c>
      <c r="G921" s="23" t="s">
        <v>1592</v>
      </c>
      <c r="H921" s="24">
        <v>46385</v>
      </c>
      <c r="I921" s="24">
        <v>46385</v>
      </c>
      <c r="J921" s="23" t="s">
        <v>1593</v>
      </c>
      <c r="K921" s="23" t="s">
        <v>1593</v>
      </c>
      <c r="L921" s="23">
        <v>1</v>
      </c>
      <c r="M921" s="23" t="s">
        <v>78</v>
      </c>
      <c r="N921" s="23" t="s">
        <v>78</v>
      </c>
      <c r="O921" s="23">
        <v>397057</v>
      </c>
      <c r="P921" s="23" t="s">
        <v>79</v>
      </c>
      <c r="Q921" s="23" t="s">
        <v>83</v>
      </c>
      <c r="R921" s="23">
        <v>11100018</v>
      </c>
      <c r="S921" s="24">
        <v>46237</v>
      </c>
      <c r="T921" s="24">
        <v>45930</v>
      </c>
      <c r="U921" s="24">
        <v>46752</v>
      </c>
      <c r="X921" s="24">
        <v>45894</v>
      </c>
      <c r="Y921" s="23">
        <v>1111</v>
      </c>
      <c r="Z921" s="23">
        <v>11100002</v>
      </c>
      <c r="AA921" s="23">
        <v>3980</v>
      </c>
      <c r="AB921" s="24">
        <v>45930</v>
      </c>
    </row>
    <row r="922" spans="2:28" x14ac:dyDescent="0.2">
      <c r="C922" s="23">
        <v>1100564814</v>
      </c>
      <c r="E922" s="23">
        <v>20</v>
      </c>
      <c r="F922" s="23" t="s">
        <v>1594</v>
      </c>
      <c r="G922" s="23" t="s">
        <v>1595</v>
      </c>
      <c r="H922" s="24">
        <v>46385</v>
      </c>
      <c r="I922" s="24">
        <v>46385</v>
      </c>
      <c r="J922" s="23" t="s">
        <v>1593</v>
      </c>
      <c r="K922" s="23" t="s">
        <v>1593</v>
      </c>
      <c r="L922" s="23">
        <v>1</v>
      </c>
      <c r="M922" s="23" t="s">
        <v>78</v>
      </c>
      <c r="N922" s="23" t="s">
        <v>78</v>
      </c>
      <c r="O922" s="23">
        <v>22494</v>
      </c>
      <c r="P922" s="23" t="s">
        <v>79</v>
      </c>
      <c r="Q922" s="23" t="s">
        <v>83</v>
      </c>
      <c r="R922" s="23">
        <v>11100018</v>
      </c>
      <c r="S922" s="24">
        <v>46237</v>
      </c>
      <c r="T922" s="24">
        <v>45930</v>
      </c>
      <c r="U922" s="24">
        <v>46752</v>
      </c>
      <c r="X922" s="24">
        <v>45894</v>
      </c>
      <c r="Y922" s="23">
        <v>1111</v>
      </c>
      <c r="Z922" s="23">
        <v>11100002</v>
      </c>
      <c r="AA922" s="23">
        <v>3980</v>
      </c>
      <c r="AB922" s="24">
        <v>45930</v>
      </c>
    </row>
    <row r="923" spans="2:28" x14ac:dyDescent="0.2">
      <c r="C923" s="23">
        <v>1100564814</v>
      </c>
      <c r="E923" s="23">
        <v>25</v>
      </c>
      <c r="F923" s="23" t="s">
        <v>1596</v>
      </c>
      <c r="G923" s="23" t="s">
        <v>1597</v>
      </c>
      <c r="H923" s="24">
        <v>46385</v>
      </c>
      <c r="I923" s="24">
        <v>46385</v>
      </c>
      <c r="J923" s="23" t="s">
        <v>1593</v>
      </c>
      <c r="K923" s="23" t="s">
        <v>1593</v>
      </c>
      <c r="L923" s="23">
        <v>1</v>
      </c>
      <c r="M923" s="23" t="s">
        <v>78</v>
      </c>
      <c r="N923" s="23" t="s">
        <v>78</v>
      </c>
      <c r="O923" s="23">
        <v>42305</v>
      </c>
      <c r="P923" s="23" t="s">
        <v>79</v>
      </c>
      <c r="Q923" s="23" t="s">
        <v>83</v>
      </c>
      <c r="R923" s="23">
        <v>11100018</v>
      </c>
      <c r="S923" s="24">
        <v>46237</v>
      </c>
      <c r="T923" s="24">
        <v>45930</v>
      </c>
      <c r="U923" s="24">
        <v>46752</v>
      </c>
      <c r="X923" s="24">
        <v>45894</v>
      </c>
      <c r="Y923" s="23">
        <v>1111</v>
      </c>
      <c r="Z923" s="23">
        <v>11100002</v>
      </c>
      <c r="AA923" s="23">
        <v>3980</v>
      </c>
      <c r="AB923" s="24">
        <v>45930</v>
      </c>
    </row>
    <row r="924" spans="2:28" x14ac:dyDescent="0.2">
      <c r="C924" s="23">
        <v>1100564814</v>
      </c>
      <c r="E924" s="23">
        <v>26</v>
      </c>
      <c r="F924" s="23" t="s">
        <v>1598</v>
      </c>
      <c r="G924" s="23" t="s">
        <v>1599</v>
      </c>
      <c r="H924" s="24">
        <v>46385</v>
      </c>
      <c r="I924" s="24">
        <v>46385</v>
      </c>
      <c r="J924" s="23" t="s">
        <v>1593</v>
      </c>
      <c r="K924" s="23" t="s">
        <v>1593</v>
      </c>
      <c r="L924" s="23">
        <v>1</v>
      </c>
      <c r="M924" s="23" t="s">
        <v>78</v>
      </c>
      <c r="N924" s="23" t="s">
        <v>78</v>
      </c>
      <c r="O924" s="23">
        <v>0.01</v>
      </c>
      <c r="P924" s="23" t="s">
        <v>79</v>
      </c>
      <c r="Q924" s="23" t="s">
        <v>83</v>
      </c>
      <c r="R924" s="23">
        <v>11100018</v>
      </c>
      <c r="S924" s="24" t="s">
        <v>80</v>
      </c>
      <c r="T924" s="24">
        <v>45930</v>
      </c>
      <c r="U924" s="24">
        <v>46752</v>
      </c>
      <c r="X924" s="24">
        <v>45894</v>
      </c>
      <c r="Y924" s="23">
        <v>1111</v>
      </c>
      <c r="Z924" s="23">
        <v>11100002</v>
      </c>
      <c r="AA924" s="23">
        <v>3980</v>
      </c>
      <c r="AB924" s="24">
        <v>45930</v>
      </c>
    </row>
    <row r="925" spans="2:28" x14ac:dyDescent="0.2">
      <c r="C925" s="23">
        <v>1100564814</v>
      </c>
      <c r="E925" s="23">
        <v>30</v>
      </c>
      <c r="F925" s="23" t="s">
        <v>288</v>
      </c>
      <c r="G925" s="23" t="s">
        <v>289</v>
      </c>
      <c r="H925" s="24">
        <v>46385</v>
      </c>
      <c r="I925" s="24">
        <v>46385</v>
      </c>
      <c r="J925" s="23" t="s">
        <v>1593</v>
      </c>
      <c r="K925" s="23" t="s">
        <v>1593</v>
      </c>
      <c r="L925" s="23">
        <v>1</v>
      </c>
      <c r="M925" s="23" t="s">
        <v>131</v>
      </c>
      <c r="N925" s="23" t="s">
        <v>131</v>
      </c>
      <c r="O925" s="23">
        <v>11611</v>
      </c>
      <c r="P925" s="23" t="s">
        <v>79</v>
      </c>
      <c r="Q925" s="23" t="s">
        <v>83</v>
      </c>
      <c r="R925" s="23">
        <v>11100018</v>
      </c>
      <c r="S925" s="24">
        <v>46237</v>
      </c>
      <c r="T925" s="24">
        <v>45930</v>
      </c>
      <c r="U925" s="24">
        <v>46752</v>
      </c>
      <c r="X925" s="24">
        <v>45894</v>
      </c>
      <c r="Y925" s="23">
        <v>1111</v>
      </c>
      <c r="Z925" s="23">
        <v>11100002</v>
      </c>
      <c r="AA925" s="23">
        <v>3980</v>
      </c>
      <c r="AB925" s="24">
        <v>45930</v>
      </c>
    </row>
    <row r="926" spans="2:28" x14ac:dyDescent="0.2">
      <c r="C926" s="23">
        <v>1100564814</v>
      </c>
      <c r="E926" s="23">
        <v>40</v>
      </c>
      <c r="F926" s="23" t="s">
        <v>293</v>
      </c>
      <c r="G926" s="23" t="s">
        <v>294</v>
      </c>
      <c r="H926" s="24">
        <v>46385</v>
      </c>
      <c r="I926" s="24">
        <v>46752</v>
      </c>
      <c r="J926" s="23" t="s">
        <v>1593</v>
      </c>
      <c r="K926" s="23" t="s">
        <v>1593</v>
      </c>
      <c r="L926" s="23">
        <v>1</v>
      </c>
      <c r="M926" s="23" t="s">
        <v>78</v>
      </c>
      <c r="N926" s="23" t="s">
        <v>78</v>
      </c>
      <c r="O926" s="23">
        <v>27217</v>
      </c>
      <c r="P926" s="23" t="s">
        <v>79</v>
      </c>
      <c r="Q926" s="23" t="s">
        <v>83</v>
      </c>
      <c r="R926" s="23">
        <v>11100018</v>
      </c>
      <c r="S926" s="24">
        <v>46237</v>
      </c>
      <c r="T926" s="24">
        <v>45930</v>
      </c>
      <c r="U926" s="24">
        <v>46752</v>
      </c>
      <c r="X926" s="24">
        <v>45894</v>
      </c>
      <c r="Y926" s="23">
        <v>1111</v>
      </c>
      <c r="Z926" s="23">
        <v>11100002</v>
      </c>
      <c r="AA926" s="23">
        <v>3980</v>
      </c>
      <c r="AB926" s="24">
        <v>45930</v>
      </c>
    </row>
    <row r="927" spans="2:28" x14ac:dyDescent="0.2">
      <c r="C927" s="23">
        <v>1100564814</v>
      </c>
      <c r="E927" s="23">
        <v>50</v>
      </c>
      <c r="F927" s="23" t="s">
        <v>84</v>
      </c>
      <c r="G927" s="23" t="s">
        <v>123</v>
      </c>
      <c r="H927" s="24">
        <v>46385</v>
      </c>
      <c r="I927" s="24">
        <v>46385</v>
      </c>
      <c r="J927" s="23" t="s">
        <v>1593</v>
      </c>
      <c r="K927" s="23" t="s">
        <v>1593</v>
      </c>
      <c r="L927" s="23">
        <v>1</v>
      </c>
      <c r="M927" s="23" t="s">
        <v>78</v>
      </c>
      <c r="N927" s="23" t="s">
        <v>78</v>
      </c>
      <c r="O927" s="23">
        <v>0.01</v>
      </c>
      <c r="P927" s="23" t="s">
        <v>79</v>
      </c>
      <c r="Q927" s="23" t="s">
        <v>83</v>
      </c>
      <c r="R927" s="23">
        <v>11100018</v>
      </c>
      <c r="S927" s="24" t="s">
        <v>80</v>
      </c>
      <c r="T927" s="24">
        <v>45930</v>
      </c>
      <c r="U927" s="24">
        <v>46752</v>
      </c>
      <c r="X927" s="24">
        <v>45894</v>
      </c>
      <c r="Y927" s="23">
        <v>1111</v>
      </c>
      <c r="Z927" s="23">
        <v>11100002</v>
      </c>
      <c r="AA927" s="23">
        <v>3980</v>
      </c>
      <c r="AB927" s="24">
        <v>45930</v>
      </c>
    </row>
    <row r="928" spans="2:28" x14ac:dyDescent="0.2">
      <c r="B928" s="23" t="s">
        <v>81</v>
      </c>
      <c r="C928" s="23">
        <v>1100564814</v>
      </c>
      <c r="H928" s="24">
        <v>46385</v>
      </c>
      <c r="O928" s="23">
        <v>500684.02</v>
      </c>
      <c r="P928" s="23" t="s">
        <v>79</v>
      </c>
    </row>
    <row r="929" spans="2:28" x14ac:dyDescent="0.2">
      <c r="C929" s="23">
        <v>1100102030</v>
      </c>
      <c r="E929" s="23">
        <v>750</v>
      </c>
      <c r="F929" s="23" t="s">
        <v>355</v>
      </c>
      <c r="G929" s="23" t="s">
        <v>327</v>
      </c>
      <c r="H929" s="24">
        <v>46387</v>
      </c>
      <c r="I929" s="24">
        <v>46387</v>
      </c>
      <c r="J929" s="23" t="s">
        <v>161</v>
      </c>
      <c r="K929" s="23" t="s">
        <v>161</v>
      </c>
      <c r="L929" s="23">
        <v>1</v>
      </c>
      <c r="M929" s="23" t="s">
        <v>78</v>
      </c>
      <c r="N929" s="23" t="s">
        <v>78</v>
      </c>
      <c r="O929" s="23">
        <v>0</v>
      </c>
      <c r="P929" s="23" t="s">
        <v>79</v>
      </c>
      <c r="Q929" s="23" t="s">
        <v>83</v>
      </c>
      <c r="R929" s="23">
        <v>11100189</v>
      </c>
      <c r="S929" s="24" t="s">
        <v>80</v>
      </c>
      <c r="T929" s="24">
        <v>44264</v>
      </c>
      <c r="U929" s="24">
        <v>44925</v>
      </c>
      <c r="X929" s="24">
        <v>44264</v>
      </c>
      <c r="Y929" s="23">
        <v>1111</v>
      </c>
      <c r="Z929" s="23">
        <v>11400129</v>
      </c>
      <c r="AA929" s="23">
        <v>5161</v>
      </c>
      <c r="AB929" s="24">
        <v>44281</v>
      </c>
    </row>
    <row r="930" spans="2:28" x14ac:dyDescent="0.2">
      <c r="B930" s="23" t="s">
        <v>81</v>
      </c>
      <c r="C930" s="23">
        <v>1100102030</v>
      </c>
      <c r="H930" s="24">
        <v>46387</v>
      </c>
      <c r="O930" s="23">
        <v>0</v>
      </c>
      <c r="P930" s="23" t="s">
        <v>79</v>
      </c>
    </row>
    <row r="931" spans="2:28" x14ac:dyDescent="0.2">
      <c r="C931" s="23">
        <v>1100521391</v>
      </c>
      <c r="E931" s="23">
        <v>10</v>
      </c>
      <c r="F931" s="23" t="s">
        <v>367</v>
      </c>
      <c r="G931" s="23" t="s">
        <v>368</v>
      </c>
      <c r="H931" s="24">
        <v>46387</v>
      </c>
      <c r="I931" s="24">
        <v>46387</v>
      </c>
      <c r="J931" s="23" t="s">
        <v>369</v>
      </c>
      <c r="K931" s="23" t="s">
        <v>369</v>
      </c>
      <c r="L931" s="23">
        <v>1</v>
      </c>
      <c r="M931" s="23" t="s">
        <v>78</v>
      </c>
      <c r="N931" s="23" t="s">
        <v>78</v>
      </c>
      <c r="O931" s="23">
        <v>0</v>
      </c>
      <c r="P931" s="23" t="s">
        <v>79</v>
      </c>
      <c r="Q931" s="23" t="s">
        <v>83</v>
      </c>
      <c r="R931" s="23">
        <v>11100008</v>
      </c>
      <c r="S931" s="24">
        <v>45488</v>
      </c>
      <c r="T931" s="24">
        <v>45357</v>
      </c>
      <c r="U931" s="24" t="s">
        <v>80</v>
      </c>
      <c r="X931" s="24">
        <v>45357</v>
      </c>
      <c r="Y931" s="23">
        <v>1111</v>
      </c>
      <c r="Z931" s="23">
        <v>11100002</v>
      </c>
      <c r="AA931" s="23">
        <v>3901</v>
      </c>
      <c r="AB931" s="24">
        <v>45357</v>
      </c>
    </row>
    <row r="932" spans="2:28" x14ac:dyDescent="0.2">
      <c r="C932" s="23">
        <v>1100521391</v>
      </c>
      <c r="E932" s="23">
        <v>20</v>
      </c>
      <c r="F932" s="23" t="s">
        <v>370</v>
      </c>
      <c r="G932" s="23" t="s">
        <v>371</v>
      </c>
      <c r="H932" s="24">
        <v>46387</v>
      </c>
      <c r="I932" s="24">
        <v>46387</v>
      </c>
      <c r="J932" s="23" t="s">
        <v>369</v>
      </c>
      <c r="K932" s="23" t="s">
        <v>369</v>
      </c>
      <c r="L932" s="23">
        <v>1</v>
      </c>
      <c r="M932" s="23" t="s">
        <v>78</v>
      </c>
      <c r="N932" s="23" t="s">
        <v>78</v>
      </c>
      <c r="O932" s="23">
        <v>0</v>
      </c>
      <c r="P932" s="23" t="s">
        <v>79</v>
      </c>
      <c r="Q932" s="23" t="s">
        <v>83</v>
      </c>
      <c r="R932" s="23">
        <v>11100008</v>
      </c>
      <c r="S932" s="24">
        <v>45488</v>
      </c>
      <c r="T932" s="24">
        <v>45357</v>
      </c>
      <c r="U932" s="24" t="s">
        <v>80</v>
      </c>
      <c r="X932" s="24">
        <v>45357</v>
      </c>
      <c r="Y932" s="23">
        <v>1111</v>
      </c>
      <c r="Z932" s="23">
        <v>11100002</v>
      </c>
      <c r="AA932" s="23">
        <v>3901</v>
      </c>
      <c r="AB932" s="24">
        <v>45357</v>
      </c>
    </row>
    <row r="933" spans="2:28" x14ac:dyDescent="0.2">
      <c r="B933" s="23" t="s">
        <v>81</v>
      </c>
      <c r="C933" s="23">
        <v>1100521391</v>
      </c>
      <c r="H933" s="24">
        <v>46387</v>
      </c>
      <c r="O933" s="23">
        <v>0</v>
      </c>
      <c r="P933" s="23" t="s">
        <v>79</v>
      </c>
    </row>
    <row r="934" spans="2:28" x14ac:dyDescent="0.2">
      <c r="C934" s="23">
        <v>1100101473</v>
      </c>
      <c r="E934" s="23">
        <v>11</v>
      </c>
      <c r="F934" s="23" t="s">
        <v>372</v>
      </c>
      <c r="G934" s="23" t="s">
        <v>373</v>
      </c>
      <c r="H934" s="24">
        <v>46752</v>
      </c>
      <c r="I934" s="24">
        <v>46752</v>
      </c>
      <c r="J934" s="23" t="s">
        <v>374</v>
      </c>
      <c r="K934" s="23" t="s">
        <v>374</v>
      </c>
      <c r="L934" s="23">
        <v>1</v>
      </c>
      <c r="M934" s="23" t="s">
        <v>78</v>
      </c>
      <c r="N934" s="23" t="s">
        <v>78</v>
      </c>
      <c r="O934" s="23">
        <v>0</v>
      </c>
      <c r="P934" s="23" t="s">
        <v>79</v>
      </c>
      <c r="Q934" s="23" t="s">
        <v>83</v>
      </c>
      <c r="R934" s="23">
        <v>11100008</v>
      </c>
      <c r="S934" s="24" t="s">
        <v>80</v>
      </c>
      <c r="T934" s="24">
        <v>43000</v>
      </c>
      <c r="U934" s="24">
        <v>44196</v>
      </c>
      <c r="X934" s="24" t="s">
        <v>80</v>
      </c>
      <c r="Y934" s="23">
        <v>1111</v>
      </c>
      <c r="Z934" s="23">
        <v>11400129</v>
      </c>
      <c r="AA934" s="23">
        <v>3301</v>
      </c>
      <c r="AB934" s="24" t="s">
        <v>80</v>
      </c>
    </row>
    <row r="935" spans="2:28" x14ac:dyDescent="0.2">
      <c r="C935" s="23">
        <v>1100101473</v>
      </c>
      <c r="E935" s="23">
        <v>101</v>
      </c>
      <c r="F935" s="23" t="s">
        <v>372</v>
      </c>
      <c r="G935" s="23" t="s">
        <v>373</v>
      </c>
      <c r="H935" s="24">
        <v>46752</v>
      </c>
      <c r="I935" s="24">
        <v>46752</v>
      </c>
      <c r="J935" s="23" t="s">
        <v>374</v>
      </c>
      <c r="K935" s="23" t="s">
        <v>374</v>
      </c>
      <c r="L935" s="23">
        <v>1</v>
      </c>
      <c r="M935" s="23" t="s">
        <v>78</v>
      </c>
      <c r="N935" s="23" t="s">
        <v>78</v>
      </c>
      <c r="O935" s="23">
        <v>0</v>
      </c>
      <c r="P935" s="23" t="s">
        <v>79</v>
      </c>
      <c r="Q935" s="23" t="s">
        <v>83</v>
      </c>
      <c r="R935" s="23">
        <v>11100008</v>
      </c>
      <c r="S935" s="24" t="s">
        <v>80</v>
      </c>
      <c r="T935" s="24">
        <v>43000</v>
      </c>
      <c r="U935" s="24">
        <v>44196</v>
      </c>
      <c r="X935" s="24" t="s">
        <v>80</v>
      </c>
      <c r="Y935" s="23">
        <v>1111</v>
      </c>
      <c r="Z935" s="23">
        <v>11400129</v>
      </c>
      <c r="AA935" s="23">
        <v>3301</v>
      </c>
      <c r="AB935" s="24" t="s">
        <v>80</v>
      </c>
    </row>
    <row r="936" spans="2:28" x14ac:dyDescent="0.2">
      <c r="B936" s="23" t="s">
        <v>81</v>
      </c>
      <c r="C936" s="23">
        <v>1100101473</v>
      </c>
      <c r="H936" s="24">
        <v>46752</v>
      </c>
      <c r="O936" s="23">
        <v>0</v>
      </c>
      <c r="P936" s="23" t="s">
        <v>79</v>
      </c>
    </row>
    <row r="937" spans="2:28" x14ac:dyDescent="0.2">
      <c r="C937" s="23">
        <v>1100102278</v>
      </c>
      <c r="E937" s="23">
        <v>750</v>
      </c>
      <c r="F937" s="23" t="s">
        <v>375</v>
      </c>
      <c r="G937" s="23" t="s">
        <v>324</v>
      </c>
      <c r="H937" s="24">
        <v>46752</v>
      </c>
      <c r="I937" s="24">
        <v>45657</v>
      </c>
      <c r="J937" s="23" t="s">
        <v>304</v>
      </c>
      <c r="K937" s="23" t="s">
        <v>304</v>
      </c>
      <c r="L937" s="23">
        <v>1</v>
      </c>
      <c r="M937" s="23" t="s">
        <v>78</v>
      </c>
      <c r="N937" s="23" t="s">
        <v>78</v>
      </c>
      <c r="O937" s="23">
        <v>0</v>
      </c>
      <c r="P937" s="23" t="s">
        <v>79</v>
      </c>
      <c r="Q937" s="23" t="s">
        <v>83</v>
      </c>
      <c r="R937" s="23">
        <v>11100008</v>
      </c>
      <c r="S937" s="24" t="s">
        <v>80</v>
      </c>
      <c r="T937" s="24">
        <v>44925</v>
      </c>
      <c r="U937" s="24">
        <v>45273</v>
      </c>
      <c r="X937" s="24">
        <v>44925</v>
      </c>
      <c r="Y937" s="23">
        <v>1111</v>
      </c>
      <c r="Z937" s="23">
        <v>11400129</v>
      </c>
      <c r="AA937" s="23">
        <v>3401</v>
      </c>
      <c r="AB937" s="24">
        <v>45166</v>
      </c>
    </row>
    <row r="938" spans="2:28" x14ac:dyDescent="0.2">
      <c r="C938" s="23">
        <v>1100102278</v>
      </c>
      <c r="E938" s="23">
        <v>29700</v>
      </c>
      <c r="F938" s="23" t="s">
        <v>2577</v>
      </c>
      <c r="G938" s="23" t="s">
        <v>2578</v>
      </c>
      <c r="H938" s="24">
        <v>46752</v>
      </c>
      <c r="I938" s="24">
        <v>46752</v>
      </c>
      <c r="J938" s="23" t="s">
        <v>304</v>
      </c>
      <c r="K938" s="23" t="s">
        <v>304</v>
      </c>
      <c r="L938" s="23">
        <v>1</v>
      </c>
      <c r="M938" s="23" t="s">
        <v>78</v>
      </c>
      <c r="N938" s="23" t="s">
        <v>78</v>
      </c>
      <c r="O938" s="23">
        <v>0</v>
      </c>
      <c r="P938" s="23" t="s">
        <v>79</v>
      </c>
      <c r="Q938" s="23" t="s">
        <v>119</v>
      </c>
      <c r="R938" s="23">
        <v>11100008</v>
      </c>
      <c r="S938" s="24">
        <v>45201</v>
      </c>
      <c r="T938" s="24">
        <v>44925</v>
      </c>
      <c r="U938" s="24">
        <v>45657</v>
      </c>
      <c r="X938" s="24">
        <v>44925</v>
      </c>
      <c r="Y938" s="23">
        <v>1111</v>
      </c>
      <c r="Z938" s="23">
        <v>11400129</v>
      </c>
      <c r="AA938" s="23">
        <v>3401</v>
      </c>
      <c r="AB938" s="24">
        <v>45105</v>
      </c>
    </row>
    <row r="939" spans="2:28" x14ac:dyDescent="0.2">
      <c r="C939" s="23">
        <v>1100102278</v>
      </c>
      <c r="E939" s="23">
        <v>29900</v>
      </c>
      <c r="F939" s="23" t="s">
        <v>2579</v>
      </c>
      <c r="G939" s="23" t="s">
        <v>2580</v>
      </c>
      <c r="H939" s="24">
        <v>46752</v>
      </c>
      <c r="I939" s="24">
        <v>46752</v>
      </c>
      <c r="J939" s="23" t="s">
        <v>304</v>
      </c>
      <c r="K939" s="23" t="s">
        <v>304</v>
      </c>
      <c r="L939" s="23">
        <v>1</v>
      </c>
      <c r="M939" s="23" t="s">
        <v>78</v>
      </c>
      <c r="N939" s="23" t="s">
        <v>78</v>
      </c>
      <c r="O939" s="23">
        <v>0</v>
      </c>
      <c r="P939" s="23" t="s">
        <v>79</v>
      </c>
      <c r="Q939" s="23" t="s">
        <v>119</v>
      </c>
      <c r="R939" s="23">
        <v>11100008</v>
      </c>
      <c r="S939" s="24">
        <v>45201</v>
      </c>
      <c r="T939" s="24">
        <v>44925</v>
      </c>
      <c r="U939" s="24">
        <v>45657</v>
      </c>
      <c r="X939" s="24">
        <v>44925</v>
      </c>
      <c r="Y939" s="23">
        <v>1111</v>
      </c>
      <c r="Z939" s="23">
        <v>11400129</v>
      </c>
      <c r="AA939" s="23">
        <v>3401</v>
      </c>
      <c r="AB939" s="24">
        <v>45118</v>
      </c>
    </row>
    <row r="940" spans="2:28" x14ac:dyDescent="0.2">
      <c r="C940" s="23">
        <v>1100102278</v>
      </c>
      <c r="E940" s="23">
        <v>30000</v>
      </c>
      <c r="F940" s="23" t="s">
        <v>2581</v>
      </c>
      <c r="G940" s="23" t="s">
        <v>2582</v>
      </c>
      <c r="H940" s="24">
        <v>46752</v>
      </c>
      <c r="I940" s="24">
        <v>46752</v>
      </c>
      <c r="J940" s="23" t="s">
        <v>304</v>
      </c>
      <c r="K940" s="23" t="s">
        <v>304</v>
      </c>
      <c r="L940" s="23">
        <v>1</v>
      </c>
      <c r="M940" s="23" t="s">
        <v>78</v>
      </c>
      <c r="N940" s="23" t="s">
        <v>78</v>
      </c>
      <c r="O940" s="23">
        <v>0</v>
      </c>
      <c r="P940" s="23" t="s">
        <v>79</v>
      </c>
      <c r="Q940" s="23" t="s">
        <v>119</v>
      </c>
      <c r="R940" s="23">
        <v>11100008</v>
      </c>
      <c r="S940" s="24">
        <v>45201</v>
      </c>
      <c r="T940" s="24">
        <v>44925</v>
      </c>
      <c r="U940" s="24">
        <v>45657</v>
      </c>
      <c r="X940" s="24">
        <v>44925</v>
      </c>
      <c r="Y940" s="23">
        <v>1111</v>
      </c>
      <c r="Z940" s="23">
        <v>11400129</v>
      </c>
      <c r="AA940" s="23">
        <v>3401</v>
      </c>
      <c r="AB940" s="24">
        <v>45118</v>
      </c>
    </row>
    <row r="941" spans="2:28" x14ac:dyDescent="0.2">
      <c r="C941" s="23">
        <v>1100102278</v>
      </c>
      <c r="E941" s="23">
        <v>30100</v>
      </c>
      <c r="F941" s="23" t="s">
        <v>2583</v>
      </c>
      <c r="G941" s="23" t="s">
        <v>2584</v>
      </c>
      <c r="H941" s="24">
        <v>46752</v>
      </c>
      <c r="I941" s="24">
        <v>46752</v>
      </c>
      <c r="J941" s="23" t="s">
        <v>304</v>
      </c>
      <c r="K941" s="23" t="s">
        <v>304</v>
      </c>
      <c r="L941" s="23">
        <v>1</v>
      </c>
      <c r="M941" s="23" t="s">
        <v>78</v>
      </c>
      <c r="N941" s="23" t="s">
        <v>78</v>
      </c>
      <c r="O941" s="23">
        <v>0</v>
      </c>
      <c r="P941" s="23" t="s">
        <v>79</v>
      </c>
      <c r="Q941" s="23" t="s">
        <v>119</v>
      </c>
      <c r="R941" s="23">
        <v>11100008</v>
      </c>
      <c r="S941" s="24">
        <v>45201</v>
      </c>
      <c r="T941" s="24">
        <v>44925</v>
      </c>
      <c r="U941" s="24">
        <v>45657</v>
      </c>
      <c r="X941" s="24">
        <v>44925</v>
      </c>
      <c r="Y941" s="23">
        <v>1111</v>
      </c>
      <c r="Z941" s="23">
        <v>11400129</v>
      </c>
      <c r="AA941" s="23">
        <v>3401</v>
      </c>
      <c r="AB941" s="24">
        <v>45118</v>
      </c>
    </row>
    <row r="942" spans="2:28" x14ac:dyDescent="0.2">
      <c r="C942" s="23">
        <v>1100102278</v>
      </c>
      <c r="E942" s="23">
        <v>30200</v>
      </c>
      <c r="F942" s="23" t="s">
        <v>2585</v>
      </c>
      <c r="G942" s="23" t="s">
        <v>2586</v>
      </c>
      <c r="H942" s="24">
        <v>46752</v>
      </c>
      <c r="I942" s="24">
        <v>46752</v>
      </c>
      <c r="J942" s="23" t="s">
        <v>304</v>
      </c>
      <c r="K942" s="23" t="s">
        <v>304</v>
      </c>
      <c r="L942" s="23">
        <v>1</v>
      </c>
      <c r="M942" s="23" t="s">
        <v>78</v>
      </c>
      <c r="N942" s="23" t="s">
        <v>78</v>
      </c>
      <c r="O942" s="23">
        <v>0</v>
      </c>
      <c r="P942" s="23" t="s">
        <v>79</v>
      </c>
      <c r="Q942" s="23" t="s">
        <v>119</v>
      </c>
      <c r="R942" s="23">
        <v>11100008</v>
      </c>
      <c r="S942" s="24">
        <v>45201</v>
      </c>
      <c r="T942" s="24">
        <v>44925</v>
      </c>
      <c r="U942" s="24">
        <v>45657</v>
      </c>
      <c r="X942" s="24">
        <v>44925</v>
      </c>
      <c r="Y942" s="23">
        <v>1111</v>
      </c>
      <c r="Z942" s="23">
        <v>11400129</v>
      </c>
      <c r="AA942" s="23">
        <v>3401</v>
      </c>
      <c r="AB942" s="24">
        <v>45118</v>
      </c>
    </row>
    <row r="943" spans="2:28" x14ac:dyDescent="0.2">
      <c r="C943" s="23">
        <v>1100102278</v>
      </c>
      <c r="E943" s="23">
        <v>30300</v>
      </c>
      <c r="F943" s="23" t="s">
        <v>2587</v>
      </c>
      <c r="G943" s="23" t="s">
        <v>2588</v>
      </c>
      <c r="H943" s="24">
        <v>46752</v>
      </c>
      <c r="I943" s="24">
        <v>46752</v>
      </c>
      <c r="J943" s="23" t="s">
        <v>304</v>
      </c>
      <c r="K943" s="23" t="s">
        <v>304</v>
      </c>
      <c r="L943" s="23">
        <v>1</v>
      </c>
      <c r="M943" s="23" t="s">
        <v>78</v>
      </c>
      <c r="N943" s="23" t="s">
        <v>78</v>
      </c>
      <c r="O943" s="23">
        <v>0</v>
      </c>
      <c r="P943" s="23" t="s">
        <v>79</v>
      </c>
      <c r="Q943" s="23" t="s">
        <v>119</v>
      </c>
      <c r="R943" s="23">
        <v>11100008</v>
      </c>
      <c r="S943" s="24">
        <v>45201</v>
      </c>
      <c r="T943" s="24">
        <v>44925</v>
      </c>
      <c r="U943" s="24">
        <v>45657</v>
      </c>
      <c r="X943" s="24">
        <v>44925</v>
      </c>
      <c r="Y943" s="23">
        <v>1111</v>
      </c>
      <c r="Z943" s="23">
        <v>11400129</v>
      </c>
      <c r="AA943" s="23">
        <v>3401</v>
      </c>
      <c r="AB943" s="24">
        <v>45118</v>
      </c>
    </row>
    <row r="944" spans="2:28" x14ac:dyDescent="0.2">
      <c r="C944" s="23">
        <v>1100102278</v>
      </c>
      <c r="E944" s="23">
        <v>30400</v>
      </c>
      <c r="F944" s="23" t="s">
        <v>2589</v>
      </c>
      <c r="G944" s="23" t="s">
        <v>2590</v>
      </c>
      <c r="H944" s="24">
        <v>46752</v>
      </c>
      <c r="I944" s="24">
        <v>46752</v>
      </c>
      <c r="J944" s="23" t="s">
        <v>304</v>
      </c>
      <c r="K944" s="23" t="s">
        <v>304</v>
      </c>
      <c r="L944" s="23">
        <v>1</v>
      </c>
      <c r="M944" s="23" t="s">
        <v>78</v>
      </c>
      <c r="N944" s="23" t="s">
        <v>78</v>
      </c>
      <c r="O944" s="23">
        <v>0</v>
      </c>
      <c r="P944" s="23" t="s">
        <v>79</v>
      </c>
      <c r="Q944" s="23" t="s">
        <v>119</v>
      </c>
      <c r="R944" s="23">
        <v>11100008</v>
      </c>
      <c r="S944" s="24">
        <v>45201</v>
      </c>
      <c r="T944" s="24">
        <v>44925</v>
      </c>
      <c r="U944" s="24">
        <v>45657</v>
      </c>
      <c r="X944" s="24">
        <v>44925</v>
      </c>
      <c r="Y944" s="23">
        <v>1111</v>
      </c>
      <c r="Z944" s="23">
        <v>11400129</v>
      </c>
      <c r="AA944" s="23">
        <v>3401</v>
      </c>
      <c r="AB944" s="24">
        <v>45118</v>
      </c>
    </row>
    <row r="945" spans="2:28" x14ac:dyDescent="0.2">
      <c r="C945" s="23">
        <v>1100102278</v>
      </c>
      <c r="E945" s="23">
        <v>30500</v>
      </c>
      <c r="F945" s="23" t="s">
        <v>2591</v>
      </c>
      <c r="G945" s="23" t="s">
        <v>2592</v>
      </c>
      <c r="H945" s="24">
        <v>46752</v>
      </c>
      <c r="I945" s="24">
        <v>46752</v>
      </c>
      <c r="J945" s="23" t="s">
        <v>304</v>
      </c>
      <c r="K945" s="23" t="s">
        <v>304</v>
      </c>
      <c r="L945" s="23">
        <v>1</v>
      </c>
      <c r="M945" s="23" t="s">
        <v>78</v>
      </c>
      <c r="N945" s="23" t="s">
        <v>78</v>
      </c>
      <c r="O945" s="23">
        <v>0</v>
      </c>
      <c r="P945" s="23" t="s">
        <v>79</v>
      </c>
      <c r="Q945" s="23" t="s">
        <v>119</v>
      </c>
      <c r="R945" s="23">
        <v>11100008</v>
      </c>
      <c r="S945" s="24">
        <v>45201</v>
      </c>
      <c r="T945" s="24">
        <v>44925</v>
      </c>
      <c r="U945" s="24">
        <v>45657</v>
      </c>
      <c r="X945" s="24">
        <v>44925</v>
      </c>
      <c r="Y945" s="23">
        <v>1111</v>
      </c>
      <c r="Z945" s="23">
        <v>11400129</v>
      </c>
      <c r="AA945" s="23">
        <v>3401</v>
      </c>
      <c r="AB945" s="24">
        <v>45118</v>
      </c>
    </row>
    <row r="946" spans="2:28" x14ac:dyDescent="0.2">
      <c r="B946" s="23" t="s">
        <v>81</v>
      </c>
      <c r="C946" s="23">
        <v>1100102278</v>
      </c>
      <c r="H946" s="24">
        <v>46752</v>
      </c>
      <c r="O946" s="23">
        <v>0</v>
      </c>
      <c r="P946" s="23" t="s">
        <v>79</v>
      </c>
    </row>
    <row r="947" spans="2:28" x14ac:dyDescent="0.2">
      <c r="C947" s="23">
        <v>1100102283</v>
      </c>
      <c r="E947" s="23">
        <v>2200</v>
      </c>
      <c r="F947" s="23" t="s">
        <v>376</v>
      </c>
      <c r="G947" s="23" t="s">
        <v>377</v>
      </c>
      <c r="H947" s="24">
        <v>46752</v>
      </c>
      <c r="I947" s="24">
        <v>46752</v>
      </c>
      <c r="J947" s="23" t="s">
        <v>378</v>
      </c>
      <c r="K947" s="23" t="s">
        <v>378</v>
      </c>
      <c r="L947" s="23">
        <v>1</v>
      </c>
      <c r="M947" s="23" t="s">
        <v>78</v>
      </c>
      <c r="N947" s="23" t="s">
        <v>78</v>
      </c>
      <c r="O947" s="23">
        <v>0</v>
      </c>
      <c r="P947" s="23" t="s">
        <v>79</v>
      </c>
      <c r="Q947" s="23" t="s">
        <v>83</v>
      </c>
      <c r="R947" s="23">
        <v>11100008</v>
      </c>
      <c r="S947" s="24" t="s">
        <v>80</v>
      </c>
      <c r="T947" s="24">
        <v>44937</v>
      </c>
      <c r="U947" s="24">
        <v>45657</v>
      </c>
      <c r="X947" s="24" t="s">
        <v>80</v>
      </c>
      <c r="Y947" s="23">
        <v>1111</v>
      </c>
      <c r="Z947" s="23">
        <v>11400129</v>
      </c>
      <c r="AA947" s="23">
        <v>3861</v>
      </c>
      <c r="AB947" s="24" t="s">
        <v>80</v>
      </c>
    </row>
    <row r="948" spans="2:28" x14ac:dyDescent="0.2">
      <c r="B948" s="23" t="s">
        <v>81</v>
      </c>
      <c r="C948" s="23">
        <v>1100102283</v>
      </c>
      <c r="H948" s="24">
        <v>46752</v>
      </c>
      <c r="O948" s="23">
        <v>0</v>
      </c>
      <c r="P948" s="23" t="s">
        <v>79</v>
      </c>
    </row>
    <row r="949" spans="2:28" x14ac:dyDescent="0.2">
      <c r="C949" s="23">
        <v>1100102362</v>
      </c>
      <c r="E949" s="23">
        <v>5300</v>
      </c>
      <c r="F949" s="23" t="s">
        <v>1610</v>
      </c>
      <c r="G949" s="23" t="s">
        <v>1611</v>
      </c>
      <c r="H949" s="24">
        <v>46752</v>
      </c>
      <c r="I949" s="24">
        <v>46752</v>
      </c>
      <c r="J949" s="23" t="s">
        <v>102</v>
      </c>
      <c r="K949" s="23" t="s">
        <v>102</v>
      </c>
      <c r="L949" s="23">
        <v>1</v>
      </c>
      <c r="M949" s="23" t="s">
        <v>78</v>
      </c>
      <c r="N949" s="23" t="s">
        <v>78</v>
      </c>
      <c r="O949" s="23">
        <v>2992</v>
      </c>
      <c r="P949" s="23" t="s">
        <v>79</v>
      </c>
      <c r="Q949" s="23" t="s">
        <v>83</v>
      </c>
      <c r="R949" s="23">
        <v>11100189</v>
      </c>
      <c r="S949" s="24" t="s">
        <v>80</v>
      </c>
      <c r="T949" s="24">
        <v>45155</v>
      </c>
      <c r="U949" s="24">
        <v>46751</v>
      </c>
      <c r="X949" s="24">
        <v>45155</v>
      </c>
      <c r="Y949" s="23">
        <v>1111</v>
      </c>
      <c r="Z949" s="23">
        <v>11400129</v>
      </c>
      <c r="AA949" s="23">
        <v>5061</v>
      </c>
      <c r="AB949" s="24">
        <v>45966</v>
      </c>
    </row>
    <row r="950" spans="2:28" x14ac:dyDescent="0.2">
      <c r="B950" s="23" t="s">
        <v>81</v>
      </c>
      <c r="C950" s="23">
        <v>1100102362</v>
      </c>
      <c r="H950" s="24">
        <v>46752</v>
      </c>
      <c r="O950" s="23">
        <v>2992</v>
      </c>
      <c r="P950" s="23" t="s">
        <v>79</v>
      </c>
    </row>
    <row r="951" spans="2:28" x14ac:dyDescent="0.2">
      <c r="C951" s="23">
        <v>1100102409</v>
      </c>
      <c r="E951" s="23">
        <v>750</v>
      </c>
      <c r="F951" s="23" t="s">
        <v>379</v>
      </c>
      <c r="G951" s="23" t="s">
        <v>305</v>
      </c>
      <c r="H951" s="24">
        <v>46752</v>
      </c>
      <c r="I951" s="24">
        <v>46752</v>
      </c>
      <c r="J951" s="23" t="s">
        <v>380</v>
      </c>
      <c r="K951" s="23" t="s">
        <v>380</v>
      </c>
      <c r="L951" s="23">
        <v>1</v>
      </c>
      <c r="M951" s="23" t="s">
        <v>78</v>
      </c>
      <c r="N951" s="23" t="s">
        <v>78</v>
      </c>
      <c r="O951" s="23">
        <v>12280</v>
      </c>
      <c r="P951" s="23" t="s">
        <v>79</v>
      </c>
      <c r="Q951" s="23" t="s">
        <v>119</v>
      </c>
      <c r="R951" s="23">
        <v>11100008</v>
      </c>
      <c r="S951" s="24" t="s">
        <v>80</v>
      </c>
      <c r="T951" s="24">
        <v>45279</v>
      </c>
      <c r="U951" s="24">
        <v>46022</v>
      </c>
      <c r="X951" s="24">
        <v>45279</v>
      </c>
      <c r="Y951" s="23">
        <v>1111</v>
      </c>
      <c r="Z951" s="23">
        <v>11400129</v>
      </c>
      <c r="AA951" s="23">
        <v>3422</v>
      </c>
      <c r="AB951" s="24">
        <v>45279</v>
      </c>
    </row>
    <row r="952" spans="2:28" x14ac:dyDescent="0.2">
      <c r="B952" s="23" t="s">
        <v>81</v>
      </c>
      <c r="C952" s="23">
        <v>1100102409</v>
      </c>
      <c r="H952" s="24">
        <v>46752</v>
      </c>
      <c r="O952" s="23">
        <v>12280</v>
      </c>
      <c r="P952" s="23" t="s">
        <v>79</v>
      </c>
    </row>
    <row r="953" spans="2:28" x14ac:dyDescent="0.2">
      <c r="C953" s="23">
        <v>1100102505</v>
      </c>
      <c r="E953" s="23">
        <v>2900</v>
      </c>
      <c r="F953" s="23" t="s">
        <v>2593</v>
      </c>
      <c r="G953" s="23" t="s">
        <v>2594</v>
      </c>
      <c r="H953" s="24">
        <v>46752</v>
      </c>
      <c r="I953" s="24">
        <v>46387</v>
      </c>
      <c r="J953" s="23" t="s">
        <v>314</v>
      </c>
      <c r="K953" s="23" t="s">
        <v>314</v>
      </c>
      <c r="L953" s="23">
        <v>1</v>
      </c>
      <c r="M953" s="23" t="s">
        <v>78</v>
      </c>
      <c r="N953" s="23" t="s">
        <v>78</v>
      </c>
      <c r="O953" s="23">
        <v>9164</v>
      </c>
      <c r="P953" s="23" t="s">
        <v>79</v>
      </c>
      <c r="Q953" s="23" t="s">
        <v>83</v>
      </c>
      <c r="R953" s="23">
        <v>11100008</v>
      </c>
      <c r="S953" s="24" t="s">
        <v>80</v>
      </c>
      <c r="T953" s="24">
        <v>45554</v>
      </c>
      <c r="U953" s="24">
        <v>46052</v>
      </c>
      <c r="X953" s="24">
        <v>45554</v>
      </c>
      <c r="Y953" s="23">
        <v>1111</v>
      </c>
      <c r="Z953" s="23">
        <v>11400129</v>
      </c>
      <c r="AA953" s="23">
        <v>3661</v>
      </c>
      <c r="AB953" s="24">
        <v>46077</v>
      </c>
    </row>
    <row r="954" spans="2:28" x14ac:dyDescent="0.2">
      <c r="B954" s="23" t="s">
        <v>81</v>
      </c>
      <c r="C954" s="23">
        <v>1100102505</v>
      </c>
      <c r="H954" s="24">
        <v>46752</v>
      </c>
      <c r="O954" s="23">
        <v>9164</v>
      </c>
      <c r="P954" s="23" t="s">
        <v>79</v>
      </c>
    </row>
    <row r="955" spans="2:28" x14ac:dyDescent="0.2">
      <c r="C955" s="23">
        <v>1100102706</v>
      </c>
      <c r="E955" s="23">
        <v>800</v>
      </c>
      <c r="F955" s="23" t="s">
        <v>1217</v>
      </c>
      <c r="G955" s="23" t="s">
        <v>1218</v>
      </c>
      <c r="H955" s="24">
        <v>46752</v>
      </c>
      <c r="I955" s="24">
        <v>46752</v>
      </c>
      <c r="J955" s="23" t="s">
        <v>102</v>
      </c>
      <c r="K955" s="23" t="s">
        <v>102</v>
      </c>
      <c r="L955" s="23">
        <v>1</v>
      </c>
      <c r="M955" s="23" t="s">
        <v>78</v>
      </c>
      <c r="N955" s="23" t="s">
        <v>78</v>
      </c>
      <c r="O955" s="23">
        <v>0</v>
      </c>
      <c r="P955" s="23" t="s">
        <v>79</v>
      </c>
      <c r="Q955" s="23" t="s">
        <v>119</v>
      </c>
      <c r="R955" s="23">
        <v>11100189</v>
      </c>
      <c r="S955" s="24">
        <v>46028</v>
      </c>
      <c r="T955" s="24">
        <v>45893</v>
      </c>
      <c r="U955" s="24">
        <v>46751</v>
      </c>
      <c r="X955" s="24">
        <v>45893</v>
      </c>
      <c r="Y955" s="23">
        <v>1111</v>
      </c>
      <c r="Z955" s="23">
        <v>11400912</v>
      </c>
      <c r="AA955" s="23">
        <v>510103</v>
      </c>
      <c r="AB955" s="24">
        <v>45893</v>
      </c>
    </row>
    <row r="956" spans="2:28" x14ac:dyDescent="0.2">
      <c r="B956" s="23" t="s">
        <v>81</v>
      </c>
      <c r="C956" s="23">
        <v>1100102706</v>
      </c>
      <c r="H956" s="24">
        <v>46752</v>
      </c>
      <c r="O956" s="23">
        <v>0</v>
      </c>
      <c r="P956" s="23" t="s">
        <v>79</v>
      </c>
    </row>
    <row r="957" spans="2:28" x14ac:dyDescent="0.2">
      <c r="C957" s="23">
        <v>1100102716</v>
      </c>
      <c r="E957" s="23">
        <v>750</v>
      </c>
      <c r="F957" s="23" t="s">
        <v>1612</v>
      </c>
      <c r="G957" s="23" t="s">
        <v>305</v>
      </c>
      <c r="H957" s="24">
        <v>46752</v>
      </c>
      <c r="I957" s="24">
        <v>46752</v>
      </c>
      <c r="J957" s="23" t="s">
        <v>308</v>
      </c>
      <c r="K957" s="23" t="s">
        <v>308</v>
      </c>
      <c r="L957" s="23">
        <v>1</v>
      </c>
      <c r="M957" s="23" t="s">
        <v>78</v>
      </c>
      <c r="N957" s="23" t="s">
        <v>78</v>
      </c>
      <c r="O957" s="23">
        <v>0</v>
      </c>
      <c r="P957" s="23" t="s">
        <v>79</v>
      </c>
      <c r="Q957" s="23" t="s">
        <v>83</v>
      </c>
      <c r="S957" s="24" t="s">
        <v>80</v>
      </c>
      <c r="T957" s="24">
        <v>45911</v>
      </c>
      <c r="U957" s="24">
        <v>46751</v>
      </c>
      <c r="X957" s="24">
        <v>45911</v>
      </c>
      <c r="Y957" s="23">
        <v>1111</v>
      </c>
      <c r="Z957" s="23">
        <v>11400912</v>
      </c>
      <c r="AA957" s="23">
        <v>5161</v>
      </c>
      <c r="AB957" s="24">
        <v>45911</v>
      </c>
    </row>
    <row r="958" spans="2:28" x14ac:dyDescent="0.2">
      <c r="B958" s="23" t="s">
        <v>81</v>
      </c>
      <c r="C958" s="23">
        <v>1100102716</v>
      </c>
      <c r="H958" s="24">
        <v>46752</v>
      </c>
      <c r="O958" s="23">
        <v>0</v>
      </c>
      <c r="P958" s="23" t="s">
        <v>79</v>
      </c>
    </row>
    <row r="959" spans="2:28" x14ac:dyDescent="0.2">
      <c r="C959" s="23">
        <v>1100102721</v>
      </c>
      <c r="E959" s="23">
        <v>750</v>
      </c>
      <c r="F959" s="23" t="s">
        <v>1613</v>
      </c>
      <c r="G959" s="23" t="s">
        <v>305</v>
      </c>
      <c r="H959" s="24">
        <v>46752</v>
      </c>
      <c r="I959" s="24">
        <v>46752</v>
      </c>
      <c r="J959" s="23" t="s">
        <v>1614</v>
      </c>
      <c r="K959" s="23" t="s">
        <v>1614</v>
      </c>
      <c r="L959" s="23">
        <v>1</v>
      </c>
      <c r="M959" s="23" t="s">
        <v>78</v>
      </c>
      <c r="N959" s="23" t="s">
        <v>78</v>
      </c>
      <c r="O959" s="23">
        <v>0</v>
      </c>
      <c r="P959" s="23" t="s">
        <v>79</v>
      </c>
      <c r="Q959" s="23" t="s">
        <v>83</v>
      </c>
      <c r="R959" s="23">
        <v>11400430</v>
      </c>
      <c r="S959" s="24" t="s">
        <v>80</v>
      </c>
      <c r="T959" s="24">
        <v>45924</v>
      </c>
      <c r="U959" s="24">
        <v>46751</v>
      </c>
      <c r="X959" s="24">
        <v>45924</v>
      </c>
      <c r="Y959" s="23">
        <v>1111</v>
      </c>
      <c r="Z959" s="23">
        <v>11400912</v>
      </c>
      <c r="AA959" s="23">
        <v>5161</v>
      </c>
      <c r="AB959" s="24">
        <v>45924</v>
      </c>
    </row>
    <row r="960" spans="2:28" x14ac:dyDescent="0.2">
      <c r="B960" s="23" t="s">
        <v>81</v>
      </c>
      <c r="C960" s="23">
        <v>1100102721</v>
      </c>
      <c r="H960" s="24">
        <v>46752</v>
      </c>
      <c r="O960" s="23">
        <v>0</v>
      </c>
      <c r="P960" s="23" t="s">
        <v>79</v>
      </c>
    </row>
    <row r="961" spans="2:28" x14ac:dyDescent="0.2">
      <c r="C961" s="23">
        <v>1100102729</v>
      </c>
      <c r="E961" s="23">
        <v>750</v>
      </c>
      <c r="F961" s="23" t="s">
        <v>1615</v>
      </c>
      <c r="G961" s="23" t="s">
        <v>305</v>
      </c>
      <c r="H961" s="24">
        <v>46752</v>
      </c>
      <c r="I961" s="24">
        <v>46752</v>
      </c>
      <c r="J961" s="23" t="s">
        <v>168</v>
      </c>
      <c r="K961" s="23" t="s">
        <v>168</v>
      </c>
      <c r="L961" s="23">
        <v>1</v>
      </c>
      <c r="M961" s="23" t="s">
        <v>78</v>
      </c>
      <c r="N961" s="23" t="s">
        <v>78</v>
      </c>
      <c r="O961" s="23">
        <v>0</v>
      </c>
      <c r="P961" s="23" t="s">
        <v>79</v>
      </c>
      <c r="Q961" s="23" t="s">
        <v>83</v>
      </c>
      <c r="R961" s="23">
        <v>11400519</v>
      </c>
      <c r="S961" s="24" t="s">
        <v>80</v>
      </c>
      <c r="T961" s="24">
        <v>45946</v>
      </c>
      <c r="U961" s="24">
        <v>46751</v>
      </c>
      <c r="X961" s="24">
        <v>45946</v>
      </c>
      <c r="Y961" s="23">
        <v>1111</v>
      </c>
      <c r="Z961" s="23">
        <v>11400912</v>
      </c>
      <c r="AA961" s="23">
        <v>5161</v>
      </c>
      <c r="AB961" s="24">
        <v>45946</v>
      </c>
    </row>
    <row r="962" spans="2:28" x14ac:dyDescent="0.2">
      <c r="B962" s="23" t="s">
        <v>81</v>
      </c>
      <c r="C962" s="23">
        <v>1100102729</v>
      </c>
      <c r="H962" s="24">
        <v>46752</v>
      </c>
      <c r="O962" s="23">
        <v>0</v>
      </c>
      <c r="P962" s="23" t="s">
        <v>79</v>
      </c>
    </row>
    <row r="963" spans="2:28" x14ac:dyDescent="0.2">
      <c r="C963" s="23">
        <v>1100102733</v>
      </c>
      <c r="E963" s="23">
        <v>750</v>
      </c>
      <c r="F963" s="23" t="s">
        <v>1616</v>
      </c>
      <c r="G963" s="23" t="s">
        <v>305</v>
      </c>
      <c r="H963" s="24">
        <v>46752</v>
      </c>
      <c r="I963" s="24">
        <v>46752</v>
      </c>
      <c r="J963" s="23" t="s">
        <v>1617</v>
      </c>
      <c r="K963" s="23" t="s">
        <v>1617</v>
      </c>
      <c r="L963" s="23">
        <v>1</v>
      </c>
      <c r="M963" s="23" t="s">
        <v>78</v>
      </c>
      <c r="N963" s="23" t="s">
        <v>78</v>
      </c>
      <c r="O963" s="23">
        <v>0</v>
      </c>
      <c r="P963" s="23" t="s">
        <v>79</v>
      </c>
      <c r="Q963" s="23" t="s">
        <v>83</v>
      </c>
      <c r="S963" s="24" t="s">
        <v>80</v>
      </c>
      <c r="T963" s="24">
        <v>45965</v>
      </c>
      <c r="U963" s="24">
        <v>46751</v>
      </c>
      <c r="X963" s="24">
        <v>45965</v>
      </c>
      <c r="Y963" s="23">
        <v>1111</v>
      </c>
      <c r="Z963" s="23">
        <v>11400912</v>
      </c>
      <c r="AA963" s="23">
        <v>326103</v>
      </c>
      <c r="AB963" s="24">
        <v>45965</v>
      </c>
    </row>
    <row r="964" spans="2:28" x14ac:dyDescent="0.2">
      <c r="B964" s="23" t="s">
        <v>81</v>
      </c>
      <c r="C964" s="23">
        <v>1100102733</v>
      </c>
      <c r="H964" s="24">
        <v>46752</v>
      </c>
      <c r="O964" s="23">
        <v>0</v>
      </c>
      <c r="P964" s="23" t="s">
        <v>79</v>
      </c>
    </row>
    <row r="965" spans="2:28" x14ac:dyDescent="0.2">
      <c r="C965" s="23">
        <v>1100102734</v>
      </c>
      <c r="E965" s="23">
        <v>750</v>
      </c>
      <c r="F965" s="23" t="s">
        <v>1618</v>
      </c>
      <c r="G965" s="23" t="s">
        <v>305</v>
      </c>
      <c r="H965" s="24">
        <v>46752</v>
      </c>
      <c r="I965" s="24">
        <v>46752</v>
      </c>
      <c r="J965" s="23" t="s">
        <v>1619</v>
      </c>
      <c r="K965" s="23" t="s">
        <v>1619</v>
      </c>
      <c r="L965" s="23">
        <v>1</v>
      </c>
      <c r="M965" s="23" t="s">
        <v>78</v>
      </c>
      <c r="N965" s="23" t="s">
        <v>78</v>
      </c>
      <c r="O965" s="23">
        <v>0</v>
      </c>
      <c r="P965" s="23" t="s">
        <v>79</v>
      </c>
      <c r="Q965" s="23" t="s">
        <v>83</v>
      </c>
      <c r="R965" s="23">
        <v>11400383</v>
      </c>
      <c r="S965" s="24" t="s">
        <v>80</v>
      </c>
      <c r="T965" s="24">
        <v>45966</v>
      </c>
      <c r="U965" s="24">
        <v>46751</v>
      </c>
      <c r="X965" s="24">
        <v>45966</v>
      </c>
      <c r="Y965" s="23">
        <v>1111</v>
      </c>
      <c r="Z965" s="23">
        <v>11400912</v>
      </c>
      <c r="AA965" s="23">
        <v>3406</v>
      </c>
      <c r="AB965" s="24">
        <v>45966</v>
      </c>
    </row>
    <row r="966" spans="2:28" x14ac:dyDescent="0.2">
      <c r="B966" s="23" t="s">
        <v>81</v>
      </c>
      <c r="C966" s="23">
        <v>1100102734</v>
      </c>
      <c r="H966" s="24">
        <v>46752</v>
      </c>
      <c r="O966" s="23">
        <v>0</v>
      </c>
      <c r="P966" s="23" t="s">
        <v>79</v>
      </c>
    </row>
    <row r="967" spans="2:28" x14ac:dyDescent="0.2">
      <c r="C967" s="23">
        <v>1100102737</v>
      </c>
      <c r="E967" s="23">
        <v>750</v>
      </c>
      <c r="F967" s="23" t="s">
        <v>1620</v>
      </c>
      <c r="G967" s="23" t="s">
        <v>305</v>
      </c>
      <c r="H967" s="24">
        <v>46752</v>
      </c>
      <c r="I967" s="24">
        <v>46752</v>
      </c>
      <c r="J967" s="23" t="s">
        <v>773</v>
      </c>
      <c r="K967" s="23" t="s">
        <v>773</v>
      </c>
      <c r="L967" s="23">
        <v>1</v>
      </c>
      <c r="M967" s="23" t="s">
        <v>78</v>
      </c>
      <c r="N967" s="23" t="s">
        <v>78</v>
      </c>
      <c r="O967" s="23">
        <v>0</v>
      </c>
      <c r="P967" s="23" t="s">
        <v>79</v>
      </c>
      <c r="Q967" s="23" t="s">
        <v>83</v>
      </c>
      <c r="R967" s="23">
        <v>11100189</v>
      </c>
      <c r="S967" s="24" t="s">
        <v>80</v>
      </c>
      <c r="T967" s="24">
        <v>45968</v>
      </c>
      <c r="U967" s="24">
        <v>46751</v>
      </c>
      <c r="X967" s="24">
        <v>45968</v>
      </c>
      <c r="Y967" s="23">
        <v>1111</v>
      </c>
      <c r="Z967" s="23">
        <v>11400912</v>
      </c>
      <c r="AA967" s="23">
        <v>3261</v>
      </c>
      <c r="AB967" s="24">
        <v>45968</v>
      </c>
    </row>
    <row r="968" spans="2:28" x14ac:dyDescent="0.2">
      <c r="C968" s="23">
        <v>1100102737</v>
      </c>
      <c r="E968" s="23">
        <v>1500</v>
      </c>
      <c r="F968" s="23" t="s">
        <v>1621</v>
      </c>
      <c r="G968" s="23" t="s">
        <v>1622</v>
      </c>
      <c r="H968" s="24">
        <v>46752</v>
      </c>
      <c r="I968" s="24">
        <v>46752</v>
      </c>
      <c r="J968" s="23" t="s">
        <v>773</v>
      </c>
      <c r="K968" s="23" t="s">
        <v>773</v>
      </c>
      <c r="L968" s="23">
        <v>1</v>
      </c>
      <c r="M968" s="23" t="s">
        <v>78</v>
      </c>
      <c r="N968" s="23" t="s">
        <v>78</v>
      </c>
      <c r="O968" s="23">
        <v>25995</v>
      </c>
      <c r="P968" s="23" t="s">
        <v>79</v>
      </c>
      <c r="Q968" s="23" t="s">
        <v>119</v>
      </c>
      <c r="R968" s="23">
        <v>11100189</v>
      </c>
      <c r="S968" s="24">
        <v>46188</v>
      </c>
      <c r="T968" s="24">
        <v>45968</v>
      </c>
      <c r="U968" s="24">
        <v>46751</v>
      </c>
      <c r="X968" s="24">
        <v>45968</v>
      </c>
      <c r="Y968" s="23">
        <v>1111</v>
      </c>
      <c r="Z968" s="23">
        <v>11400912</v>
      </c>
      <c r="AA968" s="23">
        <v>3221</v>
      </c>
      <c r="AB968" s="24">
        <v>45968</v>
      </c>
    </row>
    <row r="969" spans="2:28" x14ac:dyDescent="0.2">
      <c r="C969" s="23">
        <v>1100102737</v>
      </c>
      <c r="E969" s="23">
        <v>1600</v>
      </c>
      <c r="F969" s="23" t="s">
        <v>1623</v>
      </c>
      <c r="G969" s="23" t="s">
        <v>1624</v>
      </c>
      <c r="H969" s="24">
        <v>46752</v>
      </c>
      <c r="I969" s="24">
        <v>46752</v>
      </c>
      <c r="J969" s="23" t="s">
        <v>773</v>
      </c>
      <c r="K969" s="23" t="s">
        <v>773</v>
      </c>
      <c r="L969" s="23">
        <v>1</v>
      </c>
      <c r="M969" s="23" t="s">
        <v>78</v>
      </c>
      <c r="N969" s="23" t="s">
        <v>78</v>
      </c>
      <c r="O969" s="23">
        <v>25995</v>
      </c>
      <c r="P969" s="23" t="s">
        <v>79</v>
      </c>
      <c r="Q969" s="23" t="s">
        <v>119</v>
      </c>
      <c r="R969" s="23">
        <v>11100189</v>
      </c>
      <c r="S969" s="24">
        <v>46188</v>
      </c>
      <c r="T969" s="24">
        <v>45968</v>
      </c>
      <c r="U969" s="24">
        <v>46751</v>
      </c>
      <c r="X969" s="24">
        <v>45968</v>
      </c>
      <c r="Y969" s="23">
        <v>1111</v>
      </c>
      <c r="Z969" s="23">
        <v>11400912</v>
      </c>
      <c r="AA969" s="23">
        <v>3221</v>
      </c>
      <c r="AB969" s="24">
        <v>45968</v>
      </c>
    </row>
    <row r="970" spans="2:28" x14ac:dyDescent="0.2">
      <c r="C970" s="23">
        <v>1100102737</v>
      </c>
      <c r="E970" s="23">
        <v>1700</v>
      </c>
      <c r="F970" s="23" t="s">
        <v>1625</v>
      </c>
      <c r="G970" s="23" t="s">
        <v>1626</v>
      </c>
      <c r="H970" s="24">
        <v>46752</v>
      </c>
      <c r="I970" s="24">
        <v>46752</v>
      </c>
      <c r="J970" s="23" t="s">
        <v>773</v>
      </c>
      <c r="K970" s="23" t="s">
        <v>773</v>
      </c>
      <c r="L970" s="23">
        <v>1</v>
      </c>
      <c r="M970" s="23" t="s">
        <v>78</v>
      </c>
      <c r="N970" s="23" t="s">
        <v>78</v>
      </c>
      <c r="O970" s="23">
        <v>42849</v>
      </c>
      <c r="P970" s="23" t="s">
        <v>79</v>
      </c>
      <c r="Q970" s="23" t="s">
        <v>119</v>
      </c>
      <c r="R970" s="23">
        <v>11100189</v>
      </c>
      <c r="S970" s="24">
        <v>46188</v>
      </c>
      <c r="T970" s="24">
        <v>45968</v>
      </c>
      <c r="U970" s="24">
        <v>46751</v>
      </c>
      <c r="X970" s="24">
        <v>45968</v>
      </c>
      <c r="Y970" s="23">
        <v>1111</v>
      </c>
      <c r="Z970" s="23">
        <v>11400912</v>
      </c>
      <c r="AA970" s="23">
        <v>3201</v>
      </c>
      <c r="AB970" s="24">
        <v>45968</v>
      </c>
    </row>
    <row r="971" spans="2:28" x14ac:dyDescent="0.2">
      <c r="C971" s="23">
        <v>1100102737</v>
      </c>
      <c r="E971" s="23">
        <v>1800</v>
      </c>
      <c r="F971" s="23" t="s">
        <v>1627</v>
      </c>
      <c r="G971" s="23" t="s">
        <v>1628</v>
      </c>
      <c r="H971" s="24">
        <v>46752</v>
      </c>
      <c r="I971" s="24">
        <v>46752</v>
      </c>
      <c r="J971" s="23" t="s">
        <v>773</v>
      </c>
      <c r="K971" s="23" t="s">
        <v>773</v>
      </c>
      <c r="L971" s="23">
        <v>1</v>
      </c>
      <c r="M971" s="23" t="s">
        <v>78</v>
      </c>
      <c r="N971" s="23" t="s">
        <v>78</v>
      </c>
      <c r="O971" s="23">
        <v>42849</v>
      </c>
      <c r="P971" s="23" t="s">
        <v>79</v>
      </c>
      <c r="Q971" s="23" t="s">
        <v>119</v>
      </c>
      <c r="R971" s="23">
        <v>11100189</v>
      </c>
      <c r="S971" s="24" t="s">
        <v>80</v>
      </c>
      <c r="T971" s="24">
        <v>45968</v>
      </c>
      <c r="U971" s="24">
        <v>46751</v>
      </c>
      <c r="X971" s="24">
        <v>45968</v>
      </c>
      <c r="Y971" s="23">
        <v>1111</v>
      </c>
      <c r="Z971" s="23">
        <v>11400912</v>
      </c>
      <c r="AA971" s="23">
        <v>3201</v>
      </c>
      <c r="AB971" s="24">
        <v>45968</v>
      </c>
    </row>
    <row r="972" spans="2:28" x14ac:dyDescent="0.2">
      <c r="C972" s="23">
        <v>1100102737</v>
      </c>
      <c r="E972" s="23">
        <v>2600</v>
      </c>
      <c r="F972" s="23" t="s">
        <v>1629</v>
      </c>
      <c r="G972" s="23" t="s">
        <v>1630</v>
      </c>
      <c r="H972" s="24">
        <v>46752</v>
      </c>
      <c r="I972" s="24">
        <v>46752</v>
      </c>
      <c r="J972" s="23" t="s">
        <v>773</v>
      </c>
      <c r="K972" s="23" t="s">
        <v>773</v>
      </c>
      <c r="L972" s="23">
        <v>1</v>
      </c>
      <c r="M972" s="23" t="s">
        <v>78</v>
      </c>
      <c r="N972" s="23" t="s">
        <v>78</v>
      </c>
      <c r="O972" s="23">
        <v>25995</v>
      </c>
      <c r="P972" s="23" t="s">
        <v>79</v>
      </c>
      <c r="Q972" s="23" t="s">
        <v>119</v>
      </c>
      <c r="R972" s="23">
        <v>11100189</v>
      </c>
      <c r="S972" s="24" t="s">
        <v>80</v>
      </c>
      <c r="T972" s="24">
        <v>45968</v>
      </c>
      <c r="U972" s="24">
        <v>46751</v>
      </c>
      <c r="X972" s="24">
        <v>45968</v>
      </c>
      <c r="Y972" s="23">
        <v>1111</v>
      </c>
      <c r="Z972" s="23">
        <v>11400912</v>
      </c>
      <c r="AA972" s="23">
        <v>3221</v>
      </c>
      <c r="AB972" s="24">
        <v>45968</v>
      </c>
    </row>
    <row r="973" spans="2:28" x14ac:dyDescent="0.2">
      <c r="C973" s="23">
        <v>1100102737</v>
      </c>
      <c r="E973" s="23">
        <v>2700</v>
      </c>
      <c r="F973" s="23" t="s">
        <v>1631</v>
      </c>
      <c r="G973" s="23" t="s">
        <v>1632</v>
      </c>
      <c r="H973" s="24">
        <v>46752</v>
      </c>
      <c r="I973" s="24">
        <v>46752</v>
      </c>
      <c r="J973" s="23" t="s">
        <v>773</v>
      </c>
      <c r="K973" s="23" t="s">
        <v>773</v>
      </c>
      <c r="L973" s="23">
        <v>1</v>
      </c>
      <c r="M973" s="23" t="s">
        <v>78</v>
      </c>
      <c r="N973" s="23" t="s">
        <v>78</v>
      </c>
      <c r="O973" s="23">
        <v>25995</v>
      </c>
      <c r="P973" s="23" t="s">
        <v>79</v>
      </c>
      <c r="Q973" s="23" t="s">
        <v>119</v>
      </c>
      <c r="R973" s="23">
        <v>11100189</v>
      </c>
      <c r="S973" s="24" t="s">
        <v>80</v>
      </c>
      <c r="T973" s="24">
        <v>45968</v>
      </c>
      <c r="U973" s="24">
        <v>46751</v>
      </c>
      <c r="X973" s="24">
        <v>45968</v>
      </c>
      <c r="Y973" s="23">
        <v>1111</v>
      </c>
      <c r="Z973" s="23">
        <v>11400912</v>
      </c>
      <c r="AA973" s="23">
        <v>3221</v>
      </c>
      <c r="AB973" s="24">
        <v>45968</v>
      </c>
    </row>
    <row r="974" spans="2:28" x14ac:dyDescent="0.2">
      <c r="C974" s="23">
        <v>1100102737</v>
      </c>
      <c r="E974" s="23">
        <v>2800</v>
      </c>
      <c r="F974" s="23" t="s">
        <v>1633</v>
      </c>
      <c r="G974" s="23" t="s">
        <v>1634</v>
      </c>
      <c r="H974" s="24">
        <v>46752</v>
      </c>
      <c r="I974" s="24">
        <v>46752</v>
      </c>
      <c r="J974" s="23" t="s">
        <v>773</v>
      </c>
      <c r="K974" s="23" t="s">
        <v>773</v>
      </c>
      <c r="L974" s="23">
        <v>1</v>
      </c>
      <c r="M974" s="23" t="s">
        <v>78</v>
      </c>
      <c r="N974" s="23" t="s">
        <v>78</v>
      </c>
      <c r="O974" s="23">
        <v>41938</v>
      </c>
      <c r="P974" s="23" t="s">
        <v>79</v>
      </c>
      <c r="Q974" s="23" t="s">
        <v>119</v>
      </c>
      <c r="R974" s="23">
        <v>11100189</v>
      </c>
      <c r="S974" s="24" t="s">
        <v>80</v>
      </c>
      <c r="T974" s="24">
        <v>45968</v>
      </c>
      <c r="U974" s="24">
        <v>46751</v>
      </c>
      <c r="X974" s="24">
        <v>45968</v>
      </c>
      <c r="Y974" s="23">
        <v>1111</v>
      </c>
      <c r="Z974" s="23">
        <v>11400912</v>
      </c>
      <c r="AA974" s="23">
        <v>3201</v>
      </c>
      <c r="AB974" s="24">
        <v>45968</v>
      </c>
    </row>
    <row r="975" spans="2:28" x14ac:dyDescent="0.2">
      <c r="C975" s="23">
        <v>1100102737</v>
      </c>
      <c r="E975" s="23">
        <v>2900</v>
      </c>
      <c r="F975" s="23" t="s">
        <v>1635</v>
      </c>
      <c r="G975" s="23" t="s">
        <v>1636</v>
      </c>
      <c r="H975" s="24">
        <v>46752</v>
      </c>
      <c r="I975" s="24">
        <v>46752</v>
      </c>
      <c r="J975" s="23" t="s">
        <v>773</v>
      </c>
      <c r="K975" s="23" t="s">
        <v>773</v>
      </c>
      <c r="L975" s="23">
        <v>1</v>
      </c>
      <c r="M975" s="23" t="s">
        <v>78</v>
      </c>
      <c r="N975" s="23" t="s">
        <v>78</v>
      </c>
      <c r="O975" s="23">
        <v>41938</v>
      </c>
      <c r="P975" s="23" t="s">
        <v>79</v>
      </c>
      <c r="Q975" s="23" t="s">
        <v>119</v>
      </c>
      <c r="R975" s="23">
        <v>11100189</v>
      </c>
      <c r="S975" s="24" t="s">
        <v>80</v>
      </c>
      <c r="T975" s="24">
        <v>45968</v>
      </c>
      <c r="U975" s="24">
        <v>46751</v>
      </c>
      <c r="X975" s="24">
        <v>45968</v>
      </c>
      <c r="Y975" s="23">
        <v>1111</v>
      </c>
      <c r="Z975" s="23">
        <v>11400912</v>
      </c>
      <c r="AA975" s="23">
        <v>3261</v>
      </c>
      <c r="AB975" s="24">
        <v>45968</v>
      </c>
    </row>
    <row r="976" spans="2:28" x14ac:dyDescent="0.2">
      <c r="C976" s="23">
        <v>1100102737</v>
      </c>
      <c r="E976" s="23">
        <v>3100</v>
      </c>
      <c r="F976" s="23" t="s">
        <v>1637</v>
      </c>
      <c r="G976" s="23" t="s">
        <v>1638</v>
      </c>
      <c r="H976" s="24">
        <v>46752</v>
      </c>
      <c r="I976" s="24">
        <v>46752</v>
      </c>
      <c r="J976" s="23" t="s">
        <v>773</v>
      </c>
      <c r="K976" s="23" t="s">
        <v>773</v>
      </c>
      <c r="L976" s="23">
        <v>1</v>
      </c>
      <c r="M976" s="23" t="s">
        <v>78</v>
      </c>
      <c r="N976" s="23" t="s">
        <v>78</v>
      </c>
      <c r="O976" s="23">
        <v>42489</v>
      </c>
      <c r="P976" s="23" t="s">
        <v>79</v>
      </c>
      <c r="Q976" s="23" t="s">
        <v>119</v>
      </c>
      <c r="R976" s="23">
        <v>11100189</v>
      </c>
      <c r="S976" s="24" t="s">
        <v>80</v>
      </c>
      <c r="T976" s="24">
        <v>45968</v>
      </c>
      <c r="U976" s="24">
        <v>46751</v>
      </c>
      <c r="X976" s="24">
        <v>45968</v>
      </c>
      <c r="Y976" s="23">
        <v>1111</v>
      </c>
      <c r="Z976" s="23">
        <v>11400912</v>
      </c>
      <c r="AA976" s="23">
        <v>3201</v>
      </c>
      <c r="AB976" s="24">
        <v>45968</v>
      </c>
    </row>
    <row r="977" spans="2:28" x14ac:dyDescent="0.2">
      <c r="C977" s="23">
        <v>1100102737</v>
      </c>
      <c r="E977" s="23">
        <v>3200</v>
      </c>
      <c r="F977" s="23" t="s">
        <v>1639</v>
      </c>
      <c r="G977" s="23" t="s">
        <v>1640</v>
      </c>
      <c r="H977" s="24">
        <v>46752</v>
      </c>
      <c r="I977" s="24">
        <v>46752</v>
      </c>
      <c r="J977" s="23" t="s">
        <v>773</v>
      </c>
      <c r="K977" s="23" t="s">
        <v>773</v>
      </c>
      <c r="L977" s="23">
        <v>1</v>
      </c>
      <c r="M977" s="23" t="s">
        <v>78</v>
      </c>
      <c r="N977" s="23" t="s">
        <v>78</v>
      </c>
      <c r="O977" s="23">
        <v>42489</v>
      </c>
      <c r="P977" s="23" t="s">
        <v>79</v>
      </c>
      <c r="Q977" s="23" t="s">
        <v>119</v>
      </c>
      <c r="R977" s="23">
        <v>11100189</v>
      </c>
      <c r="S977" s="24" t="s">
        <v>80</v>
      </c>
      <c r="T977" s="24">
        <v>45968</v>
      </c>
      <c r="U977" s="24">
        <v>46751</v>
      </c>
      <c r="X977" s="24">
        <v>45968</v>
      </c>
      <c r="Y977" s="23">
        <v>1111</v>
      </c>
      <c r="Z977" s="23">
        <v>11400912</v>
      </c>
      <c r="AA977" s="23">
        <v>3201</v>
      </c>
      <c r="AB977" s="24">
        <v>45968</v>
      </c>
    </row>
    <row r="978" spans="2:28" x14ac:dyDescent="0.2">
      <c r="C978" s="23">
        <v>1100102737</v>
      </c>
      <c r="E978" s="23">
        <v>3500</v>
      </c>
      <c r="F978" s="23" t="s">
        <v>1641</v>
      </c>
      <c r="G978" s="23" t="s">
        <v>1642</v>
      </c>
      <c r="H978" s="24">
        <v>46752</v>
      </c>
      <c r="I978" s="24">
        <v>46752</v>
      </c>
      <c r="J978" s="23" t="s">
        <v>773</v>
      </c>
      <c r="K978" s="23" t="s">
        <v>773</v>
      </c>
      <c r="L978" s="23">
        <v>1</v>
      </c>
      <c r="M978" s="23" t="s">
        <v>78</v>
      </c>
      <c r="N978" s="23" t="s">
        <v>78</v>
      </c>
      <c r="O978" s="23">
        <v>42489</v>
      </c>
      <c r="P978" s="23" t="s">
        <v>79</v>
      </c>
      <c r="Q978" s="23" t="s">
        <v>119</v>
      </c>
      <c r="R978" s="23">
        <v>11100189</v>
      </c>
      <c r="S978" s="24" t="s">
        <v>80</v>
      </c>
      <c r="T978" s="24">
        <v>45968</v>
      </c>
      <c r="U978" s="24">
        <v>46751</v>
      </c>
      <c r="X978" s="24">
        <v>45968</v>
      </c>
      <c r="Y978" s="23">
        <v>1111</v>
      </c>
      <c r="Z978" s="23">
        <v>11400912</v>
      </c>
      <c r="AA978" s="23">
        <v>3201</v>
      </c>
      <c r="AB978" s="24">
        <v>45968</v>
      </c>
    </row>
    <row r="979" spans="2:28" x14ac:dyDescent="0.2">
      <c r="C979" s="23">
        <v>1100102737</v>
      </c>
      <c r="E979" s="23">
        <v>3600</v>
      </c>
      <c r="F979" s="23" t="s">
        <v>1643</v>
      </c>
      <c r="G979" s="23" t="s">
        <v>1644</v>
      </c>
      <c r="H979" s="24">
        <v>46752</v>
      </c>
      <c r="I979" s="24">
        <v>46752</v>
      </c>
      <c r="J979" s="23" t="s">
        <v>773</v>
      </c>
      <c r="K979" s="23" t="s">
        <v>773</v>
      </c>
      <c r="L979" s="23">
        <v>1</v>
      </c>
      <c r="M979" s="23" t="s">
        <v>78</v>
      </c>
      <c r="N979" s="23" t="s">
        <v>78</v>
      </c>
      <c r="O979" s="23">
        <v>42489</v>
      </c>
      <c r="P979" s="23" t="s">
        <v>79</v>
      </c>
      <c r="Q979" s="23" t="s">
        <v>119</v>
      </c>
      <c r="R979" s="23">
        <v>11100189</v>
      </c>
      <c r="S979" s="24" t="s">
        <v>80</v>
      </c>
      <c r="T979" s="24">
        <v>45968</v>
      </c>
      <c r="U979" s="24">
        <v>46751</v>
      </c>
      <c r="X979" s="24">
        <v>45968</v>
      </c>
      <c r="Y979" s="23">
        <v>1111</v>
      </c>
      <c r="Z979" s="23">
        <v>11400912</v>
      </c>
      <c r="AA979" s="23">
        <v>3201</v>
      </c>
      <c r="AB979" s="24">
        <v>45968</v>
      </c>
    </row>
    <row r="980" spans="2:28" x14ac:dyDescent="0.2">
      <c r="C980" s="23">
        <v>1100102737</v>
      </c>
      <c r="E980" s="23">
        <v>3900</v>
      </c>
      <c r="F980" s="23" t="s">
        <v>1645</v>
      </c>
      <c r="G980" s="23" t="s">
        <v>1646</v>
      </c>
      <c r="H980" s="24">
        <v>46752</v>
      </c>
      <c r="I980" s="24">
        <v>46752</v>
      </c>
      <c r="J980" s="23" t="s">
        <v>773</v>
      </c>
      <c r="K980" s="23" t="s">
        <v>773</v>
      </c>
      <c r="L980" s="23">
        <v>1</v>
      </c>
      <c r="M980" s="23" t="s">
        <v>78</v>
      </c>
      <c r="N980" s="23" t="s">
        <v>78</v>
      </c>
      <c r="O980" s="23">
        <v>42489</v>
      </c>
      <c r="P980" s="23" t="s">
        <v>79</v>
      </c>
      <c r="Q980" s="23" t="s">
        <v>119</v>
      </c>
      <c r="R980" s="23">
        <v>11100189</v>
      </c>
      <c r="S980" s="24" t="s">
        <v>80</v>
      </c>
      <c r="T980" s="24">
        <v>45968</v>
      </c>
      <c r="U980" s="24">
        <v>46751</v>
      </c>
      <c r="X980" s="24">
        <v>45968</v>
      </c>
      <c r="Y980" s="23">
        <v>1111</v>
      </c>
      <c r="Z980" s="23">
        <v>11400912</v>
      </c>
      <c r="AA980" s="23">
        <v>3201</v>
      </c>
      <c r="AB980" s="24">
        <v>45968</v>
      </c>
    </row>
    <row r="981" spans="2:28" x14ac:dyDescent="0.2">
      <c r="C981" s="23">
        <v>1100102737</v>
      </c>
      <c r="E981" s="23">
        <v>4000</v>
      </c>
      <c r="F981" s="23" t="s">
        <v>1647</v>
      </c>
      <c r="G981" s="23" t="s">
        <v>1648</v>
      </c>
      <c r="H981" s="24">
        <v>46752</v>
      </c>
      <c r="I981" s="24">
        <v>46752</v>
      </c>
      <c r="J981" s="23" t="s">
        <v>773</v>
      </c>
      <c r="K981" s="23" t="s">
        <v>773</v>
      </c>
      <c r="L981" s="23">
        <v>1</v>
      </c>
      <c r="M981" s="23" t="s">
        <v>78</v>
      </c>
      <c r="N981" s="23" t="s">
        <v>78</v>
      </c>
      <c r="O981" s="23">
        <v>42489</v>
      </c>
      <c r="P981" s="23" t="s">
        <v>79</v>
      </c>
      <c r="Q981" s="23" t="s">
        <v>119</v>
      </c>
      <c r="R981" s="23">
        <v>11100189</v>
      </c>
      <c r="S981" s="24" t="s">
        <v>80</v>
      </c>
      <c r="T981" s="24">
        <v>45968</v>
      </c>
      <c r="U981" s="24">
        <v>46751</v>
      </c>
      <c r="X981" s="24">
        <v>45968</v>
      </c>
      <c r="Y981" s="23">
        <v>1111</v>
      </c>
      <c r="Z981" s="23">
        <v>11400912</v>
      </c>
      <c r="AA981" s="23">
        <v>3201</v>
      </c>
      <c r="AB981" s="24">
        <v>45968</v>
      </c>
    </row>
    <row r="982" spans="2:28" x14ac:dyDescent="0.2">
      <c r="C982" s="23">
        <v>1100102737</v>
      </c>
      <c r="E982" s="23">
        <v>4300</v>
      </c>
      <c r="F982" s="23" t="s">
        <v>1649</v>
      </c>
      <c r="G982" s="23" t="s">
        <v>1650</v>
      </c>
      <c r="H982" s="24">
        <v>46752</v>
      </c>
      <c r="I982" s="24">
        <v>46752</v>
      </c>
      <c r="J982" s="23" t="s">
        <v>773</v>
      </c>
      <c r="K982" s="23" t="s">
        <v>773</v>
      </c>
      <c r="L982" s="23">
        <v>1</v>
      </c>
      <c r="M982" s="23" t="s">
        <v>78</v>
      </c>
      <c r="N982" s="23" t="s">
        <v>78</v>
      </c>
      <c r="O982" s="23">
        <v>42012</v>
      </c>
      <c r="P982" s="23" t="s">
        <v>79</v>
      </c>
      <c r="Q982" s="23" t="s">
        <v>119</v>
      </c>
      <c r="R982" s="23">
        <v>11100189</v>
      </c>
      <c r="S982" s="24" t="s">
        <v>80</v>
      </c>
      <c r="T982" s="24">
        <v>45968</v>
      </c>
      <c r="U982" s="24">
        <v>46751</v>
      </c>
      <c r="X982" s="24">
        <v>45968</v>
      </c>
      <c r="Y982" s="23">
        <v>1111</v>
      </c>
      <c r="Z982" s="23">
        <v>11400912</v>
      </c>
      <c r="AA982" s="23">
        <v>3201</v>
      </c>
      <c r="AB982" s="24">
        <v>45968</v>
      </c>
    </row>
    <row r="983" spans="2:28" x14ac:dyDescent="0.2">
      <c r="C983" s="23">
        <v>1100102737</v>
      </c>
      <c r="E983" s="23">
        <v>4500</v>
      </c>
      <c r="F983" s="23" t="s">
        <v>1651</v>
      </c>
      <c r="G983" s="23" t="s">
        <v>1652</v>
      </c>
      <c r="H983" s="24">
        <v>46752</v>
      </c>
      <c r="I983" s="24">
        <v>46752</v>
      </c>
      <c r="J983" s="23" t="s">
        <v>773</v>
      </c>
      <c r="K983" s="23" t="s">
        <v>773</v>
      </c>
      <c r="L983" s="23">
        <v>1</v>
      </c>
      <c r="M983" s="23" t="s">
        <v>78</v>
      </c>
      <c r="N983" s="23" t="s">
        <v>78</v>
      </c>
      <c r="O983" s="23">
        <v>42258</v>
      </c>
      <c r="P983" s="23" t="s">
        <v>79</v>
      </c>
      <c r="Q983" s="23" t="s">
        <v>119</v>
      </c>
      <c r="R983" s="23">
        <v>11100189</v>
      </c>
      <c r="S983" s="24" t="s">
        <v>80</v>
      </c>
      <c r="T983" s="24">
        <v>45968</v>
      </c>
      <c r="U983" s="24">
        <v>46751</v>
      </c>
      <c r="X983" s="24">
        <v>45968</v>
      </c>
      <c r="Y983" s="23">
        <v>1111</v>
      </c>
      <c r="Z983" s="23">
        <v>11400912</v>
      </c>
      <c r="AA983" s="23">
        <v>3201</v>
      </c>
      <c r="AB983" s="24">
        <v>45968</v>
      </c>
    </row>
    <row r="984" spans="2:28" x14ac:dyDescent="0.2">
      <c r="C984" s="23">
        <v>1100102737</v>
      </c>
      <c r="E984" s="23">
        <v>4700</v>
      </c>
      <c r="F984" s="23" t="s">
        <v>1653</v>
      </c>
      <c r="G984" s="23" t="s">
        <v>1654</v>
      </c>
      <c r="H984" s="24">
        <v>46752</v>
      </c>
      <c r="I984" s="24">
        <v>46752</v>
      </c>
      <c r="J984" s="23" t="s">
        <v>773</v>
      </c>
      <c r="K984" s="23" t="s">
        <v>773</v>
      </c>
      <c r="L984" s="23">
        <v>1</v>
      </c>
      <c r="M984" s="23" t="s">
        <v>78</v>
      </c>
      <c r="N984" s="23" t="s">
        <v>78</v>
      </c>
      <c r="O984" s="23">
        <v>41491</v>
      </c>
      <c r="P984" s="23" t="s">
        <v>79</v>
      </c>
      <c r="Q984" s="23" t="s">
        <v>119</v>
      </c>
      <c r="R984" s="23">
        <v>11100189</v>
      </c>
      <c r="S984" s="24" t="s">
        <v>80</v>
      </c>
      <c r="T984" s="24">
        <v>45968</v>
      </c>
      <c r="U984" s="24">
        <v>46751</v>
      </c>
      <c r="X984" s="24">
        <v>45968</v>
      </c>
      <c r="Y984" s="23">
        <v>1111</v>
      </c>
      <c r="Z984" s="23">
        <v>11400912</v>
      </c>
      <c r="AA984" s="23">
        <v>3201</v>
      </c>
      <c r="AB984" s="24">
        <v>45968</v>
      </c>
    </row>
    <row r="985" spans="2:28" x14ac:dyDescent="0.2">
      <c r="C985" s="23">
        <v>1100102737</v>
      </c>
      <c r="E985" s="23">
        <v>4900</v>
      </c>
      <c r="F985" s="23" t="s">
        <v>1655</v>
      </c>
      <c r="G985" s="23" t="s">
        <v>1656</v>
      </c>
      <c r="H985" s="24">
        <v>46752</v>
      </c>
      <c r="I985" s="24">
        <v>46752</v>
      </c>
      <c r="J985" s="23" t="s">
        <v>773</v>
      </c>
      <c r="K985" s="23" t="s">
        <v>773</v>
      </c>
      <c r="L985" s="23">
        <v>1</v>
      </c>
      <c r="M985" s="23" t="s">
        <v>78</v>
      </c>
      <c r="N985" s="23" t="s">
        <v>78</v>
      </c>
      <c r="O985" s="23">
        <v>42012</v>
      </c>
      <c r="P985" s="23" t="s">
        <v>79</v>
      </c>
      <c r="Q985" s="23" t="s">
        <v>119</v>
      </c>
      <c r="R985" s="23">
        <v>11100189</v>
      </c>
      <c r="S985" s="24" t="s">
        <v>80</v>
      </c>
      <c r="T985" s="24">
        <v>45968</v>
      </c>
      <c r="U985" s="24">
        <v>46751</v>
      </c>
      <c r="X985" s="24">
        <v>45968</v>
      </c>
      <c r="Y985" s="23">
        <v>1111</v>
      </c>
      <c r="Z985" s="23">
        <v>11400912</v>
      </c>
      <c r="AA985" s="23">
        <v>3201</v>
      </c>
      <c r="AB985" s="24">
        <v>45968</v>
      </c>
    </row>
    <row r="986" spans="2:28" x14ac:dyDescent="0.2">
      <c r="C986" s="23">
        <v>1100102737</v>
      </c>
      <c r="E986" s="23">
        <v>5000</v>
      </c>
      <c r="F986" s="23" t="s">
        <v>1657</v>
      </c>
      <c r="G986" s="23" t="s">
        <v>1658</v>
      </c>
      <c r="H986" s="24">
        <v>46752</v>
      </c>
      <c r="I986" s="24">
        <v>46752</v>
      </c>
      <c r="J986" s="23" t="s">
        <v>773</v>
      </c>
      <c r="K986" s="23" t="s">
        <v>773</v>
      </c>
      <c r="L986" s="23">
        <v>1</v>
      </c>
      <c r="M986" s="23" t="s">
        <v>78</v>
      </c>
      <c r="N986" s="23" t="s">
        <v>78</v>
      </c>
      <c r="O986" s="23">
        <v>57387</v>
      </c>
      <c r="P986" s="23" t="s">
        <v>79</v>
      </c>
      <c r="Q986" s="23" t="s">
        <v>119</v>
      </c>
      <c r="R986" s="23">
        <v>11100189</v>
      </c>
      <c r="S986" s="24" t="s">
        <v>80</v>
      </c>
      <c r="T986" s="24">
        <v>45968</v>
      </c>
      <c r="U986" s="24">
        <v>46751</v>
      </c>
      <c r="X986" s="24">
        <v>45968</v>
      </c>
      <c r="Y986" s="23">
        <v>1111</v>
      </c>
      <c r="Z986" s="23">
        <v>11400912</v>
      </c>
      <c r="AA986" s="23">
        <v>3201</v>
      </c>
      <c r="AB986" s="24">
        <v>45968</v>
      </c>
    </row>
    <row r="987" spans="2:28" x14ac:dyDescent="0.2">
      <c r="C987" s="23">
        <v>1100102737</v>
      </c>
      <c r="E987" s="23">
        <v>5100</v>
      </c>
      <c r="F987" s="23" t="s">
        <v>1659</v>
      </c>
      <c r="G987" s="23" t="s">
        <v>1660</v>
      </c>
      <c r="H987" s="24">
        <v>46752</v>
      </c>
      <c r="I987" s="24">
        <v>46752</v>
      </c>
      <c r="J987" s="23" t="s">
        <v>773</v>
      </c>
      <c r="K987" s="23" t="s">
        <v>773</v>
      </c>
      <c r="L987" s="23">
        <v>1</v>
      </c>
      <c r="M987" s="23" t="s">
        <v>78</v>
      </c>
      <c r="N987" s="23" t="s">
        <v>78</v>
      </c>
      <c r="O987" s="23">
        <v>77056</v>
      </c>
      <c r="P987" s="23" t="s">
        <v>79</v>
      </c>
      <c r="Q987" s="23" t="s">
        <v>119</v>
      </c>
      <c r="R987" s="23">
        <v>11100189</v>
      </c>
      <c r="S987" s="24" t="s">
        <v>80</v>
      </c>
      <c r="T987" s="24">
        <v>45968</v>
      </c>
      <c r="U987" s="24">
        <v>46751</v>
      </c>
      <c r="X987" s="24">
        <v>45968</v>
      </c>
      <c r="Y987" s="23">
        <v>1111</v>
      </c>
      <c r="Z987" s="23">
        <v>11400912</v>
      </c>
      <c r="AA987" s="23">
        <v>3201</v>
      </c>
      <c r="AB987" s="24">
        <v>45968</v>
      </c>
    </row>
    <row r="988" spans="2:28" x14ac:dyDescent="0.2">
      <c r="C988" s="23">
        <v>1100102737</v>
      </c>
      <c r="E988" s="23">
        <v>5200</v>
      </c>
      <c r="F988" s="23" t="s">
        <v>1661</v>
      </c>
      <c r="G988" s="23" t="s">
        <v>1662</v>
      </c>
      <c r="H988" s="24">
        <v>46752</v>
      </c>
      <c r="I988" s="24">
        <v>46752</v>
      </c>
      <c r="J988" s="23" t="s">
        <v>773</v>
      </c>
      <c r="K988" s="23" t="s">
        <v>773</v>
      </c>
      <c r="L988" s="23">
        <v>1</v>
      </c>
      <c r="M988" s="23" t="s">
        <v>78</v>
      </c>
      <c r="N988" s="23" t="s">
        <v>78</v>
      </c>
      <c r="O988" s="23">
        <v>78842</v>
      </c>
      <c r="P988" s="23" t="s">
        <v>79</v>
      </c>
      <c r="Q988" s="23" t="s">
        <v>119</v>
      </c>
      <c r="R988" s="23">
        <v>11100189</v>
      </c>
      <c r="S988" s="24" t="s">
        <v>80</v>
      </c>
      <c r="T988" s="24">
        <v>45968</v>
      </c>
      <c r="U988" s="24">
        <v>46751</v>
      </c>
      <c r="X988" s="24">
        <v>45968</v>
      </c>
      <c r="Y988" s="23">
        <v>1111</v>
      </c>
      <c r="Z988" s="23">
        <v>11400912</v>
      </c>
      <c r="AA988" s="23">
        <v>3201</v>
      </c>
      <c r="AB988" s="24">
        <v>45968</v>
      </c>
    </row>
    <row r="989" spans="2:28" x14ac:dyDescent="0.2">
      <c r="C989" s="23">
        <v>1100102737</v>
      </c>
      <c r="E989" s="23">
        <v>5300</v>
      </c>
      <c r="F989" s="23" t="s">
        <v>1663</v>
      </c>
      <c r="G989" s="23" t="s">
        <v>1664</v>
      </c>
      <c r="H989" s="24">
        <v>46752</v>
      </c>
      <c r="I989" s="24">
        <v>46752</v>
      </c>
      <c r="J989" s="23" t="s">
        <v>773</v>
      </c>
      <c r="K989" s="23" t="s">
        <v>773</v>
      </c>
      <c r="L989" s="23">
        <v>1</v>
      </c>
      <c r="M989" s="23" t="s">
        <v>78</v>
      </c>
      <c r="N989" s="23" t="s">
        <v>78</v>
      </c>
      <c r="O989" s="23">
        <v>61106</v>
      </c>
      <c r="P989" s="23" t="s">
        <v>79</v>
      </c>
      <c r="Q989" s="23" t="s">
        <v>119</v>
      </c>
      <c r="R989" s="23">
        <v>11100189</v>
      </c>
      <c r="S989" s="24" t="s">
        <v>80</v>
      </c>
      <c r="T989" s="24">
        <v>45968</v>
      </c>
      <c r="U989" s="24">
        <v>46751</v>
      </c>
      <c r="X989" s="24">
        <v>45968</v>
      </c>
      <c r="Y989" s="23">
        <v>1111</v>
      </c>
      <c r="Z989" s="23">
        <v>11400912</v>
      </c>
      <c r="AA989" s="23">
        <v>3201</v>
      </c>
      <c r="AB989" s="24">
        <v>45968</v>
      </c>
    </row>
    <row r="990" spans="2:28" x14ac:dyDescent="0.2">
      <c r="C990" s="23">
        <v>1100102737</v>
      </c>
      <c r="E990" s="23">
        <v>6100</v>
      </c>
      <c r="F990" s="23" t="s">
        <v>1665</v>
      </c>
      <c r="G990" s="23" t="s">
        <v>1666</v>
      </c>
      <c r="H990" s="24">
        <v>46752</v>
      </c>
      <c r="I990" s="24">
        <v>46752</v>
      </c>
      <c r="J990" s="23" t="s">
        <v>773</v>
      </c>
      <c r="K990" s="23" t="s">
        <v>773</v>
      </c>
      <c r="L990" s="23">
        <v>1</v>
      </c>
      <c r="M990" s="23" t="s">
        <v>78</v>
      </c>
      <c r="N990" s="23" t="s">
        <v>78</v>
      </c>
      <c r="O990" s="23">
        <v>42444</v>
      </c>
      <c r="P990" s="23" t="s">
        <v>79</v>
      </c>
      <c r="Q990" s="23" t="s">
        <v>119</v>
      </c>
      <c r="R990" s="23">
        <v>11100189</v>
      </c>
      <c r="S990" s="24" t="s">
        <v>80</v>
      </c>
      <c r="T990" s="24">
        <v>45968</v>
      </c>
      <c r="U990" s="24">
        <v>46751</v>
      </c>
      <c r="X990" s="24">
        <v>45968</v>
      </c>
      <c r="Y990" s="23">
        <v>1111</v>
      </c>
      <c r="Z990" s="23">
        <v>11400912</v>
      </c>
      <c r="AA990" s="23">
        <v>3201</v>
      </c>
      <c r="AB990" s="24">
        <v>45968</v>
      </c>
    </row>
    <row r="991" spans="2:28" x14ac:dyDescent="0.2">
      <c r="C991" s="23">
        <v>1100102737</v>
      </c>
      <c r="E991" s="23">
        <v>6200</v>
      </c>
      <c r="F991" s="23" t="s">
        <v>1667</v>
      </c>
      <c r="G991" s="23" t="s">
        <v>1668</v>
      </c>
      <c r="H991" s="24">
        <v>46752</v>
      </c>
      <c r="I991" s="24">
        <v>46752</v>
      </c>
      <c r="J991" s="23" t="s">
        <v>773</v>
      </c>
      <c r="K991" s="23" t="s">
        <v>773</v>
      </c>
      <c r="L991" s="23">
        <v>1</v>
      </c>
      <c r="M991" s="23" t="s">
        <v>78</v>
      </c>
      <c r="N991" s="23" t="s">
        <v>78</v>
      </c>
      <c r="O991" s="23">
        <v>42444</v>
      </c>
      <c r="P991" s="23" t="s">
        <v>79</v>
      </c>
      <c r="Q991" s="23" t="s">
        <v>119</v>
      </c>
      <c r="R991" s="23">
        <v>11100189</v>
      </c>
      <c r="S991" s="24" t="s">
        <v>80</v>
      </c>
      <c r="T991" s="24">
        <v>45968</v>
      </c>
      <c r="U991" s="24">
        <v>46751</v>
      </c>
      <c r="X991" s="24">
        <v>45968</v>
      </c>
      <c r="Y991" s="23">
        <v>1111</v>
      </c>
      <c r="Z991" s="23">
        <v>11400912</v>
      </c>
      <c r="AA991" s="23">
        <v>3201</v>
      </c>
      <c r="AB991" s="24">
        <v>45968</v>
      </c>
    </row>
    <row r="992" spans="2:28" x14ac:dyDescent="0.2">
      <c r="B992" s="23" t="s">
        <v>81</v>
      </c>
      <c r="C992" s="23">
        <v>1100102737</v>
      </c>
      <c r="H992" s="24">
        <v>46752</v>
      </c>
      <c r="O992" s="23">
        <v>1055540</v>
      </c>
      <c r="P992" s="23" t="s">
        <v>79</v>
      </c>
    </row>
    <row r="993" spans="2:28" x14ac:dyDescent="0.2">
      <c r="C993" s="23">
        <v>1100102746</v>
      </c>
      <c r="E993" s="23">
        <v>900</v>
      </c>
      <c r="F993" s="23" t="s">
        <v>1669</v>
      </c>
      <c r="G993" s="23" t="s">
        <v>1670</v>
      </c>
      <c r="H993" s="24">
        <v>46752</v>
      </c>
      <c r="I993" s="24">
        <v>46752</v>
      </c>
      <c r="J993" s="23" t="s">
        <v>416</v>
      </c>
      <c r="K993" s="23" t="s">
        <v>416</v>
      </c>
      <c r="L993" s="23">
        <v>1</v>
      </c>
      <c r="M993" s="23" t="s">
        <v>78</v>
      </c>
      <c r="N993" s="23" t="s">
        <v>78</v>
      </c>
      <c r="O993" s="23">
        <v>1000</v>
      </c>
      <c r="P993" s="23" t="s">
        <v>79</v>
      </c>
      <c r="Q993" s="23" t="s">
        <v>119</v>
      </c>
      <c r="R993" s="23">
        <v>11100189</v>
      </c>
      <c r="S993" s="24">
        <v>46037</v>
      </c>
      <c r="T993" s="24">
        <v>45986</v>
      </c>
      <c r="U993" s="24">
        <v>46751</v>
      </c>
      <c r="X993" s="24">
        <v>45986</v>
      </c>
      <c r="Y993" s="23">
        <v>1111</v>
      </c>
      <c r="Z993" s="23">
        <v>11400912</v>
      </c>
      <c r="AA993" s="23">
        <v>320103</v>
      </c>
      <c r="AB993" s="24">
        <v>45986</v>
      </c>
    </row>
    <row r="994" spans="2:28" x14ac:dyDescent="0.2">
      <c r="B994" s="23" t="s">
        <v>81</v>
      </c>
      <c r="C994" s="23">
        <v>1100102746</v>
      </c>
      <c r="H994" s="24">
        <v>46752</v>
      </c>
      <c r="O994" s="23">
        <v>1000</v>
      </c>
      <c r="P994" s="23" t="s">
        <v>79</v>
      </c>
    </row>
    <row r="995" spans="2:28" x14ac:dyDescent="0.2">
      <c r="C995" s="23">
        <v>1100102750</v>
      </c>
      <c r="E995" s="23">
        <v>750</v>
      </c>
      <c r="F995" s="23" t="s">
        <v>1671</v>
      </c>
      <c r="G995" s="23" t="s">
        <v>305</v>
      </c>
      <c r="H995" s="24">
        <v>46752</v>
      </c>
      <c r="I995" s="24">
        <v>46752</v>
      </c>
      <c r="J995" s="23" t="s">
        <v>1107</v>
      </c>
      <c r="K995" s="23" t="s">
        <v>1107</v>
      </c>
      <c r="L995" s="23">
        <v>1</v>
      </c>
      <c r="M995" s="23" t="s">
        <v>78</v>
      </c>
      <c r="N995" s="23" t="s">
        <v>78</v>
      </c>
      <c r="O995" s="23">
        <v>0</v>
      </c>
      <c r="P995" s="23" t="s">
        <v>79</v>
      </c>
      <c r="Q995" s="23" t="s">
        <v>83</v>
      </c>
      <c r="R995" s="23">
        <v>11100189</v>
      </c>
      <c r="S995" s="24" t="s">
        <v>80</v>
      </c>
      <c r="T995" s="24">
        <v>46005</v>
      </c>
      <c r="U995" s="24">
        <v>46751</v>
      </c>
      <c r="X995" s="24">
        <v>46005</v>
      </c>
      <c r="Y995" s="23">
        <v>1111</v>
      </c>
      <c r="Z995" s="23">
        <v>11400912</v>
      </c>
      <c r="AA995" s="23">
        <v>5161</v>
      </c>
      <c r="AB995" s="24">
        <v>46005</v>
      </c>
    </row>
    <row r="996" spans="2:28" x14ac:dyDescent="0.2">
      <c r="B996" s="23" t="s">
        <v>81</v>
      </c>
      <c r="C996" s="23">
        <v>1100102750</v>
      </c>
      <c r="H996" s="24">
        <v>46752</v>
      </c>
      <c r="O996" s="23">
        <v>0</v>
      </c>
      <c r="P996" s="23" t="s">
        <v>79</v>
      </c>
    </row>
    <row r="997" spans="2:28" x14ac:dyDescent="0.2">
      <c r="C997" s="23">
        <v>1100102752</v>
      </c>
      <c r="E997" s="23">
        <v>750</v>
      </c>
      <c r="F997" s="23" t="s">
        <v>1672</v>
      </c>
      <c r="G997" s="23" t="s">
        <v>305</v>
      </c>
      <c r="H997" s="24">
        <v>46752</v>
      </c>
      <c r="I997" s="24">
        <v>46752</v>
      </c>
      <c r="J997" s="23" t="s">
        <v>1272</v>
      </c>
      <c r="K997" s="23" t="s">
        <v>1272</v>
      </c>
      <c r="L997" s="23">
        <v>1</v>
      </c>
      <c r="M997" s="23" t="s">
        <v>78</v>
      </c>
      <c r="N997" s="23" t="s">
        <v>78</v>
      </c>
      <c r="O997" s="23">
        <v>0</v>
      </c>
      <c r="P997" s="23" t="s">
        <v>79</v>
      </c>
      <c r="Q997" s="23" t="s">
        <v>83</v>
      </c>
      <c r="R997" s="23">
        <v>11100018</v>
      </c>
      <c r="S997" s="24" t="s">
        <v>80</v>
      </c>
      <c r="T997" s="24">
        <v>46007</v>
      </c>
      <c r="U997" s="24">
        <v>46752</v>
      </c>
      <c r="X997" s="24">
        <v>46007</v>
      </c>
      <c r="Y997" s="23">
        <v>1111</v>
      </c>
      <c r="Z997" s="23">
        <v>11400912</v>
      </c>
      <c r="AA997" s="23">
        <v>3301</v>
      </c>
      <c r="AB997" s="24">
        <v>46007</v>
      </c>
    </row>
    <row r="998" spans="2:28" x14ac:dyDescent="0.2">
      <c r="C998" s="23">
        <v>1100102752</v>
      </c>
      <c r="E998" s="23">
        <v>800</v>
      </c>
      <c r="F998" s="23" t="s">
        <v>1673</v>
      </c>
      <c r="G998" s="23" t="s">
        <v>1674</v>
      </c>
      <c r="H998" s="24">
        <v>46752</v>
      </c>
      <c r="I998" s="24">
        <v>46752</v>
      </c>
      <c r="J998" s="23" t="s">
        <v>1272</v>
      </c>
      <c r="K998" s="23" t="s">
        <v>1272</v>
      </c>
      <c r="L998" s="23">
        <v>1</v>
      </c>
      <c r="M998" s="23" t="s">
        <v>78</v>
      </c>
      <c r="N998" s="23" t="s">
        <v>78</v>
      </c>
      <c r="O998" s="23">
        <v>22669</v>
      </c>
      <c r="P998" s="23" t="s">
        <v>79</v>
      </c>
      <c r="Q998" s="23" t="s">
        <v>119</v>
      </c>
      <c r="R998" s="23">
        <v>11100018</v>
      </c>
      <c r="S998" s="24">
        <v>46138</v>
      </c>
      <c r="T998" s="24">
        <v>46007</v>
      </c>
      <c r="U998" s="24">
        <v>46752</v>
      </c>
      <c r="X998" s="24">
        <v>46007</v>
      </c>
      <c r="Y998" s="23">
        <v>1111</v>
      </c>
      <c r="Z998" s="23">
        <v>11400912</v>
      </c>
      <c r="AA998" s="23">
        <v>3301</v>
      </c>
      <c r="AB998" s="24">
        <v>46007</v>
      </c>
    </row>
    <row r="999" spans="2:28" x14ac:dyDescent="0.2">
      <c r="C999" s="23">
        <v>1100102752</v>
      </c>
      <c r="E999" s="23">
        <v>900</v>
      </c>
      <c r="F999" s="23" t="s">
        <v>1675</v>
      </c>
      <c r="G999" s="23" t="s">
        <v>1676</v>
      </c>
      <c r="H999" s="24">
        <v>46752</v>
      </c>
      <c r="I999" s="24">
        <v>46752</v>
      </c>
      <c r="J999" s="23" t="s">
        <v>1272</v>
      </c>
      <c r="K999" s="23" t="s">
        <v>1272</v>
      </c>
      <c r="L999" s="23">
        <v>1</v>
      </c>
      <c r="M999" s="23" t="s">
        <v>78</v>
      </c>
      <c r="N999" s="23" t="s">
        <v>78</v>
      </c>
      <c r="O999" s="23">
        <v>22187</v>
      </c>
      <c r="P999" s="23" t="s">
        <v>79</v>
      </c>
      <c r="Q999" s="23" t="s">
        <v>119</v>
      </c>
      <c r="R999" s="23">
        <v>11100018</v>
      </c>
      <c r="S999" s="24">
        <v>46138</v>
      </c>
      <c r="T999" s="24">
        <v>46007</v>
      </c>
      <c r="U999" s="24">
        <v>46752</v>
      </c>
      <c r="X999" s="24">
        <v>46007</v>
      </c>
      <c r="Y999" s="23">
        <v>1111</v>
      </c>
      <c r="Z999" s="23">
        <v>11400912</v>
      </c>
      <c r="AA999" s="23">
        <v>3301</v>
      </c>
      <c r="AB999" s="24">
        <v>46007</v>
      </c>
    </row>
    <row r="1000" spans="2:28" x14ac:dyDescent="0.2">
      <c r="C1000" s="23">
        <v>1100102752</v>
      </c>
      <c r="E1000" s="23">
        <v>1000</v>
      </c>
      <c r="F1000" s="23" t="s">
        <v>1677</v>
      </c>
      <c r="G1000" s="23" t="s">
        <v>573</v>
      </c>
      <c r="H1000" s="24">
        <v>46752</v>
      </c>
      <c r="I1000" s="24">
        <v>46752</v>
      </c>
      <c r="J1000" s="23" t="s">
        <v>1272</v>
      </c>
      <c r="K1000" s="23" t="s">
        <v>1272</v>
      </c>
      <c r="L1000" s="23">
        <v>1</v>
      </c>
      <c r="M1000" s="23" t="s">
        <v>78</v>
      </c>
      <c r="N1000" s="23" t="s">
        <v>78</v>
      </c>
      <c r="O1000" s="23">
        <v>22669</v>
      </c>
      <c r="P1000" s="23" t="s">
        <v>79</v>
      </c>
      <c r="Q1000" s="23" t="s">
        <v>119</v>
      </c>
      <c r="R1000" s="23">
        <v>11100018</v>
      </c>
      <c r="S1000" s="24">
        <v>46138</v>
      </c>
      <c r="T1000" s="24">
        <v>46007</v>
      </c>
      <c r="U1000" s="24">
        <v>46752</v>
      </c>
      <c r="X1000" s="24">
        <v>46007</v>
      </c>
      <c r="Y1000" s="23">
        <v>1111</v>
      </c>
      <c r="Z1000" s="23">
        <v>11400912</v>
      </c>
      <c r="AA1000" s="23">
        <v>3301</v>
      </c>
      <c r="AB1000" s="24">
        <v>46007</v>
      </c>
    </row>
    <row r="1001" spans="2:28" x14ac:dyDescent="0.2">
      <c r="C1001" s="23">
        <v>1100102752</v>
      </c>
      <c r="E1001" s="23">
        <v>1100</v>
      </c>
      <c r="F1001" s="23" t="s">
        <v>1678</v>
      </c>
      <c r="G1001" s="23" t="s">
        <v>1514</v>
      </c>
      <c r="H1001" s="24">
        <v>46752</v>
      </c>
      <c r="I1001" s="24">
        <v>46752</v>
      </c>
      <c r="J1001" s="23" t="s">
        <v>1272</v>
      </c>
      <c r="K1001" s="23" t="s">
        <v>1272</v>
      </c>
      <c r="L1001" s="23">
        <v>1</v>
      </c>
      <c r="M1001" s="23" t="s">
        <v>78</v>
      </c>
      <c r="N1001" s="23" t="s">
        <v>78</v>
      </c>
      <c r="O1001" s="23">
        <v>23331</v>
      </c>
      <c r="P1001" s="23" t="s">
        <v>79</v>
      </c>
      <c r="Q1001" s="23" t="s">
        <v>119</v>
      </c>
      <c r="R1001" s="23">
        <v>11100018</v>
      </c>
      <c r="S1001" s="24">
        <v>46138</v>
      </c>
      <c r="T1001" s="24">
        <v>46007</v>
      </c>
      <c r="U1001" s="24">
        <v>46752</v>
      </c>
      <c r="X1001" s="24">
        <v>46007</v>
      </c>
      <c r="Y1001" s="23">
        <v>1111</v>
      </c>
      <c r="Z1001" s="23">
        <v>11400912</v>
      </c>
      <c r="AA1001" s="23">
        <v>3301</v>
      </c>
      <c r="AB1001" s="24">
        <v>46007</v>
      </c>
    </row>
    <row r="1002" spans="2:28" x14ac:dyDescent="0.2">
      <c r="C1002" s="23">
        <v>1100102752</v>
      </c>
      <c r="E1002" s="23">
        <v>1200</v>
      </c>
      <c r="F1002" s="23" t="s">
        <v>1679</v>
      </c>
      <c r="G1002" s="23" t="s">
        <v>1516</v>
      </c>
      <c r="H1002" s="24">
        <v>46752</v>
      </c>
      <c r="I1002" s="24">
        <v>46752</v>
      </c>
      <c r="J1002" s="23" t="s">
        <v>1272</v>
      </c>
      <c r="K1002" s="23" t="s">
        <v>1272</v>
      </c>
      <c r="L1002" s="23">
        <v>1</v>
      </c>
      <c r="M1002" s="23" t="s">
        <v>78</v>
      </c>
      <c r="N1002" s="23" t="s">
        <v>78</v>
      </c>
      <c r="O1002" s="23">
        <v>22187</v>
      </c>
      <c r="P1002" s="23" t="s">
        <v>79</v>
      </c>
      <c r="Q1002" s="23" t="s">
        <v>119</v>
      </c>
      <c r="R1002" s="23">
        <v>11100018</v>
      </c>
      <c r="S1002" s="24">
        <v>46138</v>
      </c>
      <c r="T1002" s="24">
        <v>46007</v>
      </c>
      <c r="U1002" s="24">
        <v>46752</v>
      </c>
      <c r="X1002" s="24">
        <v>46007</v>
      </c>
      <c r="Y1002" s="23">
        <v>1111</v>
      </c>
      <c r="Z1002" s="23">
        <v>11400912</v>
      </c>
      <c r="AA1002" s="23">
        <v>3301</v>
      </c>
      <c r="AB1002" s="24">
        <v>46007</v>
      </c>
    </row>
    <row r="1003" spans="2:28" x14ac:dyDescent="0.2">
      <c r="C1003" s="23">
        <v>1100102752</v>
      </c>
      <c r="E1003" s="23">
        <v>1300</v>
      </c>
      <c r="F1003" s="23" t="s">
        <v>1680</v>
      </c>
      <c r="G1003" s="23" t="s">
        <v>1681</v>
      </c>
      <c r="H1003" s="24">
        <v>46752</v>
      </c>
      <c r="I1003" s="24">
        <v>46752</v>
      </c>
      <c r="J1003" s="23" t="s">
        <v>1272</v>
      </c>
      <c r="K1003" s="23" t="s">
        <v>1272</v>
      </c>
      <c r="L1003" s="23">
        <v>1</v>
      </c>
      <c r="M1003" s="23" t="s">
        <v>78</v>
      </c>
      <c r="N1003" s="23" t="s">
        <v>78</v>
      </c>
      <c r="O1003" s="23">
        <v>21310</v>
      </c>
      <c r="P1003" s="23" t="s">
        <v>79</v>
      </c>
      <c r="Q1003" s="23" t="s">
        <v>119</v>
      </c>
      <c r="R1003" s="23">
        <v>11100018</v>
      </c>
      <c r="S1003" s="24">
        <v>46138</v>
      </c>
      <c r="T1003" s="24">
        <v>46007</v>
      </c>
      <c r="U1003" s="24">
        <v>46752</v>
      </c>
      <c r="X1003" s="24">
        <v>46007</v>
      </c>
      <c r="Y1003" s="23">
        <v>1111</v>
      </c>
      <c r="Z1003" s="23">
        <v>11400912</v>
      </c>
      <c r="AA1003" s="23">
        <v>3301</v>
      </c>
      <c r="AB1003" s="24">
        <v>46007</v>
      </c>
    </row>
    <row r="1004" spans="2:28" x14ac:dyDescent="0.2">
      <c r="C1004" s="23">
        <v>1100102752</v>
      </c>
      <c r="E1004" s="23">
        <v>1400</v>
      </c>
      <c r="F1004" s="23" t="s">
        <v>1682</v>
      </c>
      <c r="G1004" s="23" t="s">
        <v>1683</v>
      </c>
      <c r="H1004" s="24">
        <v>46752</v>
      </c>
      <c r="I1004" s="24">
        <v>46752</v>
      </c>
      <c r="J1004" s="23" t="s">
        <v>1272</v>
      </c>
      <c r="K1004" s="23" t="s">
        <v>1272</v>
      </c>
      <c r="L1004" s="23">
        <v>1</v>
      </c>
      <c r="M1004" s="23" t="s">
        <v>78</v>
      </c>
      <c r="N1004" s="23" t="s">
        <v>78</v>
      </c>
      <c r="O1004" s="23">
        <v>21310</v>
      </c>
      <c r="P1004" s="23" t="s">
        <v>79</v>
      </c>
      <c r="Q1004" s="23" t="s">
        <v>119</v>
      </c>
      <c r="R1004" s="23">
        <v>11100018</v>
      </c>
      <c r="S1004" s="24">
        <v>46138</v>
      </c>
      <c r="T1004" s="24">
        <v>46007</v>
      </c>
      <c r="U1004" s="24">
        <v>46752</v>
      </c>
      <c r="X1004" s="24">
        <v>46007</v>
      </c>
      <c r="Y1004" s="23">
        <v>1111</v>
      </c>
      <c r="Z1004" s="23">
        <v>11400912</v>
      </c>
      <c r="AA1004" s="23">
        <v>3301</v>
      </c>
      <c r="AB1004" s="24">
        <v>46007</v>
      </c>
    </row>
    <row r="1005" spans="2:28" x14ac:dyDescent="0.2">
      <c r="C1005" s="23">
        <v>1100102752</v>
      </c>
      <c r="E1005" s="23">
        <v>1500</v>
      </c>
      <c r="F1005" s="23" t="s">
        <v>1684</v>
      </c>
      <c r="G1005" s="23" t="s">
        <v>1482</v>
      </c>
      <c r="H1005" s="24">
        <v>46752</v>
      </c>
      <c r="I1005" s="24">
        <v>46752</v>
      </c>
      <c r="J1005" s="23" t="s">
        <v>1272</v>
      </c>
      <c r="K1005" s="23" t="s">
        <v>1272</v>
      </c>
      <c r="L1005" s="23">
        <v>1</v>
      </c>
      <c r="M1005" s="23" t="s">
        <v>78</v>
      </c>
      <c r="N1005" s="23" t="s">
        <v>78</v>
      </c>
      <c r="O1005" s="23">
        <v>22187</v>
      </c>
      <c r="P1005" s="23" t="s">
        <v>79</v>
      </c>
      <c r="Q1005" s="23" t="s">
        <v>119</v>
      </c>
      <c r="R1005" s="23">
        <v>11100018</v>
      </c>
      <c r="S1005" s="24">
        <v>46138</v>
      </c>
      <c r="T1005" s="24">
        <v>46007</v>
      </c>
      <c r="U1005" s="24">
        <v>46752</v>
      </c>
      <c r="X1005" s="24">
        <v>46007</v>
      </c>
      <c r="Y1005" s="23">
        <v>1111</v>
      </c>
      <c r="Z1005" s="23">
        <v>11400912</v>
      </c>
      <c r="AA1005" s="23">
        <v>3301</v>
      </c>
      <c r="AB1005" s="24">
        <v>46007</v>
      </c>
    </row>
    <row r="1006" spans="2:28" x14ac:dyDescent="0.2">
      <c r="C1006" s="23">
        <v>1100102752</v>
      </c>
      <c r="E1006" s="23">
        <v>1600</v>
      </c>
      <c r="F1006" s="23" t="s">
        <v>1685</v>
      </c>
      <c r="G1006" s="23" t="s">
        <v>1686</v>
      </c>
      <c r="H1006" s="24">
        <v>46752</v>
      </c>
      <c r="I1006" s="24">
        <v>46752</v>
      </c>
      <c r="J1006" s="23" t="s">
        <v>1272</v>
      </c>
      <c r="K1006" s="23" t="s">
        <v>1272</v>
      </c>
      <c r="L1006" s="23">
        <v>1</v>
      </c>
      <c r="M1006" s="23" t="s">
        <v>78</v>
      </c>
      <c r="N1006" s="23" t="s">
        <v>78</v>
      </c>
      <c r="O1006" s="23">
        <v>22187</v>
      </c>
      <c r="P1006" s="23" t="s">
        <v>79</v>
      </c>
      <c r="Q1006" s="23" t="s">
        <v>119</v>
      </c>
      <c r="R1006" s="23">
        <v>11100018</v>
      </c>
      <c r="S1006" s="24">
        <v>46138</v>
      </c>
      <c r="T1006" s="24">
        <v>46007</v>
      </c>
      <c r="U1006" s="24">
        <v>46752</v>
      </c>
      <c r="X1006" s="24">
        <v>46007</v>
      </c>
      <c r="Y1006" s="23">
        <v>1111</v>
      </c>
      <c r="Z1006" s="23">
        <v>11400912</v>
      </c>
      <c r="AA1006" s="23">
        <v>3301</v>
      </c>
      <c r="AB1006" s="24">
        <v>46007</v>
      </c>
    </row>
    <row r="1007" spans="2:28" x14ac:dyDescent="0.2">
      <c r="C1007" s="23">
        <v>1100102752</v>
      </c>
      <c r="E1007" s="23">
        <v>1700</v>
      </c>
      <c r="F1007" s="23" t="s">
        <v>1687</v>
      </c>
      <c r="G1007" s="23" t="s">
        <v>1688</v>
      </c>
      <c r="H1007" s="24">
        <v>46752</v>
      </c>
      <c r="I1007" s="24">
        <v>46752</v>
      </c>
      <c r="J1007" s="23" t="s">
        <v>1272</v>
      </c>
      <c r="K1007" s="23" t="s">
        <v>1272</v>
      </c>
      <c r="L1007" s="23">
        <v>1</v>
      </c>
      <c r="M1007" s="23" t="s">
        <v>78</v>
      </c>
      <c r="N1007" s="23" t="s">
        <v>78</v>
      </c>
      <c r="O1007" s="23">
        <v>24445</v>
      </c>
      <c r="P1007" s="23" t="s">
        <v>79</v>
      </c>
      <c r="Q1007" s="23" t="s">
        <v>119</v>
      </c>
      <c r="R1007" s="23">
        <v>11100018</v>
      </c>
      <c r="S1007" s="24">
        <v>46138</v>
      </c>
      <c r="T1007" s="24">
        <v>46007</v>
      </c>
      <c r="U1007" s="24">
        <v>46752</v>
      </c>
      <c r="X1007" s="24">
        <v>46007</v>
      </c>
      <c r="Y1007" s="23">
        <v>1111</v>
      </c>
      <c r="Z1007" s="23">
        <v>11400912</v>
      </c>
      <c r="AA1007" s="23">
        <v>3301</v>
      </c>
      <c r="AB1007" s="24">
        <v>46007</v>
      </c>
    </row>
    <row r="1008" spans="2:28" x14ac:dyDescent="0.2">
      <c r="B1008" s="23" t="s">
        <v>81</v>
      </c>
      <c r="C1008" s="23">
        <v>1100102752</v>
      </c>
      <c r="H1008" s="24">
        <v>46752</v>
      </c>
      <c r="O1008" s="23">
        <v>224482</v>
      </c>
      <c r="P1008" s="23" t="s">
        <v>79</v>
      </c>
    </row>
    <row r="1009" spans="2:28" x14ac:dyDescent="0.2">
      <c r="C1009" s="23">
        <v>1100102760</v>
      </c>
      <c r="E1009" s="23">
        <v>750</v>
      </c>
      <c r="F1009" s="23" t="s">
        <v>2595</v>
      </c>
      <c r="G1009" s="23" t="s">
        <v>305</v>
      </c>
      <c r="H1009" s="24">
        <v>46752</v>
      </c>
      <c r="I1009" s="24">
        <v>46752</v>
      </c>
      <c r="J1009" s="23" t="s">
        <v>2596</v>
      </c>
      <c r="K1009" s="23" t="s">
        <v>2596</v>
      </c>
      <c r="L1009" s="23">
        <v>1</v>
      </c>
      <c r="M1009" s="23" t="s">
        <v>78</v>
      </c>
      <c r="N1009" s="23" t="s">
        <v>78</v>
      </c>
      <c r="O1009" s="23">
        <v>0</v>
      </c>
      <c r="P1009" s="23" t="s">
        <v>79</v>
      </c>
      <c r="Q1009" s="23" t="s">
        <v>83</v>
      </c>
      <c r="R1009" s="23">
        <v>11400473</v>
      </c>
      <c r="S1009" s="24" t="s">
        <v>80</v>
      </c>
      <c r="T1009" s="24">
        <v>46038</v>
      </c>
      <c r="U1009" s="24">
        <v>46751</v>
      </c>
      <c r="X1009" s="24">
        <v>46038</v>
      </c>
      <c r="Y1009" s="23">
        <v>1111</v>
      </c>
      <c r="Z1009" s="23">
        <v>11400912</v>
      </c>
      <c r="AA1009" s="23">
        <v>5001</v>
      </c>
      <c r="AB1009" s="24">
        <v>46038</v>
      </c>
    </row>
    <row r="1010" spans="2:28" x14ac:dyDescent="0.2">
      <c r="C1010" s="23">
        <v>1100102760</v>
      </c>
      <c r="E1010" s="23">
        <v>800</v>
      </c>
      <c r="F1010" s="23" t="s">
        <v>2597</v>
      </c>
      <c r="G1010" s="23" t="s">
        <v>2598</v>
      </c>
      <c r="H1010" s="24">
        <v>46752</v>
      </c>
      <c r="I1010" s="24">
        <v>46752</v>
      </c>
      <c r="J1010" s="23" t="s">
        <v>2596</v>
      </c>
      <c r="K1010" s="23" t="s">
        <v>2596</v>
      </c>
      <c r="L1010" s="23">
        <v>1</v>
      </c>
      <c r="M1010" s="23" t="s">
        <v>78</v>
      </c>
      <c r="N1010" s="23" t="s">
        <v>78</v>
      </c>
      <c r="O1010" s="23">
        <v>72147</v>
      </c>
      <c r="P1010" s="23" t="s">
        <v>79</v>
      </c>
      <c r="Q1010" s="23" t="s">
        <v>119</v>
      </c>
      <c r="R1010" s="23">
        <v>11400473</v>
      </c>
      <c r="S1010" s="24">
        <v>46281</v>
      </c>
      <c r="T1010" s="24">
        <v>46038</v>
      </c>
      <c r="U1010" s="24">
        <v>46751</v>
      </c>
      <c r="X1010" s="24">
        <v>46038</v>
      </c>
      <c r="Y1010" s="23">
        <v>1111</v>
      </c>
      <c r="Z1010" s="23">
        <v>11400912</v>
      </c>
      <c r="AA1010" s="23">
        <v>5001</v>
      </c>
      <c r="AB1010" s="24">
        <v>46038</v>
      </c>
    </row>
    <row r="1011" spans="2:28" x14ac:dyDescent="0.2">
      <c r="C1011" s="23">
        <v>1100102760</v>
      </c>
      <c r="E1011" s="23">
        <v>900</v>
      </c>
      <c r="F1011" s="23" t="s">
        <v>2599</v>
      </c>
      <c r="G1011" s="23" t="s">
        <v>2600</v>
      </c>
      <c r="H1011" s="24">
        <v>46752</v>
      </c>
      <c r="I1011" s="24">
        <v>46752</v>
      </c>
      <c r="J1011" s="23" t="s">
        <v>2596</v>
      </c>
      <c r="K1011" s="23" t="s">
        <v>2596</v>
      </c>
      <c r="L1011" s="23">
        <v>1</v>
      </c>
      <c r="M1011" s="23" t="s">
        <v>78</v>
      </c>
      <c r="N1011" s="23" t="s">
        <v>78</v>
      </c>
      <c r="O1011" s="23">
        <v>43571</v>
      </c>
      <c r="P1011" s="23" t="s">
        <v>79</v>
      </c>
      <c r="Q1011" s="23" t="s">
        <v>119</v>
      </c>
      <c r="R1011" s="23">
        <v>11400473</v>
      </c>
      <c r="S1011" s="24">
        <v>46281</v>
      </c>
      <c r="T1011" s="24">
        <v>46038</v>
      </c>
      <c r="U1011" s="24">
        <v>46751</v>
      </c>
      <c r="X1011" s="24">
        <v>46038</v>
      </c>
      <c r="Y1011" s="23">
        <v>1111</v>
      </c>
      <c r="Z1011" s="23">
        <v>11400912</v>
      </c>
      <c r="AA1011" s="23">
        <v>5001</v>
      </c>
      <c r="AB1011" s="24">
        <v>46038</v>
      </c>
    </row>
    <row r="1012" spans="2:28" x14ac:dyDescent="0.2">
      <c r="B1012" s="23" t="s">
        <v>81</v>
      </c>
      <c r="C1012" s="23">
        <v>1100102760</v>
      </c>
      <c r="H1012" s="24">
        <v>46752</v>
      </c>
      <c r="O1012" s="23">
        <v>115718</v>
      </c>
      <c r="P1012" s="23" t="s">
        <v>79</v>
      </c>
    </row>
    <row r="1013" spans="2:28" x14ac:dyDescent="0.2">
      <c r="C1013" s="23">
        <v>1100102771</v>
      </c>
      <c r="E1013" s="23">
        <v>800</v>
      </c>
      <c r="F1013" s="23" t="s">
        <v>2601</v>
      </c>
      <c r="G1013" s="23" t="s">
        <v>305</v>
      </c>
      <c r="H1013" s="24">
        <v>46752</v>
      </c>
      <c r="I1013" s="24">
        <v>46752</v>
      </c>
      <c r="J1013" s="23" t="s">
        <v>2602</v>
      </c>
      <c r="K1013" s="23" t="s">
        <v>2602</v>
      </c>
      <c r="L1013" s="23">
        <v>1</v>
      </c>
      <c r="M1013" s="23" t="s">
        <v>78</v>
      </c>
      <c r="N1013" s="23" t="s">
        <v>78</v>
      </c>
      <c r="O1013" s="23">
        <v>0</v>
      </c>
      <c r="P1013" s="23" t="s">
        <v>79</v>
      </c>
      <c r="Q1013" s="23" t="s">
        <v>83</v>
      </c>
      <c r="S1013" s="24" t="s">
        <v>80</v>
      </c>
      <c r="T1013" s="24">
        <v>46077</v>
      </c>
      <c r="U1013" s="24">
        <v>46751</v>
      </c>
      <c r="X1013" s="24">
        <v>46076</v>
      </c>
      <c r="Y1013" s="23">
        <v>1111</v>
      </c>
      <c r="Z1013" s="23">
        <v>11400912</v>
      </c>
      <c r="AA1013" s="23">
        <v>326103</v>
      </c>
      <c r="AB1013" s="24">
        <v>46076</v>
      </c>
    </row>
    <row r="1014" spans="2:28" x14ac:dyDescent="0.2">
      <c r="C1014" s="23">
        <v>1100102771</v>
      </c>
      <c r="E1014" s="23">
        <v>1300</v>
      </c>
      <c r="F1014" s="23" t="s">
        <v>2603</v>
      </c>
      <c r="G1014" s="23" t="s">
        <v>2604</v>
      </c>
      <c r="H1014" s="24">
        <v>46752</v>
      </c>
      <c r="I1014" s="24">
        <v>46752</v>
      </c>
      <c r="J1014" s="23" t="s">
        <v>2602</v>
      </c>
      <c r="K1014" s="23" t="s">
        <v>2602</v>
      </c>
      <c r="L1014" s="23">
        <v>1</v>
      </c>
      <c r="M1014" s="23" t="s">
        <v>78</v>
      </c>
      <c r="N1014" s="23" t="s">
        <v>78</v>
      </c>
      <c r="O1014" s="23">
        <v>75490</v>
      </c>
      <c r="P1014" s="23" t="s">
        <v>79</v>
      </c>
      <c r="Q1014" s="23" t="s">
        <v>83</v>
      </c>
      <c r="S1014" s="24" t="s">
        <v>80</v>
      </c>
      <c r="T1014" s="24">
        <v>46077</v>
      </c>
      <c r="U1014" s="24">
        <v>46751</v>
      </c>
      <c r="X1014" s="24">
        <v>46076</v>
      </c>
      <c r="Y1014" s="23">
        <v>1111</v>
      </c>
      <c r="Z1014" s="23">
        <v>11400912</v>
      </c>
      <c r="AA1014" s="23">
        <v>326103</v>
      </c>
      <c r="AB1014" s="24">
        <v>46076</v>
      </c>
    </row>
    <row r="1015" spans="2:28" x14ac:dyDescent="0.2">
      <c r="B1015" s="23" t="s">
        <v>81</v>
      </c>
      <c r="C1015" s="23">
        <v>1100102771</v>
      </c>
      <c r="H1015" s="24">
        <v>46752</v>
      </c>
      <c r="O1015" s="23">
        <v>75490</v>
      </c>
      <c r="P1015" s="23" t="s">
        <v>79</v>
      </c>
    </row>
    <row r="1016" spans="2:28" x14ac:dyDescent="0.2">
      <c r="C1016" s="23">
        <v>1100457742</v>
      </c>
      <c r="E1016" s="23">
        <v>10</v>
      </c>
      <c r="F1016" s="23" t="s">
        <v>293</v>
      </c>
      <c r="G1016" s="23" t="s">
        <v>294</v>
      </c>
      <c r="H1016" s="24">
        <v>46752</v>
      </c>
      <c r="I1016" s="24">
        <v>46752</v>
      </c>
      <c r="J1016" s="23" t="s">
        <v>304</v>
      </c>
      <c r="K1016" s="23" t="s">
        <v>304</v>
      </c>
      <c r="L1016" s="23">
        <v>1</v>
      </c>
      <c r="M1016" s="23" t="s">
        <v>78</v>
      </c>
      <c r="N1016" s="23" t="s">
        <v>78</v>
      </c>
      <c r="O1016" s="23">
        <v>5995</v>
      </c>
      <c r="P1016" s="23" t="s">
        <v>79</v>
      </c>
      <c r="Q1016" s="23" t="s">
        <v>83</v>
      </c>
      <c r="S1016" s="24">
        <v>44484</v>
      </c>
      <c r="T1016" s="24">
        <v>44455</v>
      </c>
      <c r="U1016" s="24" t="s">
        <v>80</v>
      </c>
      <c r="X1016" s="24">
        <v>44447</v>
      </c>
      <c r="Y1016" s="23">
        <v>1111</v>
      </c>
      <c r="Z1016" s="23">
        <v>11100002</v>
      </c>
      <c r="AA1016" s="23">
        <v>3301</v>
      </c>
      <c r="AB1016" s="24">
        <v>44455</v>
      </c>
    </row>
    <row r="1017" spans="2:28" x14ac:dyDescent="0.2">
      <c r="B1017" s="23" t="s">
        <v>81</v>
      </c>
      <c r="C1017" s="23">
        <v>1100457742</v>
      </c>
      <c r="H1017" s="24">
        <v>46752</v>
      </c>
      <c r="O1017" s="23">
        <v>5995</v>
      </c>
      <c r="P1017" s="23" t="s">
        <v>79</v>
      </c>
    </row>
    <row r="1018" spans="2:28" x14ac:dyDescent="0.2">
      <c r="C1018" s="23">
        <v>1100470508</v>
      </c>
      <c r="E1018" s="23">
        <v>10</v>
      </c>
      <c r="F1018" s="23" t="s">
        <v>382</v>
      </c>
      <c r="G1018" s="23" t="s">
        <v>383</v>
      </c>
      <c r="H1018" s="24">
        <v>46752</v>
      </c>
      <c r="I1018" s="24">
        <v>46752</v>
      </c>
      <c r="J1018" s="23" t="s">
        <v>384</v>
      </c>
      <c r="K1018" s="23" t="s">
        <v>384</v>
      </c>
      <c r="L1018" s="23">
        <v>1</v>
      </c>
      <c r="M1018" s="23" t="s">
        <v>78</v>
      </c>
      <c r="N1018" s="23" t="s">
        <v>78</v>
      </c>
      <c r="O1018" s="23">
        <v>0</v>
      </c>
      <c r="P1018" s="23" t="s">
        <v>79</v>
      </c>
      <c r="Q1018" s="23" t="s">
        <v>83</v>
      </c>
      <c r="R1018" s="23">
        <v>11100189</v>
      </c>
      <c r="S1018" s="24" t="s">
        <v>80</v>
      </c>
      <c r="T1018" s="24">
        <v>44629</v>
      </c>
      <c r="U1018" s="24" t="s">
        <v>80</v>
      </c>
      <c r="X1018" s="24">
        <v>44629</v>
      </c>
      <c r="Y1018" s="23">
        <v>1111</v>
      </c>
      <c r="Z1018" s="23">
        <v>11400606</v>
      </c>
      <c r="AA1018" s="23">
        <v>3351</v>
      </c>
      <c r="AB1018" s="24">
        <v>44629</v>
      </c>
    </row>
    <row r="1019" spans="2:28" x14ac:dyDescent="0.2">
      <c r="B1019" s="23" t="s">
        <v>81</v>
      </c>
      <c r="C1019" s="23">
        <v>1100470508</v>
      </c>
      <c r="H1019" s="24">
        <v>46752</v>
      </c>
      <c r="O1019" s="23">
        <v>0</v>
      </c>
      <c r="P1019" s="23" t="s">
        <v>79</v>
      </c>
    </row>
    <row r="1020" spans="2:28" x14ac:dyDescent="0.2">
      <c r="C1020" s="23">
        <v>1100481232</v>
      </c>
      <c r="E1020" s="23">
        <v>20</v>
      </c>
      <c r="F1020" s="23" t="s">
        <v>293</v>
      </c>
      <c r="G1020" s="23" t="s">
        <v>294</v>
      </c>
      <c r="H1020" s="24">
        <v>46752</v>
      </c>
      <c r="I1020" s="24">
        <v>46752</v>
      </c>
      <c r="J1020" s="23" t="s">
        <v>121</v>
      </c>
      <c r="K1020" s="23" t="s">
        <v>121</v>
      </c>
      <c r="L1020" s="23">
        <v>1</v>
      </c>
      <c r="M1020" s="23" t="s">
        <v>78</v>
      </c>
      <c r="N1020" s="23" t="s">
        <v>78</v>
      </c>
      <c r="O1020" s="23">
        <v>4939</v>
      </c>
      <c r="P1020" s="23" t="s">
        <v>79</v>
      </c>
      <c r="Q1020" s="23" t="s">
        <v>83</v>
      </c>
      <c r="R1020" s="23">
        <v>11100272</v>
      </c>
      <c r="S1020" s="24" t="s">
        <v>80</v>
      </c>
      <c r="T1020" s="24">
        <v>44774</v>
      </c>
      <c r="U1020" s="24">
        <v>46022</v>
      </c>
      <c r="X1020" s="24">
        <v>44763</v>
      </c>
      <c r="Y1020" s="23">
        <v>1111</v>
      </c>
      <c r="Z1020" s="23">
        <v>11100002</v>
      </c>
      <c r="AA1020" s="23">
        <v>3301</v>
      </c>
      <c r="AB1020" s="24">
        <v>44774</v>
      </c>
    </row>
    <row r="1021" spans="2:28" x14ac:dyDescent="0.2">
      <c r="B1021" s="23" t="s">
        <v>81</v>
      </c>
      <c r="C1021" s="23">
        <v>1100481232</v>
      </c>
      <c r="H1021" s="24">
        <v>46752</v>
      </c>
      <c r="O1021" s="23">
        <v>4939</v>
      </c>
      <c r="P1021" s="23" t="s">
        <v>79</v>
      </c>
    </row>
    <row r="1022" spans="2:28" x14ac:dyDescent="0.2">
      <c r="C1022" s="23">
        <v>1100483184</v>
      </c>
      <c r="E1022" s="23">
        <v>80</v>
      </c>
      <c r="F1022" s="23" t="s">
        <v>293</v>
      </c>
      <c r="G1022" s="23" t="s">
        <v>294</v>
      </c>
      <c r="H1022" s="24">
        <v>46752</v>
      </c>
      <c r="I1022" s="24">
        <v>46752</v>
      </c>
      <c r="J1022" s="23" t="s">
        <v>129</v>
      </c>
      <c r="K1022" s="23" t="s">
        <v>129</v>
      </c>
      <c r="L1022" s="23">
        <v>1</v>
      </c>
      <c r="M1022" s="23" t="s">
        <v>78</v>
      </c>
      <c r="N1022" s="23" t="s">
        <v>78</v>
      </c>
      <c r="O1022" s="23">
        <v>8615</v>
      </c>
      <c r="P1022" s="23" t="s">
        <v>79</v>
      </c>
      <c r="Q1022" s="23" t="s">
        <v>83</v>
      </c>
      <c r="R1022" s="23">
        <v>11100189</v>
      </c>
      <c r="S1022" s="24" t="s">
        <v>80</v>
      </c>
      <c r="T1022" s="24">
        <v>44802</v>
      </c>
      <c r="U1022" s="24">
        <v>45657</v>
      </c>
      <c r="X1022" s="24">
        <v>44798</v>
      </c>
      <c r="Y1022" s="23">
        <v>1111</v>
      </c>
      <c r="Z1022" s="23">
        <v>11100002</v>
      </c>
      <c r="AA1022" s="23">
        <v>3902</v>
      </c>
      <c r="AB1022" s="24">
        <v>44802</v>
      </c>
    </row>
    <row r="1023" spans="2:28" x14ac:dyDescent="0.2">
      <c r="B1023" s="23" t="s">
        <v>81</v>
      </c>
      <c r="C1023" s="23">
        <v>1100483184</v>
      </c>
      <c r="H1023" s="24">
        <v>46752</v>
      </c>
      <c r="O1023" s="23">
        <v>8615</v>
      </c>
      <c r="P1023" s="23" t="s">
        <v>79</v>
      </c>
    </row>
    <row r="1024" spans="2:28" x14ac:dyDescent="0.2">
      <c r="C1024" s="23">
        <v>1100484618</v>
      </c>
      <c r="E1024" s="23">
        <v>40</v>
      </c>
      <c r="F1024" s="23" t="s">
        <v>293</v>
      </c>
      <c r="G1024" s="23" t="s">
        <v>294</v>
      </c>
      <c r="H1024" s="24">
        <v>46752</v>
      </c>
      <c r="I1024" s="24">
        <v>46752</v>
      </c>
      <c r="J1024" s="23" t="s">
        <v>296</v>
      </c>
      <c r="K1024" s="23" t="s">
        <v>296</v>
      </c>
      <c r="L1024" s="23">
        <v>1</v>
      </c>
      <c r="M1024" s="23" t="s">
        <v>78</v>
      </c>
      <c r="N1024" s="23" t="s">
        <v>78</v>
      </c>
      <c r="O1024" s="23">
        <v>21806</v>
      </c>
      <c r="P1024" s="23" t="s">
        <v>79</v>
      </c>
      <c r="Q1024" s="23" t="s">
        <v>83</v>
      </c>
      <c r="R1024" s="23">
        <v>11100008</v>
      </c>
      <c r="S1024" s="24" t="s">
        <v>80</v>
      </c>
      <c r="T1024" s="24">
        <v>44820</v>
      </c>
      <c r="U1024" s="24">
        <v>44988</v>
      </c>
      <c r="X1024" s="24">
        <v>44795</v>
      </c>
      <c r="Y1024" s="23">
        <v>1111</v>
      </c>
      <c r="Z1024" s="23">
        <v>11100002</v>
      </c>
      <c r="AA1024" s="23">
        <v>3905</v>
      </c>
      <c r="AB1024" s="24">
        <v>44820</v>
      </c>
    </row>
    <row r="1025" spans="2:28" x14ac:dyDescent="0.2">
      <c r="B1025" s="23" t="s">
        <v>81</v>
      </c>
      <c r="C1025" s="23">
        <v>1100484618</v>
      </c>
      <c r="H1025" s="24">
        <v>46752</v>
      </c>
      <c r="O1025" s="23">
        <v>21806</v>
      </c>
      <c r="P1025" s="23" t="s">
        <v>79</v>
      </c>
    </row>
    <row r="1026" spans="2:28" x14ac:dyDescent="0.2">
      <c r="C1026" s="23">
        <v>1100484994</v>
      </c>
      <c r="E1026" s="23">
        <v>50</v>
      </c>
      <c r="F1026" s="23" t="s">
        <v>293</v>
      </c>
      <c r="G1026" s="23" t="s">
        <v>294</v>
      </c>
      <c r="H1026" s="24">
        <v>46752</v>
      </c>
      <c r="I1026" s="24">
        <v>46752</v>
      </c>
      <c r="J1026" s="23" t="s">
        <v>211</v>
      </c>
      <c r="K1026" s="23" t="s">
        <v>211</v>
      </c>
      <c r="L1026" s="23">
        <v>1</v>
      </c>
      <c r="M1026" s="23" t="s">
        <v>78</v>
      </c>
      <c r="N1026" s="23" t="s">
        <v>78</v>
      </c>
      <c r="O1026" s="23">
        <v>5439</v>
      </c>
      <c r="P1026" s="23" t="s">
        <v>79</v>
      </c>
      <c r="Q1026" s="23" t="s">
        <v>83</v>
      </c>
      <c r="R1026" s="23">
        <v>11100008</v>
      </c>
      <c r="S1026" s="24">
        <v>45072</v>
      </c>
      <c r="T1026" s="24">
        <v>44826</v>
      </c>
      <c r="U1026" s="24">
        <v>45107</v>
      </c>
      <c r="X1026" s="24">
        <v>44825</v>
      </c>
      <c r="Y1026" s="23">
        <v>1111</v>
      </c>
      <c r="Z1026" s="23">
        <v>11100002</v>
      </c>
      <c r="AA1026" s="23">
        <v>3301</v>
      </c>
      <c r="AB1026" s="24">
        <v>44826</v>
      </c>
    </row>
    <row r="1027" spans="2:28" x14ac:dyDescent="0.2">
      <c r="B1027" s="23" t="s">
        <v>81</v>
      </c>
      <c r="C1027" s="23">
        <v>1100484994</v>
      </c>
      <c r="H1027" s="24">
        <v>46752</v>
      </c>
      <c r="O1027" s="23">
        <v>5439</v>
      </c>
      <c r="P1027" s="23" t="s">
        <v>79</v>
      </c>
    </row>
    <row r="1028" spans="2:28" x14ac:dyDescent="0.2">
      <c r="C1028" s="23">
        <v>1100485705</v>
      </c>
      <c r="E1028" s="23">
        <v>70</v>
      </c>
      <c r="F1028" s="23" t="s">
        <v>293</v>
      </c>
      <c r="G1028" s="23" t="s">
        <v>294</v>
      </c>
      <c r="H1028" s="24">
        <v>46752</v>
      </c>
      <c r="I1028" s="24">
        <v>46752</v>
      </c>
      <c r="J1028" s="23" t="s">
        <v>167</v>
      </c>
      <c r="K1028" s="23" t="s">
        <v>167</v>
      </c>
      <c r="L1028" s="23">
        <v>1</v>
      </c>
      <c r="M1028" s="23" t="s">
        <v>78</v>
      </c>
      <c r="N1028" s="23" t="s">
        <v>78</v>
      </c>
      <c r="O1028" s="23">
        <v>8115</v>
      </c>
      <c r="P1028" s="23" t="s">
        <v>79</v>
      </c>
      <c r="Q1028" s="23" t="s">
        <v>83</v>
      </c>
      <c r="R1028" s="23">
        <v>11100018</v>
      </c>
      <c r="S1028" s="24" t="s">
        <v>80</v>
      </c>
      <c r="T1028" s="24">
        <v>44834</v>
      </c>
      <c r="U1028" s="24">
        <v>45657</v>
      </c>
      <c r="X1028" s="24">
        <v>44832</v>
      </c>
      <c r="Y1028" s="23">
        <v>1111</v>
      </c>
      <c r="Z1028" s="23">
        <v>11100002</v>
      </c>
      <c r="AA1028" s="23">
        <v>3301</v>
      </c>
      <c r="AB1028" s="24">
        <v>44834</v>
      </c>
    </row>
    <row r="1029" spans="2:28" x14ac:dyDescent="0.2">
      <c r="B1029" s="23" t="s">
        <v>81</v>
      </c>
      <c r="C1029" s="23">
        <v>1100485705</v>
      </c>
      <c r="H1029" s="24">
        <v>46752</v>
      </c>
      <c r="O1029" s="23">
        <v>8115</v>
      </c>
      <c r="P1029" s="23" t="s">
        <v>79</v>
      </c>
    </row>
    <row r="1030" spans="2:28" x14ac:dyDescent="0.2">
      <c r="C1030" s="23">
        <v>1100489063</v>
      </c>
      <c r="E1030" s="23">
        <v>50</v>
      </c>
      <c r="F1030" s="23" t="s">
        <v>293</v>
      </c>
      <c r="G1030" s="23" t="s">
        <v>294</v>
      </c>
      <c r="H1030" s="24">
        <v>46752</v>
      </c>
      <c r="I1030" s="24">
        <v>46752</v>
      </c>
      <c r="J1030" s="23" t="s">
        <v>92</v>
      </c>
      <c r="K1030" s="23" t="s">
        <v>92</v>
      </c>
      <c r="L1030" s="23">
        <v>1</v>
      </c>
      <c r="M1030" s="23" t="s">
        <v>78</v>
      </c>
      <c r="N1030" s="23" t="s">
        <v>78</v>
      </c>
      <c r="O1030" s="23">
        <v>5548</v>
      </c>
      <c r="P1030" s="23" t="s">
        <v>79</v>
      </c>
      <c r="Q1030" s="23" t="s">
        <v>83</v>
      </c>
      <c r="R1030" s="23">
        <v>11100008</v>
      </c>
      <c r="S1030" s="24">
        <v>45047</v>
      </c>
      <c r="T1030" s="24">
        <v>44882</v>
      </c>
      <c r="U1030" s="24">
        <v>46022</v>
      </c>
      <c r="X1030" s="24">
        <v>44880</v>
      </c>
      <c r="Y1030" s="23">
        <v>1111</v>
      </c>
      <c r="Z1030" s="23">
        <v>11100002</v>
      </c>
      <c r="AA1030" s="23">
        <v>5101</v>
      </c>
      <c r="AB1030" s="24">
        <v>44882</v>
      </c>
    </row>
    <row r="1031" spans="2:28" x14ac:dyDescent="0.2">
      <c r="B1031" s="23" t="s">
        <v>81</v>
      </c>
      <c r="C1031" s="23">
        <v>1100489063</v>
      </c>
      <c r="H1031" s="24">
        <v>46752</v>
      </c>
      <c r="O1031" s="23">
        <v>5548</v>
      </c>
      <c r="P1031" s="23" t="s">
        <v>79</v>
      </c>
    </row>
    <row r="1032" spans="2:28" x14ac:dyDescent="0.2">
      <c r="C1032" s="23">
        <v>1100493632</v>
      </c>
      <c r="E1032" s="23">
        <v>90</v>
      </c>
      <c r="F1032" s="23" t="s">
        <v>293</v>
      </c>
      <c r="G1032" s="23" t="s">
        <v>294</v>
      </c>
      <c r="H1032" s="24">
        <v>46752</v>
      </c>
      <c r="I1032" s="24">
        <v>46752</v>
      </c>
      <c r="J1032" s="23" t="s">
        <v>385</v>
      </c>
      <c r="K1032" s="23" t="s">
        <v>385</v>
      </c>
      <c r="L1032" s="23">
        <v>1</v>
      </c>
      <c r="M1032" s="23" t="s">
        <v>78</v>
      </c>
      <c r="N1032" s="23" t="s">
        <v>78</v>
      </c>
      <c r="O1032" s="23">
        <v>7027</v>
      </c>
      <c r="P1032" s="23" t="s">
        <v>79</v>
      </c>
      <c r="Q1032" s="23" t="s">
        <v>83</v>
      </c>
      <c r="R1032" s="23">
        <v>11100008</v>
      </c>
      <c r="S1032" s="24">
        <v>45082</v>
      </c>
      <c r="T1032" s="24">
        <v>44957</v>
      </c>
      <c r="U1032" s="24">
        <v>46387</v>
      </c>
      <c r="X1032" s="24">
        <v>44943</v>
      </c>
      <c r="Y1032" s="23">
        <v>1111</v>
      </c>
      <c r="Z1032" s="23">
        <v>11100002</v>
      </c>
      <c r="AA1032" s="23">
        <v>3101</v>
      </c>
      <c r="AB1032" s="24">
        <v>44957</v>
      </c>
    </row>
    <row r="1033" spans="2:28" x14ac:dyDescent="0.2">
      <c r="B1033" s="23" t="s">
        <v>81</v>
      </c>
      <c r="C1033" s="23">
        <v>1100493632</v>
      </c>
      <c r="H1033" s="24">
        <v>46752</v>
      </c>
      <c r="O1033" s="23">
        <v>7027</v>
      </c>
      <c r="P1033" s="23" t="s">
        <v>79</v>
      </c>
    </row>
    <row r="1034" spans="2:28" x14ac:dyDescent="0.2">
      <c r="C1034" s="23">
        <v>1100494372</v>
      </c>
      <c r="E1034" s="23">
        <v>30</v>
      </c>
      <c r="F1034" s="23" t="s">
        <v>293</v>
      </c>
      <c r="G1034" s="23" t="s">
        <v>294</v>
      </c>
      <c r="H1034" s="24">
        <v>46752</v>
      </c>
      <c r="I1034" s="24">
        <v>46752</v>
      </c>
      <c r="J1034" s="23" t="s">
        <v>239</v>
      </c>
      <c r="K1034" s="23" t="s">
        <v>239</v>
      </c>
      <c r="L1034" s="23">
        <v>1</v>
      </c>
      <c r="M1034" s="23" t="s">
        <v>78</v>
      </c>
      <c r="N1034" s="23" t="s">
        <v>78</v>
      </c>
      <c r="O1034" s="23">
        <v>5439</v>
      </c>
      <c r="P1034" s="23" t="s">
        <v>79</v>
      </c>
      <c r="Q1034" s="23" t="s">
        <v>83</v>
      </c>
      <c r="R1034" s="23">
        <v>11100008</v>
      </c>
      <c r="S1034" s="24" t="s">
        <v>80</v>
      </c>
      <c r="T1034" s="24">
        <v>44967</v>
      </c>
      <c r="U1034" s="24">
        <v>45117</v>
      </c>
      <c r="X1034" s="24">
        <v>44966</v>
      </c>
      <c r="Y1034" s="23">
        <v>1111</v>
      </c>
      <c r="Z1034" s="23">
        <v>11100002</v>
      </c>
      <c r="AA1034" s="23">
        <v>5030</v>
      </c>
      <c r="AB1034" s="24">
        <v>44967</v>
      </c>
    </row>
    <row r="1035" spans="2:28" x14ac:dyDescent="0.2">
      <c r="B1035" s="23" t="s">
        <v>81</v>
      </c>
      <c r="C1035" s="23">
        <v>1100494372</v>
      </c>
      <c r="H1035" s="24">
        <v>46752</v>
      </c>
      <c r="O1035" s="23">
        <v>5439</v>
      </c>
      <c r="P1035" s="23" t="s">
        <v>79</v>
      </c>
    </row>
    <row r="1036" spans="2:28" x14ac:dyDescent="0.2">
      <c r="C1036" s="23">
        <v>1100503985</v>
      </c>
      <c r="E1036" s="23">
        <v>30</v>
      </c>
      <c r="F1036" s="23" t="s">
        <v>293</v>
      </c>
      <c r="G1036" s="23" t="s">
        <v>294</v>
      </c>
      <c r="H1036" s="24">
        <v>46752</v>
      </c>
      <c r="I1036" s="24">
        <v>46752</v>
      </c>
      <c r="J1036" s="23" t="s">
        <v>386</v>
      </c>
      <c r="K1036" s="23" t="s">
        <v>386</v>
      </c>
      <c r="L1036" s="23">
        <v>1</v>
      </c>
      <c r="M1036" s="23" t="s">
        <v>78</v>
      </c>
      <c r="N1036" s="23" t="s">
        <v>78</v>
      </c>
      <c r="O1036" s="23">
        <v>5439</v>
      </c>
      <c r="P1036" s="23" t="s">
        <v>79</v>
      </c>
      <c r="Q1036" s="23" t="s">
        <v>83</v>
      </c>
      <c r="R1036" s="23">
        <v>11100008</v>
      </c>
      <c r="S1036" s="24">
        <v>45268</v>
      </c>
      <c r="T1036" s="24">
        <v>45100</v>
      </c>
      <c r="U1036" s="24">
        <v>45268</v>
      </c>
      <c r="X1036" s="24">
        <v>45063</v>
      </c>
      <c r="Y1036" s="23">
        <v>1111</v>
      </c>
      <c r="Z1036" s="23">
        <v>11100002</v>
      </c>
      <c r="AA1036" s="23">
        <v>5101</v>
      </c>
      <c r="AB1036" s="24">
        <v>45100</v>
      </c>
    </row>
    <row r="1037" spans="2:28" x14ac:dyDescent="0.2">
      <c r="B1037" s="23" t="s">
        <v>81</v>
      </c>
      <c r="C1037" s="23">
        <v>1100503985</v>
      </c>
      <c r="H1037" s="24">
        <v>46752</v>
      </c>
      <c r="O1037" s="23">
        <v>5439</v>
      </c>
      <c r="P1037" s="23" t="s">
        <v>79</v>
      </c>
    </row>
    <row r="1038" spans="2:28" x14ac:dyDescent="0.2">
      <c r="C1038" s="23">
        <v>1100505396</v>
      </c>
      <c r="E1038" s="23">
        <v>90</v>
      </c>
      <c r="F1038" s="23" t="s">
        <v>293</v>
      </c>
      <c r="G1038" s="23" t="s">
        <v>294</v>
      </c>
      <c r="H1038" s="24">
        <v>46752</v>
      </c>
      <c r="I1038" s="24">
        <v>46752</v>
      </c>
      <c r="J1038" s="23" t="s">
        <v>147</v>
      </c>
      <c r="K1038" s="23" t="s">
        <v>147</v>
      </c>
      <c r="L1038" s="23">
        <v>1</v>
      </c>
      <c r="M1038" s="23" t="s">
        <v>78</v>
      </c>
      <c r="N1038" s="23" t="s">
        <v>78</v>
      </c>
      <c r="O1038" s="23">
        <v>5719</v>
      </c>
      <c r="P1038" s="23" t="s">
        <v>79</v>
      </c>
      <c r="Q1038" s="23" t="s">
        <v>83</v>
      </c>
      <c r="R1038" s="23">
        <v>11100008</v>
      </c>
      <c r="S1038" s="24" t="s">
        <v>80</v>
      </c>
      <c r="T1038" s="24">
        <v>45121</v>
      </c>
      <c r="U1038" s="24">
        <v>45240</v>
      </c>
      <c r="X1038" s="24">
        <v>45108</v>
      </c>
      <c r="Y1038" s="23">
        <v>1111</v>
      </c>
      <c r="Z1038" s="23">
        <v>11100002</v>
      </c>
      <c r="AA1038" s="23">
        <v>3301</v>
      </c>
      <c r="AB1038" s="24">
        <v>45121</v>
      </c>
    </row>
    <row r="1039" spans="2:28" x14ac:dyDescent="0.2">
      <c r="B1039" s="23" t="s">
        <v>81</v>
      </c>
      <c r="C1039" s="23">
        <v>1100505396</v>
      </c>
      <c r="H1039" s="24">
        <v>46752</v>
      </c>
      <c r="O1039" s="23">
        <v>5719</v>
      </c>
      <c r="P1039" s="23" t="s">
        <v>79</v>
      </c>
    </row>
    <row r="1040" spans="2:28" x14ac:dyDescent="0.2">
      <c r="C1040" s="23">
        <v>1100508054</v>
      </c>
      <c r="E1040" s="23">
        <v>80</v>
      </c>
      <c r="F1040" s="23" t="s">
        <v>293</v>
      </c>
      <c r="G1040" s="23" t="s">
        <v>294</v>
      </c>
      <c r="H1040" s="24">
        <v>46752</v>
      </c>
      <c r="I1040" s="24">
        <v>46752</v>
      </c>
      <c r="J1040" s="23" t="s">
        <v>311</v>
      </c>
      <c r="K1040" s="23" t="s">
        <v>311</v>
      </c>
      <c r="L1040" s="23">
        <v>1</v>
      </c>
      <c r="M1040" s="23" t="s">
        <v>78</v>
      </c>
      <c r="N1040" s="23" t="s">
        <v>78</v>
      </c>
      <c r="O1040" s="23">
        <v>7427</v>
      </c>
      <c r="P1040" s="23" t="s">
        <v>79</v>
      </c>
      <c r="Q1040" s="23" t="s">
        <v>83</v>
      </c>
      <c r="R1040" s="23">
        <v>11100008</v>
      </c>
      <c r="S1040" s="24" t="s">
        <v>80</v>
      </c>
      <c r="T1040" s="24">
        <v>45160</v>
      </c>
      <c r="U1040" s="24">
        <v>45364</v>
      </c>
      <c r="X1040" s="24">
        <v>45154</v>
      </c>
      <c r="Y1040" s="23">
        <v>1111</v>
      </c>
      <c r="Z1040" s="23">
        <v>11100002</v>
      </c>
      <c r="AA1040" s="23">
        <v>3902</v>
      </c>
      <c r="AB1040" s="24">
        <v>45160</v>
      </c>
    </row>
    <row r="1041" spans="2:28" x14ac:dyDescent="0.2">
      <c r="B1041" s="23" t="s">
        <v>81</v>
      </c>
      <c r="C1041" s="23">
        <v>1100508054</v>
      </c>
      <c r="H1041" s="24">
        <v>46752</v>
      </c>
      <c r="O1041" s="23">
        <v>7427</v>
      </c>
      <c r="P1041" s="23" t="s">
        <v>79</v>
      </c>
    </row>
    <row r="1042" spans="2:28" x14ac:dyDescent="0.2">
      <c r="C1042" s="23">
        <v>1100509224</v>
      </c>
      <c r="E1042" s="23">
        <v>40</v>
      </c>
      <c r="F1042" s="23" t="s">
        <v>293</v>
      </c>
      <c r="G1042" s="23" t="s">
        <v>294</v>
      </c>
      <c r="H1042" s="24">
        <v>46752</v>
      </c>
      <c r="I1042" s="24">
        <v>46752</v>
      </c>
      <c r="J1042" s="23" t="s">
        <v>239</v>
      </c>
      <c r="K1042" s="23" t="s">
        <v>239</v>
      </c>
      <c r="L1042" s="23">
        <v>1</v>
      </c>
      <c r="M1042" s="23" t="s">
        <v>78</v>
      </c>
      <c r="N1042" s="23" t="s">
        <v>78</v>
      </c>
      <c r="O1042" s="23">
        <v>5719</v>
      </c>
      <c r="P1042" s="23" t="s">
        <v>79</v>
      </c>
      <c r="Q1042" s="23" t="s">
        <v>83</v>
      </c>
      <c r="R1042" s="23">
        <v>11100008</v>
      </c>
      <c r="S1042" s="24" t="s">
        <v>80</v>
      </c>
      <c r="T1042" s="24">
        <v>45177</v>
      </c>
      <c r="U1042" s="24">
        <v>45268</v>
      </c>
      <c r="X1042" s="24">
        <v>45177</v>
      </c>
      <c r="Y1042" s="23">
        <v>1111</v>
      </c>
      <c r="Z1042" s="23">
        <v>11100002</v>
      </c>
      <c r="AA1042" s="23">
        <v>3301</v>
      </c>
      <c r="AB1042" s="24">
        <v>45177</v>
      </c>
    </row>
    <row r="1043" spans="2:28" x14ac:dyDescent="0.2">
      <c r="B1043" s="23" t="s">
        <v>81</v>
      </c>
      <c r="C1043" s="23">
        <v>1100509224</v>
      </c>
      <c r="H1043" s="24">
        <v>46752</v>
      </c>
      <c r="O1043" s="23">
        <v>5719</v>
      </c>
      <c r="P1043" s="23" t="s">
        <v>79</v>
      </c>
    </row>
    <row r="1044" spans="2:28" x14ac:dyDescent="0.2">
      <c r="C1044" s="23">
        <v>1100511995</v>
      </c>
      <c r="E1044" s="23">
        <v>30</v>
      </c>
      <c r="F1044" s="23" t="s">
        <v>293</v>
      </c>
      <c r="G1044" s="23" t="s">
        <v>294</v>
      </c>
      <c r="H1044" s="24">
        <v>46752</v>
      </c>
      <c r="I1044" s="24">
        <v>46752</v>
      </c>
      <c r="J1044" s="23" t="s">
        <v>387</v>
      </c>
      <c r="K1044" s="23" t="s">
        <v>387</v>
      </c>
      <c r="L1044" s="23">
        <v>1</v>
      </c>
      <c r="M1044" s="23" t="s">
        <v>78</v>
      </c>
      <c r="N1044" s="23" t="s">
        <v>78</v>
      </c>
      <c r="O1044" s="23">
        <v>7427</v>
      </c>
      <c r="P1044" s="23" t="s">
        <v>79</v>
      </c>
      <c r="Q1044" s="23" t="s">
        <v>83</v>
      </c>
      <c r="R1044" s="23">
        <v>11100008</v>
      </c>
      <c r="S1044" s="24" t="s">
        <v>80</v>
      </c>
      <c r="T1044" s="24">
        <v>45216</v>
      </c>
      <c r="U1044" s="24">
        <v>45320</v>
      </c>
      <c r="X1044" s="24">
        <v>45203</v>
      </c>
      <c r="Y1044" s="23">
        <v>1111</v>
      </c>
      <c r="Z1044" s="23">
        <v>11100002</v>
      </c>
      <c r="AA1044" s="23">
        <v>5101</v>
      </c>
      <c r="AB1044" s="24">
        <v>45216</v>
      </c>
    </row>
    <row r="1045" spans="2:28" x14ac:dyDescent="0.2">
      <c r="B1045" s="23" t="s">
        <v>81</v>
      </c>
      <c r="C1045" s="23">
        <v>1100511995</v>
      </c>
      <c r="H1045" s="24">
        <v>46752</v>
      </c>
      <c r="O1045" s="23">
        <v>7427</v>
      </c>
      <c r="P1045" s="23" t="s">
        <v>79</v>
      </c>
    </row>
    <row r="1046" spans="2:28" x14ac:dyDescent="0.2">
      <c r="C1046" s="23">
        <v>1100513104</v>
      </c>
      <c r="E1046" s="23">
        <v>80</v>
      </c>
      <c r="F1046" s="23" t="s">
        <v>293</v>
      </c>
      <c r="G1046" s="23" t="s">
        <v>294</v>
      </c>
      <c r="H1046" s="24">
        <v>46752</v>
      </c>
      <c r="I1046" s="24">
        <v>46752</v>
      </c>
      <c r="J1046" s="23" t="s">
        <v>311</v>
      </c>
      <c r="K1046" s="23" t="s">
        <v>311</v>
      </c>
      <c r="L1046" s="23">
        <v>1</v>
      </c>
      <c r="M1046" s="23" t="s">
        <v>78</v>
      </c>
      <c r="N1046" s="23" t="s">
        <v>78</v>
      </c>
      <c r="O1046" s="23">
        <v>7427</v>
      </c>
      <c r="P1046" s="23" t="s">
        <v>79</v>
      </c>
      <c r="Q1046" s="23" t="s">
        <v>83</v>
      </c>
      <c r="R1046" s="23">
        <v>11100008</v>
      </c>
      <c r="S1046" s="24" t="s">
        <v>80</v>
      </c>
      <c r="T1046" s="24">
        <v>45230</v>
      </c>
      <c r="U1046" s="24">
        <v>45378</v>
      </c>
      <c r="X1046" s="24">
        <v>45230</v>
      </c>
      <c r="Y1046" s="23">
        <v>1111</v>
      </c>
      <c r="Z1046" s="23">
        <v>11100002</v>
      </c>
      <c r="AA1046" s="23">
        <v>3902</v>
      </c>
      <c r="AB1046" s="24">
        <v>45230</v>
      </c>
    </row>
    <row r="1047" spans="2:28" x14ac:dyDescent="0.2">
      <c r="B1047" s="23" t="s">
        <v>81</v>
      </c>
      <c r="C1047" s="23">
        <v>1100513104</v>
      </c>
      <c r="H1047" s="24">
        <v>46752</v>
      </c>
      <c r="O1047" s="23">
        <v>7427</v>
      </c>
      <c r="P1047" s="23" t="s">
        <v>79</v>
      </c>
    </row>
    <row r="1048" spans="2:28" x14ac:dyDescent="0.2">
      <c r="C1048" s="23">
        <v>1100513391</v>
      </c>
      <c r="E1048" s="23">
        <v>50</v>
      </c>
      <c r="F1048" s="23" t="s">
        <v>293</v>
      </c>
      <c r="G1048" s="23" t="s">
        <v>294</v>
      </c>
      <c r="H1048" s="24">
        <v>46752</v>
      </c>
      <c r="I1048" s="24">
        <v>46752</v>
      </c>
      <c r="J1048" s="23" t="s">
        <v>100</v>
      </c>
      <c r="K1048" s="23" t="s">
        <v>100</v>
      </c>
      <c r="L1048" s="23">
        <v>1</v>
      </c>
      <c r="M1048" s="23" t="s">
        <v>78</v>
      </c>
      <c r="N1048" s="23" t="s">
        <v>78</v>
      </c>
      <c r="O1048" s="23">
        <v>5719</v>
      </c>
      <c r="P1048" s="23" t="s">
        <v>79</v>
      </c>
      <c r="Q1048" s="23" t="s">
        <v>83</v>
      </c>
      <c r="R1048" s="23">
        <v>11100008</v>
      </c>
      <c r="S1048" s="24" t="s">
        <v>80</v>
      </c>
      <c r="T1048" s="24">
        <v>45233</v>
      </c>
      <c r="U1048" s="24">
        <v>45342</v>
      </c>
      <c r="X1048" s="24">
        <v>45155</v>
      </c>
      <c r="Y1048" s="23">
        <v>1111</v>
      </c>
      <c r="Z1048" s="23">
        <v>11100002</v>
      </c>
      <c r="AA1048" s="23">
        <v>3930</v>
      </c>
      <c r="AB1048" s="24">
        <v>45233</v>
      </c>
    </row>
    <row r="1049" spans="2:28" x14ac:dyDescent="0.2">
      <c r="B1049" s="23" t="s">
        <v>81</v>
      </c>
      <c r="C1049" s="23">
        <v>1100513391</v>
      </c>
      <c r="H1049" s="24">
        <v>46752</v>
      </c>
      <c r="O1049" s="23">
        <v>5719</v>
      </c>
      <c r="P1049" s="23" t="s">
        <v>79</v>
      </c>
    </row>
    <row r="1050" spans="2:28" x14ac:dyDescent="0.2">
      <c r="C1050" s="23">
        <v>1100553087</v>
      </c>
      <c r="E1050" s="23">
        <v>10</v>
      </c>
      <c r="F1050" s="23" t="s">
        <v>2605</v>
      </c>
      <c r="G1050" s="23" t="s">
        <v>2606</v>
      </c>
      <c r="H1050" s="24">
        <v>46752</v>
      </c>
      <c r="I1050" s="24">
        <v>46752</v>
      </c>
      <c r="J1050" s="23" t="s">
        <v>580</v>
      </c>
      <c r="K1050" s="23" t="s">
        <v>580</v>
      </c>
      <c r="L1050" s="23">
        <v>1</v>
      </c>
      <c r="M1050" s="23" t="s">
        <v>78</v>
      </c>
      <c r="N1050" s="23" t="s">
        <v>78</v>
      </c>
      <c r="O1050" s="23">
        <v>34370</v>
      </c>
      <c r="P1050" s="23" t="s">
        <v>79</v>
      </c>
      <c r="Q1050" s="23" t="s">
        <v>83</v>
      </c>
      <c r="R1050" s="23">
        <v>11100189</v>
      </c>
      <c r="S1050" s="24">
        <v>45959</v>
      </c>
      <c r="T1050" s="24">
        <v>45814</v>
      </c>
      <c r="U1050" s="24">
        <v>45959</v>
      </c>
      <c r="X1050" s="24">
        <v>45800</v>
      </c>
      <c r="Y1050" s="23">
        <v>1111</v>
      </c>
      <c r="Z1050" s="23">
        <v>11100306</v>
      </c>
      <c r="AA1050" s="23">
        <v>336103</v>
      </c>
      <c r="AB1050" s="24">
        <v>45814</v>
      </c>
    </row>
    <row r="1051" spans="2:28" x14ac:dyDescent="0.2">
      <c r="C1051" s="23">
        <v>1100553087</v>
      </c>
      <c r="E1051" s="23">
        <v>20</v>
      </c>
      <c r="F1051" s="23" t="s">
        <v>2607</v>
      </c>
      <c r="G1051" s="23" t="s">
        <v>2608</v>
      </c>
      <c r="H1051" s="24">
        <v>46752</v>
      </c>
      <c r="I1051" s="24">
        <v>46752</v>
      </c>
      <c r="J1051" s="23" t="s">
        <v>580</v>
      </c>
      <c r="K1051" s="23" t="s">
        <v>580</v>
      </c>
      <c r="L1051" s="23">
        <v>1</v>
      </c>
      <c r="M1051" s="23" t="s">
        <v>78</v>
      </c>
      <c r="N1051" s="23" t="s">
        <v>78</v>
      </c>
      <c r="O1051" s="23">
        <v>45640</v>
      </c>
      <c r="P1051" s="23" t="s">
        <v>79</v>
      </c>
      <c r="Q1051" s="23" t="s">
        <v>83</v>
      </c>
      <c r="R1051" s="23">
        <v>11100189</v>
      </c>
      <c r="S1051" s="24">
        <v>45959</v>
      </c>
      <c r="T1051" s="24">
        <v>45814</v>
      </c>
      <c r="U1051" s="24">
        <v>45959</v>
      </c>
      <c r="X1051" s="24">
        <v>45800</v>
      </c>
      <c r="Y1051" s="23">
        <v>1111</v>
      </c>
      <c r="Z1051" s="23">
        <v>11100306</v>
      </c>
      <c r="AA1051" s="23">
        <v>336103</v>
      </c>
      <c r="AB1051" s="24">
        <v>45814</v>
      </c>
    </row>
    <row r="1052" spans="2:28" x14ac:dyDescent="0.2">
      <c r="C1052" s="23">
        <v>1100553087</v>
      </c>
      <c r="E1052" s="23">
        <v>30</v>
      </c>
      <c r="F1052" s="23" t="s">
        <v>2609</v>
      </c>
      <c r="G1052" s="23" t="s">
        <v>2610</v>
      </c>
      <c r="H1052" s="24">
        <v>46752</v>
      </c>
      <c r="I1052" s="24">
        <v>46752</v>
      </c>
      <c r="J1052" s="23" t="s">
        <v>580</v>
      </c>
      <c r="K1052" s="23" t="s">
        <v>580</v>
      </c>
      <c r="L1052" s="23">
        <v>1</v>
      </c>
      <c r="M1052" s="23" t="s">
        <v>78</v>
      </c>
      <c r="N1052" s="23" t="s">
        <v>78</v>
      </c>
      <c r="O1052" s="23">
        <v>39740</v>
      </c>
      <c r="P1052" s="23" t="s">
        <v>79</v>
      </c>
      <c r="Q1052" s="23" t="s">
        <v>83</v>
      </c>
      <c r="R1052" s="23">
        <v>11100189</v>
      </c>
      <c r="S1052" s="24">
        <v>45959</v>
      </c>
      <c r="T1052" s="24">
        <v>45814</v>
      </c>
      <c r="U1052" s="24">
        <v>45959</v>
      </c>
      <c r="X1052" s="24">
        <v>45800</v>
      </c>
      <c r="Y1052" s="23">
        <v>1111</v>
      </c>
      <c r="Z1052" s="23">
        <v>11100306</v>
      </c>
      <c r="AA1052" s="23">
        <v>336103</v>
      </c>
      <c r="AB1052" s="24">
        <v>45814</v>
      </c>
    </row>
    <row r="1053" spans="2:28" x14ac:dyDescent="0.2">
      <c r="C1053" s="23">
        <v>1100553087</v>
      </c>
      <c r="E1053" s="23">
        <v>200</v>
      </c>
      <c r="F1053" s="23" t="s">
        <v>2609</v>
      </c>
      <c r="G1053" s="23" t="s">
        <v>2610</v>
      </c>
      <c r="H1053" s="24">
        <v>46752</v>
      </c>
      <c r="I1053" s="24">
        <v>46752</v>
      </c>
      <c r="J1053" s="23" t="s">
        <v>580</v>
      </c>
      <c r="K1053" s="23" t="s">
        <v>580</v>
      </c>
      <c r="L1053" s="23">
        <v>1</v>
      </c>
      <c r="M1053" s="23" t="s">
        <v>78</v>
      </c>
      <c r="N1053" s="23" t="s">
        <v>78</v>
      </c>
      <c r="O1053" s="23">
        <v>31820</v>
      </c>
      <c r="P1053" s="23" t="s">
        <v>79</v>
      </c>
      <c r="Q1053" s="23" t="s">
        <v>83</v>
      </c>
      <c r="R1053" s="23">
        <v>11100189</v>
      </c>
      <c r="S1053" s="24">
        <v>45959</v>
      </c>
      <c r="T1053" s="24">
        <v>45814</v>
      </c>
      <c r="U1053" s="24">
        <v>45959</v>
      </c>
      <c r="X1053" s="24">
        <v>45800</v>
      </c>
      <c r="Y1053" s="23">
        <v>1111</v>
      </c>
      <c r="Z1053" s="23">
        <v>11100306</v>
      </c>
      <c r="AA1053" s="23">
        <v>336103</v>
      </c>
      <c r="AB1053" s="24">
        <v>45814</v>
      </c>
    </row>
    <row r="1054" spans="2:28" x14ac:dyDescent="0.2">
      <c r="C1054" s="23">
        <v>1100553087</v>
      </c>
      <c r="E1054" s="23">
        <v>210</v>
      </c>
      <c r="F1054" s="23" t="s">
        <v>2611</v>
      </c>
      <c r="G1054" s="23" t="s">
        <v>2612</v>
      </c>
      <c r="H1054" s="24">
        <v>46752</v>
      </c>
      <c r="I1054" s="24">
        <v>46752</v>
      </c>
      <c r="J1054" s="23" t="s">
        <v>580</v>
      </c>
      <c r="K1054" s="23" t="s">
        <v>580</v>
      </c>
      <c r="L1054" s="23">
        <v>1</v>
      </c>
      <c r="M1054" s="23" t="s">
        <v>78</v>
      </c>
      <c r="N1054" s="23" t="s">
        <v>78</v>
      </c>
      <c r="O1054" s="23">
        <v>44300</v>
      </c>
      <c r="P1054" s="23" t="s">
        <v>79</v>
      </c>
      <c r="Q1054" s="23" t="s">
        <v>83</v>
      </c>
      <c r="R1054" s="23">
        <v>11100189</v>
      </c>
      <c r="S1054" s="24">
        <v>45959</v>
      </c>
      <c r="T1054" s="24">
        <v>45814</v>
      </c>
      <c r="U1054" s="24">
        <v>45959</v>
      </c>
      <c r="X1054" s="24">
        <v>45800</v>
      </c>
      <c r="Y1054" s="23">
        <v>1111</v>
      </c>
      <c r="Z1054" s="23">
        <v>11100306</v>
      </c>
      <c r="AA1054" s="23">
        <v>336103</v>
      </c>
      <c r="AB1054" s="24">
        <v>45814</v>
      </c>
    </row>
    <row r="1055" spans="2:28" x14ac:dyDescent="0.2">
      <c r="C1055" s="23">
        <v>1100553087</v>
      </c>
      <c r="E1055" s="23">
        <v>240</v>
      </c>
      <c r="F1055" s="23" t="s">
        <v>84</v>
      </c>
      <c r="G1055" s="23" t="s">
        <v>123</v>
      </c>
      <c r="H1055" s="24">
        <v>46752</v>
      </c>
      <c r="I1055" s="24">
        <v>46752</v>
      </c>
      <c r="J1055" s="23" t="s">
        <v>580</v>
      </c>
      <c r="K1055" s="23" t="s">
        <v>580</v>
      </c>
      <c r="L1055" s="23">
        <v>1</v>
      </c>
      <c r="M1055" s="23" t="s">
        <v>78</v>
      </c>
      <c r="N1055" s="23" t="s">
        <v>78</v>
      </c>
      <c r="O1055" s="23">
        <v>0.01</v>
      </c>
      <c r="P1055" s="23" t="s">
        <v>79</v>
      </c>
      <c r="Q1055" s="23" t="s">
        <v>83</v>
      </c>
      <c r="R1055" s="23">
        <v>11100189</v>
      </c>
      <c r="S1055" s="24">
        <v>45959</v>
      </c>
      <c r="T1055" s="24">
        <v>45814</v>
      </c>
      <c r="U1055" s="24">
        <v>45959</v>
      </c>
      <c r="X1055" s="24">
        <v>45800</v>
      </c>
      <c r="Y1055" s="23">
        <v>1111</v>
      </c>
      <c r="Z1055" s="23">
        <v>11100306</v>
      </c>
      <c r="AA1055" s="23">
        <v>336103</v>
      </c>
      <c r="AB1055" s="24">
        <v>45814</v>
      </c>
    </row>
    <row r="1056" spans="2:28" x14ac:dyDescent="0.2">
      <c r="C1056" s="23">
        <v>1100553087</v>
      </c>
      <c r="E1056" s="23">
        <v>260</v>
      </c>
      <c r="F1056" s="23" t="s">
        <v>293</v>
      </c>
      <c r="G1056" s="23" t="s">
        <v>294</v>
      </c>
      <c r="H1056" s="24">
        <v>46752</v>
      </c>
      <c r="I1056" s="24">
        <v>46752</v>
      </c>
      <c r="J1056" s="23" t="s">
        <v>580</v>
      </c>
      <c r="K1056" s="23" t="s">
        <v>580</v>
      </c>
      <c r="L1056" s="23">
        <v>1</v>
      </c>
      <c r="M1056" s="23" t="s">
        <v>78</v>
      </c>
      <c r="N1056" s="23" t="s">
        <v>78</v>
      </c>
      <c r="O1056" s="23">
        <v>7500</v>
      </c>
      <c r="P1056" s="23" t="s">
        <v>79</v>
      </c>
      <c r="Q1056" s="23" t="s">
        <v>83</v>
      </c>
      <c r="R1056" s="23">
        <v>11100189</v>
      </c>
      <c r="S1056" s="24">
        <v>46082</v>
      </c>
      <c r="T1056" s="24">
        <v>45814</v>
      </c>
      <c r="U1056" s="24">
        <v>46752</v>
      </c>
      <c r="X1056" s="24">
        <v>45800</v>
      </c>
      <c r="Y1056" s="23">
        <v>1111</v>
      </c>
      <c r="Z1056" s="23">
        <v>11100306</v>
      </c>
      <c r="AA1056" s="23">
        <v>336103</v>
      </c>
      <c r="AB1056" s="24">
        <v>45814</v>
      </c>
    </row>
    <row r="1057" spans="2:28" x14ac:dyDescent="0.2">
      <c r="C1057" s="23">
        <v>1100553087</v>
      </c>
      <c r="E1057" s="23">
        <v>270</v>
      </c>
      <c r="F1057" s="23" t="s">
        <v>288</v>
      </c>
      <c r="G1057" s="23" t="s">
        <v>289</v>
      </c>
      <c r="H1057" s="24">
        <v>46752</v>
      </c>
      <c r="I1057" s="24">
        <v>46752</v>
      </c>
      <c r="J1057" s="23" t="s">
        <v>580</v>
      </c>
      <c r="K1057" s="23" t="s">
        <v>580</v>
      </c>
      <c r="L1057" s="23">
        <v>1</v>
      </c>
      <c r="M1057" s="23" t="s">
        <v>131</v>
      </c>
      <c r="N1057" s="23" t="s">
        <v>131</v>
      </c>
      <c r="O1057" s="23">
        <v>0.01</v>
      </c>
      <c r="P1057" s="23" t="s">
        <v>79</v>
      </c>
      <c r="Q1057" s="23" t="s">
        <v>83</v>
      </c>
      <c r="R1057" s="23">
        <v>11100189</v>
      </c>
      <c r="S1057" s="24">
        <v>46113</v>
      </c>
      <c r="T1057" s="24">
        <v>45814</v>
      </c>
      <c r="U1057" s="24">
        <v>46752</v>
      </c>
      <c r="X1057" s="24">
        <v>45800</v>
      </c>
      <c r="Y1057" s="23">
        <v>1111</v>
      </c>
      <c r="Z1057" s="23">
        <v>11100306</v>
      </c>
      <c r="AA1057" s="23">
        <v>336103</v>
      </c>
      <c r="AB1057" s="24">
        <v>45814</v>
      </c>
    </row>
    <row r="1058" spans="2:28" x14ac:dyDescent="0.2">
      <c r="C1058" s="23">
        <v>1100553087</v>
      </c>
      <c r="E1058" s="23">
        <v>310</v>
      </c>
      <c r="F1058" s="23" t="s">
        <v>87</v>
      </c>
      <c r="G1058" s="23" t="s">
        <v>2613</v>
      </c>
      <c r="H1058" s="24">
        <v>46752</v>
      </c>
      <c r="I1058" s="24">
        <v>46752</v>
      </c>
      <c r="J1058" s="23" t="s">
        <v>580</v>
      </c>
      <c r="K1058" s="23" t="s">
        <v>580</v>
      </c>
      <c r="L1058" s="23">
        <v>1</v>
      </c>
      <c r="M1058" s="23" t="s">
        <v>78</v>
      </c>
      <c r="N1058" s="23" t="s">
        <v>78</v>
      </c>
      <c r="O1058" s="23">
        <v>8440</v>
      </c>
      <c r="P1058" s="23" t="s">
        <v>79</v>
      </c>
      <c r="Q1058" s="23" t="s">
        <v>83</v>
      </c>
      <c r="R1058" s="23">
        <v>11100189</v>
      </c>
      <c r="S1058" s="24">
        <v>46113</v>
      </c>
      <c r="T1058" s="24">
        <v>45814</v>
      </c>
      <c r="U1058" s="24">
        <v>46752</v>
      </c>
      <c r="X1058" s="24">
        <v>45800</v>
      </c>
      <c r="Y1058" s="23">
        <v>1111</v>
      </c>
      <c r="Z1058" s="23">
        <v>11100306</v>
      </c>
      <c r="AA1058" s="23">
        <v>336103</v>
      </c>
      <c r="AB1058" s="24">
        <v>45814</v>
      </c>
    </row>
    <row r="1059" spans="2:28" x14ac:dyDescent="0.2">
      <c r="C1059" s="23">
        <v>1100553087</v>
      </c>
      <c r="E1059" s="23">
        <v>320</v>
      </c>
      <c r="F1059" s="23" t="s">
        <v>87</v>
      </c>
      <c r="G1059" s="23" t="s">
        <v>2614</v>
      </c>
      <c r="H1059" s="24">
        <v>46752</v>
      </c>
      <c r="I1059" s="24">
        <v>46752</v>
      </c>
      <c r="J1059" s="23" t="s">
        <v>580</v>
      </c>
      <c r="K1059" s="23" t="s">
        <v>580</v>
      </c>
      <c r="L1059" s="23">
        <v>1</v>
      </c>
      <c r="M1059" s="23" t="s">
        <v>78</v>
      </c>
      <c r="N1059" s="23" t="s">
        <v>78</v>
      </c>
      <c r="O1059" s="23">
        <v>8440</v>
      </c>
      <c r="P1059" s="23" t="s">
        <v>79</v>
      </c>
      <c r="Q1059" s="23" t="s">
        <v>83</v>
      </c>
      <c r="R1059" s="23">
        <v>11100189</v>
      </c>
      <c r="S1059" s="24">
        <v>46113</v>
      </c>
      <c r="T1059" s="24">
        <v>45814</v>
      </c>
      <c r="U1059" s="24">
        <v>46752</v>
      </c>
      <c r="X1059" s="24">
        <v>45800</v>
      </c>
      <c r="Y1059" s="23">
        <v>1111</v>
      </c>
      <c r="Z1059" s="23">
        <v>11100306</v>
      </c>
      <c r="AA1059" s="23">
        <v>336103</v>
      </c>
      <c r="AB1059" s="24">
        <v>45814</v>
      </c>
    </row>
    <row r="1060" spans="2:28" x14ac:dyDescent="0.2">
      <c r="B1060" s="23" t="s">
        <v>81</v>
      </c>
      <c r="C1060" s="23">
        <v>1100553087</v>
      </c>
      <c r="H1060" s="24">
        <v>46752</v>
      </c>
      <c r="O1060" s="23">
        <v>220250.02</v>
      </c>
      <c r="P1060" s="23" t="s">
        <v>79</v>
      </c>
    </row>
    <row r="1061" spans="2:28" x14ac:dyDescent="0.2">
      <c r="C1061" s="23">
        <v>1100554323</v>
      </c>
      <c r="E1061" s="23">
        <v>10</v>
      </c>
      <c r="F1061" s="23" t="s">
        <v>87</v>
      </c>
      <c r="G1061" s="23" t="s">
        <v>646</v>
      </c>
      <c r="H1061" s="24">
        <v>46752</v>
      </c>
      <c r="I1061" s="24">
        <v>46752</v>
      </c>
      <c r="J1061" s="23" t="s">
        <v>968</v>
      </c>
      <c r="K1061" s="23" t="s">
        <v>968</v>
      </c>
      <c r="L1061" s="23">
        <v>1</v>
      </c>
      <c r="M1061" s="23" t="s">
        <v>78</v>
      </c>
      <c r="N1061" s="23" t="s">
        <v>78</v>
      </c>
      <c r="O1061" s="23">
        <v>73592</v>
      </c>
      <c r="P1061" s="23" t="s">
        <v>79</v>
      </c>
      <c r="Q1061" s="23" t="s">
        <v>83</v>
      </c>
      <c r="R1061" s="23">
        <v>11100189</v>
      </c>
      <c r="S1061" s="24">
        <v>45931</v>
      </c>
      <c r="T1061" s="24">
        <v>45828</v>
      </c>
      <c r="U1061" s="24" t="s">
        <v>80</v>
      </c>
      <c r="X1061" s="24">
        <v>45825</v>
      </c>
      <c r="Y1061" s="23">
        <v>1111</v>
      </c>
      <c r="Z1061" s="23">
        <v>11100306</v>
      </c>
      <c r="AA1061" s="23">
        <v>330103</v>
      </c>
      <c r="AB1061" s="24">
        <v>45828</v>
      </c>
    </row>
    <row r="1062" spans="2:28" x14ac:dyDescent="0.2">
      <c r="C1062" s="23">
        <v>1100554323</v>
      </c>
      <c r="E1062" s="23">
        <v>20</v>
      </c>
      <c r="F1062" s="23" t="s">
        <v>87</v>
      </c>
      <c r="G1062" s="23" t="s">
        <v>647</v>
      </c>
      <c r="H1062" s="24">
        <v>46752</v>
      </c>
      <c r="I1062" s="24">
        <v>46752</v>
      </c>
      <c r="J1062" s="23" t="s">
        <v>968</v>
      </c>
      <c r="K1062" s="23" t="s">
        <v>968</v>
      </c>
      <c r="L1062" s="23">
        <v>1</v>
      </c>
      <c r="M1062" s="23" t="s">
        <v>78</v>
      </c>
      <c r="N1062" s="23" t="s">
        <v>78</v>
      </c>
      <c r="O1062" s="23">
        <v>42104</v>
      </c>
      <c r="P1062" s="23" t="s">
        <v>79</v>
      </c>
      <c r="Q1062" s="23" t="s">
        <v>83</v>
      </c>
      <c r="R1062" s="23">
        <v>11100189</v>
      </c>
      <c r="S1062" s="24">
        <v>45931</v>
      </c>
      <c r="T1062" s="24">
        <v>45828</v>
      </c>
      <c r="U1062" s="24" t="s">
        <v>80</v>
      </c>
      <c r="X1062" s="24">
        <v>45825</v>
      </c>
      <c r="Y1062" s="23">
        <v>1111</v>
      </c>
      <c r="Z1062" s="23">
        <v>11100306</v>
      </c>
      <c r="AA1062" s="23">
        <v>330103</v>
      </c>
      <c r="AB1062" s="24">
        <v>45828</v>
      </c>
    </row>
    <row r="1063" spans="2:28" x14ac:dyDescent="0.2">
      <c r="C1063" s="23">
        <v>1100554323</v>
      </c>
      <c r="E1063" s="23">
        <v>30</v>
      </c>
      <c r="F1063" s="23" t="s">
        <v>87</v>
      </c>
      <c r="G1063" s="23" t="s">
        <v>646</v>
      </c>
      <c r="H1063" s="24">
        <v>46752</v>
      </c>
      <c r="I1063" s="24">
        <v>46752</v>
      </c>
      <c r="J1063" s="23" t="s">
        <v>968</v>
      </c>
      <c r="K1063" s="23" t="s">
        <v>968</v>
      </c>
      <c r="L1063" s="23">
        <v>1</v>
      </c>
      <c r="M1063" s="23" t="s">
        <v>78</v>
      </c>
      <c r="N1063" s="23" t="s">
        <v>78</v>
      </c>
      <c r="O1063" s="23">
        <v>60192</v>
      </c>
      <c r="P1063" s="23" t="s">
        <v>79</v>
      </c>
      <c r="Q1063" s="23" t="s">
        <v>83</v>
      </c>
      <c r="R1063" s="23">
        <v>11100189</v>
      </c>
      <c r="S1063" s="24">
        <v>45931</v>
      </c>
      <c r="T1063" s="24">
        <v>45828</v>
      </c>
      <c r="U1063" s="24" t="s">
        <v>80</v>
      </c>
      <c r="X1063" s="24">
        <v>45825</v>
      </c>
      <c r="Y1063" s="23">
        <v>1111</v>
      </c>
      <c r="Z1063" s="23">
        <v>11100306</v>
      </c>
      <c r="AA1063" s="23">
        <v>330103</v>
      </c>
      <c r="AB1063" s="24">
        <v>45828</v>
      </c>
    </row>
    <row r="1064" spans="2:28" x14ac:dyDescent="0.2">
      <c r="C1064" s="23">
        <v>1100554323</v>
      </c>
      <c r="E1064" s="23">
        <v>40</v>
      </c>
      <c r="F1064" s="23" t="s">
        <v>87</v>
      </c>
      <c r="G1064" s="23" t="s">
        <v>648</v>
      </c>
      <c r="H1064" s="24">
        <v>46752</v>
      </c>
      <c r="I1064" s="24">
        <v>46752</v>
      </c>
      <c r="J1064" s="23" t="s">
        <v>968</v>
      </c>
      <c r="K1064" s="23" t="s">
        <v>968</v>
      </c>
      <c r="L1064" s="23">
        <v>1</v>
      </c>
      <c r="M1064" s="23" t="s">
        <v>78</v>
      </c>
      <c r="N1064" s="23" t="s">
        <v>78</v>
      </c>
      <c r="O1064" s="23">
        <v>4000</v>
      </c>
      <c r="P1064" s="23" t="s">
        <v>79</v>
      </c>
      <c r="Q1064" s="23" t="s">
        <v>83</v>
      </c>
      <c r="R1064" s="23">
        <v>11100189</v>
      </c>
      <c r="S1064" s="24">
        <v>45931</v>
      </c>
      <c r="T1064" s="24">
        <v>45828</v>
      </c>
      <c r="U1064" s="24" t="s">
        <v>80</v>
      </c>
      <c r="X1064" s="24">
        <v>45825</v>
      </c>
      <c r="Y1064" s="23">
        <v>1111</v>
      </c>
      <c r="Z1064" s="23">
        <v>11100306</v>
      </c>
      <c r="AA1064" s="23">
        <v>330103</v>
      </c>
      <c r="AB1064" s="24">
        <v>45828</v>
      </c>
    </row>
    <row r="1065" spans="2:28" x14ac:dyDescent="0.2">
      <c r="C1065" s="23">
        <v>1100554323</v>
      </c>
      <c r="E1065" s="23">
        <v>50</v>
      </c>
      <c r="F1065" s="23" t="s">
        <v>87</v>
      </c>
      <c r="G1065" s="23" t="s">
        <v>646</v>
      </c>
      <c r="H1065" s="24">
        <v>46752</v>
      </c>
      <c r="I1065" s="24">
        <v>46752</v>
      </c>
      <c r="J1065" s="23" t="s">
        <v>968</v>
      </c>
      <c r="K1065" s="23" t="s">
        <v>968</v>
      </c>
      <c r="L1065" s="23">
        <v>1</v>
      </c>
      <c r="M1065" s="23" t="s">
        <v>78</v>
      </c>
      <c r="N1065" s="23" t="s">
        <v>78</v>
      </c>
      <c r="O1065" s="23">
        <v>68584</v>
      </c>
      <c r="P1065" s="23" t="s">
        <v>79</v>
      </c>
      <c r="Q1065" s="23" t="s">
        <v>83</v>
      </c>
      <c r="R1065" s="23">
        <v>11100189</v>
      </c>
      <c r="S1065" s="24">
        <v>45931</v>
      </c>
      <c r="T1065" s="24">
        <v>45828</v>
      </c>
      <c r="U1065" s="24" t="s">
        <v>80</v>
      </c>
      <c r="X1065" s="24">
        <v>45825</v>
      </c>
      <c r="Y1065" s="23">
        <v>1111</v>
      </c>
      <c r="Z1065" s="23">
        <v>11100306</v>
      </c>
      <c r="AA1065" s="23">
        <v>330103</v>
      </c>
      <c r="AB1065" s="24">
        <v>45828</v>
      </c>
    </row>
    <row r="1066" spans="2:28" x14ac:dyDescent="0.2">
      <c r="C1066" s="23">
        <v>1100554323</v>
      </c>
      <c r="E1066" s="23">
        <v>60</v>
      </c>
      <c r="F1066" s="23" t="s">
        <v>87</v>
      </c>
      <c r="G1066" s="23" t="s">
        <v>646</v>
      </c>
      <c r="H1066" s="24">
        <v>46752</v>
      </c>
      <c r="I1066" s="24">
        <v>46752</v>
      </c>
      <c r="J1066" s="23" t="s">
        <v>968</v>
      </c>
      <c r="K1066" s="23" t="s">
        <v>968</v>
      </c>
      <c r="L1066" s="23">
        <v>1</v>
      </c>
      <c r="M1066" s="23" t="s">
        <v>78</v>
      </c>
      <c r="N1066" s="23" t="s">
        <v>78</v>
      </c>
      <c r="O1066" s="23">
        <v>52640</v>
      </c>
      <c r="P1066" s="23" t="s">
        <v>79</v>
      </c>
      <c r="Q1066" s="23" t="s">
        <v>83</v>
      </c>
      <c r="R1066" s="23">
        <v>11100189</v>
      </c>
      <c r="S1066" s="24">
        <v>45931</v>
      </c>
      <c r="T1066" s="24">
        <v>45828</v>
      </c>
      <c r="U1066" s="24" t="s">
        <v>80</v>
      </c>
      <c r="X1066" s="24">
        <v>45825</v>
      </c>
      <c r="Y1066" s="23">
        <v>1111</v>
      </c>
      <c r="Z1066" s="23">
        <v>11100306</v>
      </c>
      <c r="AA1066" s="23">
        <v>330103</v>
      </c>
      <c r="AB1066" s="24">
        <v>45828</v>
      </c>
    </row>
    <row r="1067" spans="2:28" x14ac:dyDescent="0.2">
      <c r="C1067" s="23">
        <v>1100554323</v>
      </c>
      <c r="E1067" s="23">
        <v>70</v>
      </c>
      <c r="F1067" s="23" t="s">
        <v>87</v>
      </c>
      <c r="G1067" s="23" t="s">
        <v>649</v>
      </c>
      <c r="H1067" s="24">
        <v>46752</v>
      </c>
      <c r="I1067" s="24">
        <v>46752</v>
      </c>
      <c r="J1067" s="23" t="s">
        <v>968</v>
      </c>
      <c r="K1067" s="23" t="s">
        <v>968</v>
      </c>
      <c r="L1067" s="23">
        <v>1</v>
      </c>
      <c r="M1067" s="23" t="s">
        <v>78</v>
      </c>
      <c r="N1067" s="23" t="s">
        <v>78</v>
      </c>
      <c r="O1067" s="23">
        <v>4000</v>
      </c>
      <c r="P1067" s="23" t="s">
        <v>79</v>
      </c>
      <c r="Q1067" s="23" t="s">
        <v>83</v>
      </c>
      <c r="R1067" s="23">
        <v>11100189</v>
      </c>
      <c r="S1067" s="24">
        <v>45931</v>
      </c>
      <c r="T1067" s="24">
        <v>45828</v>
      </c>
      <c r="U1067" s="24" t="s">
        <v>80</v>
      </c>
      <c r="X1067" s="24">
        <v>45825</v>
      </c>
      <c r="Y1067" s="23">
        <v>1111</v>
      </c>
      <c r="Z1067" s="23">
        <v>11100306</v>
      </c>
      <c r="AA1067" s="23">
        <v>330103</v>
      </c>
      <c r="AB1067" s="24">
        <v>45828</v>
      </c>
    </row>
    <row r="1068" spans="2:28" x14ac:dyDescent="0.2">
      <c r="C1068" s="23">
        <v>1100554323</v>
      </c>
      <c r="E1068" s="23">
        <v>80</v>
      </c>
      <c r="F1068" s="23" t="s">
        <v>87</v>
      </c>
      <c r="G1068" s="23" t="s">
        <v>646</v>
      </c>
      <c r="H1068" s="24">
        <v>46752</v>
      </c>
      <c r="I1068" s="24">
        <v>46752</v>
      </c>
      <c r="J1068" s="23" t="s">
        <v>968</v>
      </c>
      <c r="K1068" s="23" t="s">
        <v>968</v>
      </c>
      <c r="L1068" s="23">
        <v>1</v>
      </c>
      <c r="M1068" s="23" t="s">
        <v>78</v>
      </c>
      <c r="N1068" s="23" t="s">
        <v>78</v>
      </c>
      <c r="O1068" s="23">
        <v>68584</v>
      </c>
      <c r="P1068" s="23" t="s">
        <v>79</v>
      </c>
      <c r="Q1068" s="23" t="s">
        <v>83</v>
      </c>
      <c r="R1068" s="23">
        <v>11100189</v>
      </c>
      <c r="S1068" s="24">
        <v>45931</v>
      </c>
      <c r="T1068" s="24">
        <v>45828</v>
      </c>
      <c r="U1068" s="24" t="s">
        <v>80</v>
      </c>
      <c r="X1068" s="24">
        <v>45825</v>
      </c>
      <c r="Y1068" s="23">
        <v>1111</v>
      </c>
      <c r="Z1068" s="23">
        <v>11100306</v>
      </c>
      <c r="AA1068" s="23">
        <v>330103</v>
      </c>
      <c r="AB1068" s="24">
        <v>45828</v>
      </c>
    </row>
    <row r="1069" spans="2:28" x14ac:dyDescent="0.2">
      <c r="C1069" s="23">
        <v>1100554323</v>
      </c>
      <c r="E1069" s="23">
        <v>90</v>
      </c>
      <c r="F1069" s="23" t="s">
        <v>87</v>
      </c>
      <c r="G1069" s="23" t="s">
        <v>647</v>
      </c>
      <c r="H1069" s="24">
        <v>46752</v>
      </c>
      <c r="I1069" s="24">
        <v>46752</v>
      </c>
      <c r="J1069" s="23" t="s">
        <v>968</v>
      </c>
      <c r="K1069" s="23" t="s">
        <v>968</v>
      </c>
      <c r="L1069" s="23">
        <v>1</v>
      </c>
      <c r="M1069" s="23" t="s">
        <v>78</v>
      </c>
      <c r="N1069" s="23" t="s">
        <v>78</v>
      </c>
      <c r="O1069" s="23">
        <v>42104</v>
      </c>
      <c r="P1069" s="23" t="s">
        <v>79</v>
      </c>
      <c r="Q1069" s="23" t="s">
        <v>83</v>
      </c>
      <c r="R1069" s="23">
        <v>11100189</v>
      </c>
      <c r="S1069" s="24">
        <v>45931</v>
      </c>
      <c r="T1069" s="24">
        <v>45828</v>
      </c>
      <c r="U1069" s="24" t="s">
        <v>80</v>
      </c>
      <c r="X1069" s="24">
        <v>45825</v>
      </c>
      <c r="Y1069" s="23">
        <v>1111</v>
      </c>
      <c r="Z1069" s="23">
        <v>11100306</v>
      </c>
      <c r="AA1069" s="23">
        <v>330103</v>
      </c>
      <c r="AB1069" s="24">
        <v>45828</v>
      </c>
    </row>
    <row r="1070" spans="2:28" x14ac:dyDescent="0.2">
      <c r="C1070" s="23">
        <v>1100554323</v>
      </c>
      <c r="E1070" s="23">
        <v>100</v>
      </c>
      <c r="F1070" s="23" t="s">
        <v>87</v>
      </c>
      <c r="G1070" s="23" t="s">
        <v>646</v>
      </c>
      <c r="H1070" s="24">
        <v>46752</v>
      </c>
      <c r="I1070" s="24">
        <v>46752</v>
      </c>
      <c r="J1070" s="23" t="s">
        <v>968</v>
      </c>
      <c r="K1070" s="23" t="s">
        <v>968</v>
      </c>
      <c r="L1070" s="23">
        <v>1</v>
      </c>
      <c r="M1070" s="23" t="s">
        <v>78</v>
      </c>
      <c r="N1070" s="23" t="s">
        <v>78</v>
      </c>
      <c r="O1070" s="23">
        <v>52640</v>
      </c>
      <c r="P1070" s="23" t="s">
        <v>79</v>
      </c>
      <c r="Q1070" s="23" t="s">
        <v>83</v>
      </c>
      <c r="R1070" s="23">
        <v>11100189</v>
      </c>
      <c r="S1070" s="24">
        <v>45931</v>
      </c>
      <c r="T1070" s="24">
        <v>45828</v>
      </c>
      <c r="U1070" s="24" t="s">
        <v>80</v>
      </c>
      <c r="X1070" s="24">
        <v>45825</v>
      </c>
      <c r="Y1070" s="23">
        <v>1111</v>
      </c>
      <c r="Z1070" s="23">
        <v>11100306</v>
      </c>
      <c r="AA1070" s="23">
        <v>330103</v>
      </c>
      <c r="AB1070" s="24">
        <v>45828</v>
      </c>
    </row>
    <row r="1071" spans="2:28" x14ac:dyDescent="0.2">
      <c r="C1071" s="23">
        <v>1100554323</v>
      </c>
      <c r="E1071" s="23">
        <v>110</v>
      </c>
      <c r="F1071" s="23" t="s">
        <v>87</v>
      </c>
      <c r="G1071" s="23" t="s">
        <v>649</v>
      </c>
      <c r="H1071" s="24">
        <v>46752</v>
      </c>
      <c r="I1071" s="24">
        <v>46752</v>
      </c>
      <c r="J1071" s="23" t="s">
        <v>968</v>
      </c>
      <c r="K1071" s="23" t="s">
        <v>968</v>
      </c>
      <c r="L1071" s="23">
        <v>1</v>
      </c>
      <c r="M1071" s="23" t="s">
        <v>78</v>
      </c>
      <c r="N1071" s="23" t="s">
        <v>78</v>
      </c>
      <c r="O1071" s="23">
        <v>4000</v>
      </c>
      <c r="P1071" s="23" t="s">
        <v>79</v>
      </c>
      <c r="Q1071" s="23" t="s">
        <v>83</v>
      </c>
      <c r="R1071" s="23">
        <v>11100189</v>
      </c>
      <c r="S1071" s="24">
        <v>45931</v>
      </c>
      <c r="T1071" s="24">
        <v>45828</v>
      </c>
      <c r="U1071" s="24" t="s">
        <v>80</v>
      </c>
      <c r="X1071" s="24">
        <v>45825</v>
      </c>
      <c r="Y1071" s="23">
        <v>1111</v>
      </c>
      <c r="Z1071" s="23">
        <v>11100306</v>
      </c>
      <c r="AA1071" s="23">
        <v>330103</v>
      </c>
      <c r="AB1071" s="24">
        <v>45828</v>
      </c>
    </row>
    <row r="1072" spans="2:28" x14ac:dyDescent="0.2">
      <c r="C1072" s="23">
        <v>1100554323</v>
      </c>
      <c r="E1072" s="23">
        <v>120</v>
      </c>
      <c r="F1072" s="23" t="s">
        <v>84</v>
      </c>
      <c r="G1072" s="23" t="s">
        <v>123</v>
      </c>
      <c r="H1072" s="24">
        <v>46752</v>
      </c>
      <c r="I1072" s="24">
        <v>46752</v>
      </c>
      <c r="J1072" s="23" t="s">
        <v>968</v>
      </c>
      <c r="K1072" s="23" t="s">
        <v>968</v>
      </c>
      <c r="L1072" s="23">
        <v>1</v>
      </c>
      <c r="M1072" s="23" t="s">
        <v>78</v>
      </c>
      <c r="N1072" s="23" t="s">
        <v>78</v>
      </c>
      <c r="O1072" s="23">
        <v>0.01</v>
      </c>
      <c r="P1072" s="23" t="s">
        <v>79</v>
      </c>
      <c r="Q1072" s="23" t="s">
        <v>83</v>
      </c>
      <c r="R1072" s="23">
        <v>11100189</v>
      </c>
      <c r="S1072" s="24">
        <v>45931</v>
      </c>
      <c r="T1072" s="24">
        <v>45828</v>
      </c>
      <c r="U1072" s="24" t="s">
        <v>80</v>
      </c>
      <c r="X1072" s="24">
        <v>45825</v>
      </c>
      <c r="Y1072" s="23">
        <v>1111</v>
      </c>
      <c r="Z1072" s="23">
        <v>11100306</v>
      </c>
      <c r="AA1072" s="23">
        <v>330103</v>
      </c>
      <c r="AB1072" s="24">
        <v>45828</v>
      </c>
    </row>
    <row r="1073" spans="2:28" x14ac:dyDescent="0.2">
      <c r="C1073" s="23">
        <v>1100554323</v>
      </c>
      <c r="E1073" s="23">
        <v>130</v>
      </c>
      <c r="F1073" s="23" t="s">
        <v>82</v>
      </c>
      <c r="G1073" s="23" t="s">
        <v>139</v>
      </c>
      <c r="H1073" s="24">
        <v>46752</v>
      </c>
      <c r="I1073" s="24">
        <v>46752</v>
      </c>
      <c r="J1073" s="23" t="s">
        <v>968</v>
      </c>
      <c r="K1073" s="23" t="s">
        <v>968</v>
      </c>
      <c r="L1073" s="23">
        <v>1</v>
      </c>
      <c r="M1073" s="23" t="s">
        <v>78</v>
      </c>
      <c r="N1073" s="23" t="s">
        <v>78</v>
      </c>
      <c r="O1073" s="23">
        <v>0.01</v>
      </c>
      <c r="P1073" s="23" t="s">
        <v>79</v>
      </c>
      <c r="Q1073" s="23" t="s">
        <v>83</v>
      </c>
      <c r="R1073" s="23">
        <v>11100189</v>
      </c>
      <c r="S1073" s="24">
        <v>45931</v>
      </c>
      <c r="T1073" s="24">
        <v>45828</v>
      </c>
      <c r="U1073" s="24" t="s">
        <v>80</v>
      </c>
      <c r="X1073" s="24">
        <v>45825</v>
      </c>
      <c r="Y1073" s="23">
        <v>1111</v>
      </c>
      <c r="Z1073" s="23">
        <v>11100306</v>
      </c>
      <c r="AA1073" s="23">
        <v>330103</v>
      </c>
      <c r="AB1073" s="24">
        <v>45828</v>
      </c>
    </row>
    <row r="1074" spans="2:28" x14ac:dyDescent="0.2">
      <c r="B1074" s="23" t="s">
        <v>81</v>
      </c>
      <c r="C1074" s="23">
        <v>1100554323</v>
      </c>
      <c r="H1074" s="24">
        <v>46752</v>
      </c>
      <c r="O1074" s="23">
        <v>472440.02</v>
      </c>
      <c r="P1074" s="23" t="s">
        <v>79</v>
      </c>
    </row>
    <row r="1075" spans="2:28" x14ac:dyDescent="0.2">
      <c r="C1075" s="23">
        <v>1100557250</v>
      </c>
      <c r="E1075" s="23">
        <v>270</v>
      </c>
      <c r="F1075" s="23" t="s">
        <v>82</v>
      </c>
      <c r="G1075" s="23" t="s">
        <v>139</v>
      </c>
      <c r="H1075" s="24">
        <v>46752</v>
      </c>
      <c r="I1075" s="24">
        <v>46752</v>
      </c>
      <c r="J1075" s="23" t="s">
        <v>1001</v>
      </c>
      <c r="K1075" s="23" t="s">
        <v>1001</v>
      </c>
      <c r="L1075" s="23">
        <v>1</v>
      </c>
      <c r="M1075" s="23" t="s">
        <v>78</v>
      </c>
      <c r="N1075" s="23" t="s">
        <v>78</v>
      </c>
      <c r="O1075" s="23">
        <v>10415.870000000001</v>
      </c>
      <c r="P1075" s="23" t="s">
        <v>79</v>
      </c>
      <c r="Q1075" s="23" t="s">
        <v>83</v>
      </c>
      <c r="R1075" s="23">
        <v>11600022</v>
      </c>
      <c r="S1075" s="24" t="s">
        <v>80</v>
      </c>
      <c r="T1075" s="24">
        <v>45860</v>
      </c>
      <c r="U1075" s="24" t="s">
        <v>80</v>
      </c>
      <c r="X1075" s="24">
        <v>45702</v>
      </c>
      <c r="Y1075" s="23">
        <v>1111</v>
      </c>
      <c r="Z1075" s="23">
        <v>11200268</v>
      </c>
      <c r="AA1075" s="23">
        <v>336103</v>
      </c>
      <c r="AB1075" s="24">
        <v>45860</v>
      </c>
    </row>
    <row r="1076" spans="2:28" x14ac:dyDescent="0.2">
      <c r="B1076" s="23" t="s">
        <v>81</v>
      </c>
      <c r="C1076" s="23">
        <v>1100557250</v>
      </c>
      <c r="H1076" s="24">
        <v>46752</v>
      </c>
      <c r="O1076" s="23">
        <v>10415.870000000001</v>
      </c>
      <c r="P1076" s="23" t="s">
        <v>79</v>
      </c>
    </row>
    <row r="1077" spans="2:28" x14ac:dyDescent="0.2">
      <c r="C1077" s="23">
        <v>1100559230</v>
      </c>
      <c r="E1077" s="23">
        <v>10</v>
      </c>
      <c r="F1077" s="23" t="s">
        <v>87</v>
      </c>
      <c r="G1077" s="23" t="s">
        <v>1705</v>
      </c>
      <c r="H1077" s="24">
        <v>46752</v>
      </c>
      <c r="I1077" s="24">
        <v>46752</v>
      </c>
      <c r="J1077" s="23" t="s">
        <v>1706</v>
      </c>
      <c r="K1077" s="23" t="s">
        <v>1706</v>
      </c>
      <c r="L1077" s="23">
        <v>1</v>
      </c>
      <c r="M1077" s="23" t="s">
        <v>78</v>
      </c>
      <c r="N1077" s="23" t="s">
        <v>78</v>
      </c>
      <c r="O1077" s="23">
        <v>32270</v>
      </c>
      <c r="P1077" s="23" t="s">
        <v>79</v>
      </c>
      <c r="Q1077" s="23" t="s">
        <v>83</v>
      </c>
      <c r="R1077" s="23">
        <v>11100189</v>
      </c>
      <c r="S1077" s="24" t="s">
        <v>80</v>
      </c>
      <c r="T1077" s="24">
        <v>45880</v>
      </c>
      <c r="U1077" s="24">
        <v>46752</v>
      </c>
      <c r="X1077" s="24" t="s">
        <v>80</v>
      </c>
      <c r="Y1077" s="23">
        <v>1111</v>
      </c>
      <c r="Z1077" s="23">
        <v>11100303</v>
      </c>
      <c r="AA1077" s="23">
        <v>320103</v>
      </c>
      <c r="AB1077" s="24" t="s">
        <v>80</v>
      </c>
    </row>
    <row r="1078" spans="2:28" x14ac:dyDescent="0.2">
      <c r="C1078" s="23">
        <v>1100559230</v>
      </c>
      <c r="E1078" s="23">
        <v>20</v>
      </c>
      <c r="F1078" s="23" t="s">
        <v>87</v>
      </c>
      <c r="G1078" s="23" t="s">
        <v>1707</v>
      </c>
      <c r="H1078" s="24">
        <v>46752</v>
      </c>
      <c r="I1078" s="24">
        <v>46752</v>
      </c>
      <c r="J1078" s="23" t="s">
        <v>1706</v>
      </c>
      <c r="K1078" s="23" t="s">
        <v>1706</v>
      </c>
      <c r="L1078" s="23">
        <v>1</v>
      </c>
      <c r="M1078" s="23" t="s">
        <v>78</v>
      </c>
      <c r="N1078" s="23" t="s">
        <v>78</v>
      </c>
      <c r="O1078" s="23">
        <v>30590</v>
      </c>
      <c r="P1078" s="23" t="s">
        <v>79</v>
      </c>
      <c r="Q1078" s="23" t="s">
        <v>83</v>
      </c>
      <c r="R1078" s="23">
        <v>11100189</v>
      </c>
      <c r="S1078" s="24" t="s">
        <v>80</v>
      </c>
      <c r="T1078" s="24">
        <v>45880</v>
      </c>
      <c r="U1078" s="24">
        <v>46752</v>
      </c>
      <c r="X1078" s="24" t="s">
        <v>80</v>
      </c>
      <c r="Y1078" s="23">
        <v>1111</v>
      </c>
      <c r="Z1078" s="23">
        <v>11100303</v>
      </c>
      <c r="AA1078" s="23">
        <v>320103</v>
      </c>
      <c r="AB1078" s="24" t="s">
        <v>80</v>
      </c>
    </row>
    <row r="1079" spans="2:28" x14ac:dyDescent="0.2">
      <c r="C1079" s="23">
        <v>1100559230</v>
      </c>
      <c r="E1079" s="23">
        <v>30</v>
      </c>
      <c r="F1079" s="23" t="s">
        <v>2615</v>
      </c>
      <c r="G1079" s="23" t="s">
        <v>2616</v>
      </c>
      <c r="H1079" s="24">
        <v>46752</v>
      </c>
      <c r="I1079" s="24">
        <v>46752</v>
      </c>
      <c r="J1079" s="23" t="s">
        <v>1706</v>
      </c>
      <c r="K1079" s="23" t="s">
        <v>1706</v>
      </c>
      <c r="L1079" s="23">
        <v>1</v>
      </c>
      <c r="M1079" s="23" t="s">
        <v>78</v>
      </c>
      <c r="N1079" s="23" t="s">
        <v>78</v>
      </c>
      <c r="O1079" s="23">
        <v>63645</v>
      </c>
      <c r="P1079" s="23" t="s">
        <v>79</v>
      </c>
      <c r="Q1079" s="23" t="s">
        <v>83</v>
      </c>
      <c r="R1079" s="23">
        <v>11100189</v>
      </c>
      <c r="S1079" s="24" t="s">
        <v>80</v>
      </c>
      <c r="T1079" s="24">
        <v>45880</v>
      </c>
      <c r="U1079" s="24">
        <v>46752</v>
      </c>
      <c r="X1079" s="24">
        <v>45796</v>
      </c>
      <c r="Y1079" s="23">
        <v>1111</v>
      </c>
      <c r="Z1079" s="23">
        <v>11100303</v>
      </c>
      <c r="AA1079" s="23">
        <v>320103</v>
      </c>
      <c r="AB1079" s="24">
        <v>45880</v>
      </c>
    </row>
    <row r="1080" spans="2:28" x14ac:dyDescent="0.2">
      <c r="C1080" s="23">
        <v>1100559230</v>
      </c>
      <c r="E1080" s="23">
        <v>40</v>
      </c>
      <c r="F1080" s="23" t="s">
        <v>2617</v>
      </c>
      <c r="G1080" s="23" t="s">
        <v>2618</v>
      </c>
      <c r="H1080" s="24">
        <v>46752</v>
      </c>
      <c r="I1080" s="24">
        <v>46752</v>
      </c>
      <c r="J1080" s="23" t="s">
        <v>1706</v>
      </c>
      <c r="K1080" s="23" t="s">
        <v>1706</v>
      </c>
      <c r="L1080" s="23">
        <v>1</v>
      </c>
      <c r="M1080" s="23" t="s">
        <v>78</v>
      </c>
      <c r="N1080" s="23" t="s">
        <v>78</v>
      </c>
      <c r="O1080" s="23">
        <v>47263</v>
      </c>
      <c r="P1080" s="23" t="s">
        <v>79</v>
      </c>
      <c r="Q1080" s="23" t="s">
        <v>83</v>
      </c>
      <c r="R1080" s="23">
        <v>11100189</v>
      </c>
      <c r="S1080" s="24" t="s">
        <v>80</v>
      </c>
      <c r="T1080" s="24">
        <v>45880</v>
      </c>
      <c r="U1080" s="24">
        <v>46752</v>
      </c>
      <c r="X1080" s="24">
        <v>45796</v>
      </c>
      <c r="Y1080" s="23">
        <v>1111</v>
      </c>
      <c r="Z1080" s="23">
        <v>11100303</v>
      </c>
      <c r="AA1080" s="23">
        <v>320103</v>
      </c>
      <c r="AB1080" s="24">
        <v>45880</v>
      </c>
    </row>
    <row r="1081" spans="2:28" x14ac:dyDescent="0.2">
      <c r="C1081" s="23">
        <v>1100559230</v>
      </c>
      <c r="E1081" s="23">
        <v>50</v>
      </c>
      <c r="F1081" s="23" t="s">
        <v>2619</v>
      </c>
      <c r="G1081" s="23" t="s">
        <v>2620</v>
      </c>
      <c r="H1081" s="24">
        <v>46752</v>
      </c>
      <c r="I1081" s="24">
        <v>46752</v>
      </c>
      <c r="J1081" s="23" t="s">
        <v>1706</v>
      </c>
      <c r="K1081" s="23" t="s">
        <v>1706</v>
      </c>
      <c r="L1081" s="23">
        <v>1</v>
      </c>
      <c r="M1081" s="23" t="s">
        <v>78</v>
      </c>
      <c r="N1081" s="23" t="s">
        <v>78</v>
      </c>
      <c r="O1081" s="23">
        <v>60137</v>
      </c>
      <c r="P1081" s="23" t="s">
        <v>79</v>
      </c>
      <c r="Q1081" s="23" t="s">
        <v>83</v>
      </c>
      <c r="R1081" s="23">
        <v>11100189</v>
      </c>
      <c r="S1081" s="24" t="s">
        <v>80</v>
      </c>
      <c r="T1081" s="24">
        <v>45880</v>
      </c>
      <c r="U1081" s="24">
        <v>46752</v>
      </c>
      <c r="X1081" s="24">
        <v>45796</v>
      </c>
      <c r="Y1081" s="23">
        <v>1111</v>
      </c>
      <c r="Z1081" s="23">
        <v>11100303</v>
      </c>
      <c r="AA1081" s="23">
        <v>320103</v>
      </c>
      <c r="AB1081" s="24">
        <v>45880</v>
      </c>
    </row>
    <row r="1082" spans="2:28" x14ac:dyDescent="0.2">
      <c r="C1082" s="23">
        <v>1100559230</v>
      </c>
      <c r="E1082" s="23">
        <v>60</v>
      </c>
      <c r="F1082" s="23" t="s">
        <v>87</v>
      </c>
      <c r="G1082" s="23" t="s">
        <v>1708</v>
      </c>
      <c r="H1082" s="24">
        <v>46752</v>
      </c>
      <c r="I1082" s="24">
        <v>46752</v>
      </c>
      <c r="J1082" s="23" t="s">
        <v>1706</v>
      </c>
      <c r="K1082" s="23" t="s">
        <v>1706</v>
      </c>
      <c r="L1082" s="23">
        <v>1</v>
      </c>
      <c r="M1082" s="23" t="s">
        <v>78</v>
      </c>
      <c r="N1082" s="23" t="s">
        <v>78</v>
      </c>
      <c r="O1082" s="23">
        <v>15080</v>
      </c>
      <c r="P1082" s="23" t="s">
        <v>79</v>
      </c>
      <c r="Q1082" s="23" t="s">
        <v>83</v>
      </c>
      <c r="R1082" s="23">
        <v>11100189</v>
      </c>
      <c r="S1082" s="24" t="s">
        <v>80</v>
      </c>
      <c r="T1082" s="24">
        <v>45880</v>
      </c>
      <c r="U1082" s="24">
        <v>46752</v>
      </c>
      <c r="X1082" s="24" t="s">
        <v>80</v>
      </c>
      <c r="Y1082" s="23">
        <v>1111</v>
      </c>
      <c r="Z1082" s="23">
        <v>11100303</v>
      </c>
      <c r="AA1082" s="23">
        <v>320103</v>
      </c>
      <c r="AB1082" s="24" t="s">
        <v>80</v>
      </c>
    </row>
    <row r="1083" spans="2:28" x14ac:dyDescent="0.2">
      <c r="C1083" s="23">
        <v>1100559230</v>
      </c>
      <c r="E1083" s="23">
        <v>70</v>
      </c>
      <c r="F1083" s="23" t="s">
        <v>84</v>
      </c>
      <c r="G1083" s="23" t="s">
        <v>123</v>
      </c>
      <c r="H1083" s="24">
        <v>46752</v>
      </c>
      <c r="I1083" s="24">
        <v>46752</v>
      </c>
      <c r="J1083" s="23" t="s">
        <v>1706</v>
      </c>
      <c r="K1083" s="23" t="s">
        <v>1706</v>
      </c>
      <c r="L1083" s="23">
        <v>1</v>
      </c>
      <c r="M1083" s="23" t="s">
        <v>78</v>
      </c>
      <c r="N1083" s="23" t="s">
        <v>78</v>
      </c>
      <c r="O1083" s="23">
        <v>0.01</v>
      </c>
      <c r="P1083" s="23" t="s">
        <v>79</v>
      </c>
      <c r="Q1083" s="23" t="s">
        <v>83</v>
      </c>
      <c r="R1083" s="23">
        <v>11100189</v>
      </c>
      <c r="S1083" s="24" t="s">
        <v>80</v>
      </c>
      <c r="T1083" s="24">
        <v>45880</v>
      </c>
      <c r="U1083" s="24">
        <v>46752</v>
      </c>
      <c r="X1083" s="24">
        <v>45796</v>
      </c>
      <c r="Y1083" s="23">
        <v>1111</v>
      </c>
      <c r="Z1083" s="23">
        <v>11100303</v>
      </c>
      <c r="AA1083" s="23">
        <v>320103</v>
      </c>
      <c r="AB1083" s="24">
        <v>45880</v>
      </c>
    </row>
    <row r="1084" spans="2:28" x14ac:dyDescent="0.2">
      <c r="C1084" s="23">
        <v>1100559230</v>
      </c>
      <c r="E1084" s="23">
        <v>9010</v>
      </c>
      <c r="F1084" s="23" t="s">
        <v>2621</v>
      </c>
      <c r="G1084" s="23" t="s">
        <v>2622</v>
      </c>
      <c r="H1084" s="24">
        <v>46752</v>
      </c>
      <c r="I1084" s="24">
        <v>46752</v>
      </c>
      <c r="J1084" s="23" t="s">
        <v>1706</v>
      </c>
      <c r="K1084" s="23" t="s">
        <v>1706</v>
      </c>
      <c r="L1084" s="23">
        <v>1</v>
      </c>
      <c r="M1084" s="23" t="s">
        <v>78</v>
      </c>
      <c r="N1084" s="23" t="s">
        <v>78</v>
      </c>
      <c r="O1084" s="23">
        <v>63645</v>
      </c>
      <c r="P1084" s="23" t="s">
        <v>79</v>
      </c>
      <c r="Q1084" s="23" t="s">
        <v>83</v>
      </c>
      <c r="R1084" s="23">
        <v>11100189</v>
      </c>
      <c r="S1084" s="24" t="s">
        <v>80</v>
      </c>
      <c r="T1084" s="24">
        <v>45880</v>
      </c>
      <c r="U1084" s="24">
        <v>46752</v>
      </c>
      <c r="X1084" s="24">
        <v>45796</v>
      </c>
      <c r="Y1084" s="23">
        <v>1111</v>
      </c>
      <c r="Z1084" s="23">
        <v>11100303</v>
      </c>
      <c r="AA1084" s="23">
        <v>320103</v>
      </c>
      <c r="AB1084" s="24">
        <v>45880</v>
      </c>
    </row>
    <row r="1085" spans="2:28" x14ac:dyDescent="0.2">
      <c r="B1085" s="23" t="s">
        <v>81</v>
      </c>
      <c r="C1085" s="23">
        <v>1100559230</v>
      </c>
      <c r="H1085" s="24">
        <v>46752</v>
      </c>
      <c r="O1085" s="23">
        <v>312630.01</v>
      </c>
      <c r="P1085" s="23" t="s">
        <v>79</v>
      </c>
    </row>
    <row r="1086" spans="2:28" x14ac:dyDescent="0.2">
      <c r="C1086" s="23">
        <v>1100559603</v>
      </c>
      <c r="E1086" s="23">
        <v>10</v>
      </c>
      <c r="F1086" s="23" t="s">
        <v>87</v>
      </c>
      <c r="G1086" s="23" t="s">
        <v>142</v>
      </c>
      <c r="H1086" s="24">
        <v>46752</v>
      </c>
      <c r="I1086" s="24">
        <v>46752</v>
      </c>
      <c r="J1086" s="23" t="s">
        <v>645</v>
      </c>
      <c r="K1086" s="23" t="s">
        <v>645</v>
      </c>
      <c r="L1086" s="23">
        <v>1</v>
      </c>
      <c r="M1086" s="23" t="s">
        <v>78</v>
      </c>
      <c r="N1086" s="23" t="s">
        <v>78</v>
      </c>
      <c r="O1086" s="23">
        <v>38955</v>
      </c>
      <c r="P1086" s="23" t="s">
        <v>79</v>
      </c>
      <c r="Q1086" s="23" t="s">
        <v>83</v>
      </c>
      <c r="R1086" s="23">
        <v>11100189</v>
      </c>
      <c r="S1086" s="24">
        <v>45961</v>
      </c>
      <c r="T1086" s="24">
        <v>45883</v>
      </c>
      <c r="U1086" s="24" t="s">
        <v>80</v>
      </c>
      <c r="X1086" s="24">
        <v>45042</v>
      </c>
      <c r="Y1086" s="23">
        <v>1111</v>
      </c>
      <c r="Z1086" s="23">
        <v>11100002</v>
      </c>
      <c r="AA1086" s="23">
        <v>390103</v>
      </c>
      <c r="AB1086" s="24">
        <v>45883</v>
      </c>
    </row>
    <row r="1087" spans="2:28" x14ac:dyDescent="0.2">
      <c r="C1087" s="23">
        <v>1100559603</v>
      </c>
      <c r="E1087" s="23">
        <v>30</v>
      </c>
      <c r="F1087" s="23" t="s">
        <v>84</v>
      </c>
      <c r="G1087" s="23" t="s">
        <v>123</v>
      </c>
      <c r="H1087" s="24">
        <v>46752</v>
      </c>
      <c r="I1087" s="24">
        <v>46752</v>
      </c>
      <c r="J1087" s="23" t="s">
        <v>645</v>
      </c>
      <c r="K1087" s="23" t="s">
        <v>645</v>
      </c>
      <c r="L1087" s="23">
        <v>1</v>
      </c>
      <c r="M1087" s="23" t="s">
        <v>78</v>
      </c>
      <c r="N1087" s="23" t="s">
        <v>78</v>
      </c>
      <c r="O1087" s="23">
        <v>0.01</v>
      </c>
      <c r="P1087" s="23" t="s">
        <v>79</v>
      </c>
      <c r="Q1087" s="23" t="s">
        <v>83</v>
      </c>
      <c r="R1087" s="23">
        <v>11100189</v>
      </c>
      <c r="S1087" s="24" t="s">
        <v>80</v>
      </c>
      <c r="T1087" s="24">
        <v>45883</v>
      </c>
      <c r="U1087" s="24" t="s">
        <v>80</v>
      </c>
      <c r="X1087" s="24">
        <v>45042</v>
      </c>
      <c r="Y1087" s="23">
        <v>1111</v>
      </c>
      <c r="Z1087" s="23">
        <v>11100002</v>
      </c>
      <c r="AA1087" s="23">
        <v>390103</v>
      </c>
      <c r="AB1087" s="24">
        <v>45883</v>
      </c>
    </row>
    <row r="1088" spans="2:28" x14ac:dyDescent="0.2">
      <c r="B1088" s="23" t="s">
        <v>81</v>
      </c>
      <c r="C1088" s="23">
        <v>1100559603</v>
      </c>
      <c r="H1088" s="24">
        <v>46752</v>
      </c>
      <c r="O1088" s="23">
        <v>38955.01</v>
      </c>
      <c r="P1088" s="23" t="s">
        <v>79</v>
      </c>
    </row>
    <row r="1089" spans="2:28" x14ac:dyDescent="0.2">
      <c r="C1089" s="23">
        <v>1100559606</v>
      </c>
      <c r="E1089" s="23">
        <v>10</v>
      </c>
      <c r="F1089" s="23" t="s">
        <v>87</v>
      </c>
      <c r="G1089" s="23" t="s">
        <v>142</v>
      </c>
      <c r="H1089" s="24">
        <v>46752</v>
      </c>
      <c r="I1089" s="24">
        <v>46752</v>
      </c>
      <c r="J1089" s="23" t="s">
        <v>559</v>
      </c>
      <c r="K1089" s="23" t="s">
        <v>559</v>
      </c>
      <c r="L1089" s="23">
        <v>1</v>
      </c>
      <c r="M1089" s="23" t="s">
        <v>78</v>
      </c>
      <c r="N1089" s="23" t="s">
        <v>78</v>
      </c>
      <c r="O1089" s="23">
        <v>68256</v>
      </c>
      <c r="P1089" s="23" t="s">
        <v>79</v>
      </c>
      <c r="Q1089" s="23" t="s">
        <v>83</v>
      </c>
      <c r="R1089" s="23">
        <v>11100189</v>
      </c>
      <c r="S1089" s="24">
        <v>45961</v>
      </c>
      <c r="T1089" s="24">
        <v>45883</v>
      </c>
      <c r="U1089" s="24" t="s">
        <v>80</v>
      </c>
      <c r="X1089" s="24">
        <v>45063</v>
      </c>
      <c r="Y1089" s="23">
        <v>1111</v>
      </c>
      <c r="Z1089" s="23">
        <v>11100002</v>
      </c>
      <c r="AA1089" s="23">
        <v>510103</v>
      </c>
      <c r="AB1089" s="24">
        <v>45883</v>
      </c>
    </row>
    <row r="1090" spans="2:28" x14ac:dyDescent="0.2">
      <c r="C1090" s="23">
        <v>1100559606</v>
      </c>
      <c r="E1090" s="23">
        <v>20</v>
      </c>
      <c r="F1090" s="23" t="s">
        <v>84</v>
      </c>
      <c r="G1090" s="23" t="s">
        <v>123</v>
      </c>
      <c r="H1090" s="24">
        <v>46752</v>
      </c>
      <c r="I1090" s="24">
        <v>46752</v>
      </c>
      <c r="J1090" s="23" t="s">
        <v>559</v>
      </c>
      <c r="K1090" s="23" t="s">
        <v>559</v>
      </c>
      <c r="L1090" s="23">
        <v>1</v>
      </c>
      <c r="M1090" s="23" t="s">
        <v>78</v>
      </c>
      <c r="N1090" s="23" t="s">
        <v>78</v>
      </c>
      <c r="O1090" s="23">
        <v>0.01</v>
      </c>
      <c r="P1090" s="23" t="s">
        <v>79</v>
      </c>
      <c r="Q1090" s="23" t="s">
        <v>83</v>
      </c>
      <c r="R1090" s="23">
        <v>11100189</v>
      </c>
      <c r="S1090" s="24" t="s">
        <v>80</v>
      </c>
      <c r="T1090" s="24">
        <v>45883</v>
      </c>
      <c r="U1090" s="24" t="s">
        <v>80</v>
      </c>
      <c r="X1090" s="24">
        <v>45063</v>
      </c>
      <c r="Y1090" s="23">
        <v>1111</v>
      </c>
      <c r="Z1090" s="23">
        <v>11100002</v>
      </c>
      <c r="AA1090" s="23">
        <v>510103</v>
      </c>
      <c r="AB1090" s="24">
        <v>45883</v>
      </c>
    </row>
    <row r="1091" spans="2:28" x14ac:dyDescent="0.2">
      <c r="C1091" s="23">
        <v>1100559606</v>
      </c>
      <c r="E1091" s="23">
        <v>30</v>
      </c>
      <c r="F1091" s="23" t="s">
        <v>82</v>
      </c>
      <c r="G1091" s="23" t="s">
        <v>139</v>
      </c>
      <c r="H1091" s="24">
        <v>46752</v>
      </c>
      <c r="I1091" s="24">
        <v>46752</v>
      </c>
      <c r="J1091" s="23" t="s">
        <v>559</v>
      </c>
      <c r="K1091" s="23" t="s">
        <v>559</v>
      </c>
      <c r="L1091" s="23">
        <v>1</v>
      </c>
      <c r="M1091" s="23" t="s">
        <v>78</v>
      </c>
      <c r="N1091" s="23" t="s">
        <v>78</v>
      </c>
      <c r="O1091" s="23">
        <v>0.01</v>
      </c>
      <c r="P1091" s="23" t="s">
        <v>79</v>
      </c>
      <c r="Q1091" s="23" t="s">
        <v>83</v>
      </c>
      <c r="R1091" s="23">
        <v>11100189</v>
      </c>
      <c r="S1091" s="24" t="s">
        <v>80</v>
      </c>
      <c r="T1091" s="24">
        <v>45883</v>
      </c>
      <c r="U1091" s="24" t="s">
        <v>80</v>
      </c>
      <c r="X1091" s="24">
        <v>45063</v>
      </c>
      <c r="Y1091" s="23">
        <v>1111</v>
      </c>
      <c r="Z1091" s="23">
        <v>11100002</v>
      </c>
      <c r="AA1091" s="23">
        <v>510103</v>
      </c>
      <c r="AB1091" s="24">
        <v>45883</v>
      </c>
    </row>
    <row r="1092" spans="2:28" x14ac:dyDescent="0.2">
      <c r="B1092" s="23" t="s">
        <v>81</v>
      </c>
      <c r="C1092" s="23">
        <v>1100559606</v>
      </c>
      <c r="H1092" s="24">
        <v>46752</v>
      </c>
      <c r="O1092" s="23">
        <v>68256.02</v>
      </c>
      <c r="P1092" s="23" t="s">
        <v>79</v>
      </c>
    </row>
    <row r="1093" spans="2:28" x14ac:dyDescent="0.2">
      <c r="C1093" s="23">
        <v>1100559622</v>
      </c>
      <c r="E1093" s="23">
        <v>10</v>
      </c>
      <c r="F1093" s="23" t="s">
        <v>87</v>
      </c>
      <c r="G1093" s="23" t="s">
        <v>1709</v>
      </c>
      <c r="H1093" s="24">
        <v>46752</v>
      </c>
      <c r="I1093" s="24">
        <v>46752</v>
      </c>
      <c r="J1093" s="23" t="s">
        <v>165</v>
      </c>
      <c r="K1093" s="23" t="s">
        <v>165</v>
      </c>
      <c r="L1093" s="23">
        <v>1</v>
      </c>
      <c r="M1093" s="23" t="s">
        <v>78</v>
      </c>
      <c r="N1093" s="23" t="s">
        <v>78</v>
      </c>
      <c r="O1093" s="23">
        <v>0</v>
      </c>
      <c r="P1093" s="23" t="s">
        <v>79</v>
      </c>
      <c r="Q1093" s="23" t="s">
        <v>83</v>
      </c>
      <c r="R1093" s="23">
        <v>11100189</v>
      </c>
      <c r="S1093" s="24" t="s">
        <v>80</v>
      </c>
      <c r="T1093" s="24">
        <v>45883</v>
      </c>
      <c r="U1093" s="24" t="s">
        <v>80</v>
      </c>
      <c r="X1093" s="24" t="s">
        <v>80</v>
      </c>
      <c r="Y1093" s="23">
        <v>1111</v>
      </c>
      <c r="Z1093" s="23">
        <v>11100303</v>
      </c>
      <c r="AA1093" s="23">
        <v>330103</v>
      </c>
      <c r="AB1093" s="24" t="s">
        <v>80</v>
      </c>
    </row>
    <row r="1094" spans="2:28" x14ac:dyDescent="0.2">
      <c r="C1094" s="23">
        <v>1100559622</v>
      </c>
      <c r="E1094" s="23">
        <v>20</v>
      </c>
      <c r="F1094" s="23" t="s">
        <v>87</v>
      </c>
      <c r="G1094" s="23" t="s">
        <v>1710</v>
      </c>
      <c r="H1094" s="24">
        <v>46752</v>
      </c>
      <c r="I1094" s="24">
        <v>46752</v>
      </c>
      <c r="J1094" s="23" t="s">
        <v>165</v>
      </c>
      <c r="K1094" s="23" t="s">
        <v>165</v>
      </c>
      <c r="L1094" s="23">
        <v>1</v>
      </c>
      <c r="M1094" s="23" t="s">
        <v>78</v>
      </c>
      <c r="N1094" s="23" t="s">
        <v>78</v>
      </c>
      <c r="O1094" s="23">
        <v>0</v>
      </c>
      <c r="P1094" s="23" t="s">
        <v>79</v>
      </c>
      <c r="Q1094" s="23" t="s">
        <v>83</v>
      </c>
      <c r="R1094" s="23">
        <v>11100189</v>
      </c>
      <c r="S1094" s="24" t="s">
        <v>80</v>
      </c>
      <c r="T1094" s="24">
        <v>45883</v>
      </c>
      <c r="U1094" s="24" t="s">
        <v>80</v>
      </c>
      <c r="X1094" s="24" t="s">
        <v>80</v>
      </c>
      <c r="Y1094" s="23">
        <v>1111</v>
      </c>
      <c r="Z1094" s="23">
        <v>11100303</v>
      </c>
      <c r="AA1094" s="23">
        <v>330103</v>
      </c>
      <c r="AB1094" s="24" t="s">
        <v>80</v>
      </c>
    </row>
    <row r="1095" spans="2:28" x14ac:dyDescent="0.2">
      <c r="C1095" s="23">
        <v>1100559622</v>
      </c>
      <c r="E1095" s="23">
        <v>30</v>
      </c>
      <c r="F1095" s="23" t="s">
        <v>84</v>
      </c>
      <c r="G1095" s="23" t="s">
        <v>123</v>
      </c>
      <c r="H1095" s="24">
        <v>46752</v>
      </c>
      <c r="I1095" s="24">
        <v>46752</v>
      </c>
      <c r="J1095" s="23" t="s">
        <v>165</v>
      </c>
      <c r="K1095" s="23" t="s">
        <v>165</v>
      </c>
      <c r="L1095" s="23">
        <v>1</v>
      </c>
      <c r="M1095" s="23" t="s">
        <v>78</v>
      </c>
      <c r="N1095" s="23" t="s">
        <v>78</v>
      </c>
      <c r="O1095" s="23">
        <v>0</v>
      </c>
      <c r="P1095" s="23" t="s">
        <v>79</v>
      </c>
      <c r="Q1095" s="23" t="s">
        <v>83</v>
      </c>
      <c r="R1095" s="23">
        <v>11100189</v>
      </c>
      <c r="S1095" s="24" t="s">
        <v>80</v>
      </c>
      <c r="T1095" s="24">
        <v>45883</v>
      </c>
      <c r="U1095" s="24" t="s">
        <v>80</v>
      </c>
      <c r="X1095" s="24">
        <v>45883</v>
      </c>
      <c r="Y1095" s="23">
        <v>1111</v>
      </c>
      <c r="Z1095" s="23">
        <v>11100303</v>
      </c>
      <c r="AA1095" s="23">
        <v>330103</v>
      </c>
      <c r="AB1095" s="24">
        <v>45883</v>
      </c>
    </row>
    <row r="1096" spans="2:28" x14ac:dyDescent="0.2">
      <c r="C1096" s="23">
        <v>1100559622</v>
      </c>
      <c r="E1096" s="23">
        <v>40</v>
      </c>
      <c r="F1096" s="23" t="s">
        <v>82</v>
      </c>
      <c r="G1096" s="23" t="s">
        <v>139</v>
      </c>
      <c r="H1096" s="24">
        <v>46752</v>
      </c>
      <c r="I1096" s="24">
        <v>46752</v>
      </c>
      <c r="J1096" s="23" t="s">
        <v>165</v>
      </c>
      <c r="K1096" s="23" t="s">
        <v>165</v>
      </c>
      <c r="L1096" s="23">
        <v>1</v>
      </c>
      <c r="M1096" s="23" t="s">
        <v>78</v>
      </c>
      <c r="N1096" s="23" t="s">
        <v>78</v>
      </c>
      <c r="O1096" s="23">
        <v>0.01</v>
      </c>
      <c r="P1096" s="23" t="s">
        <v>79</v>
      </c>
      <c r="Q1096" s="23" t="s">
        <v>83</v>
      </c>
      <c r="R1096" s="23">
        <v>11100189</v>
      </c>
      <c r="S1096" s="24" t="s">
        <v>80</v>
      </c>
      <c r="T1096" s="24">
        <v>45883</v>
      </c>
      <c r="U1096" s="24" t="s">
        <v>80</v>
      </c>
      <c r="X1096" s="24">
        <v>45883</v>
      </c>
      <c r="Y1096" s="23">
        <v>1111</v>
      </c>
      <c r="Z1096" s="23">
        <v>11100303</v>
      </c>
      <c r="AA1096" s="23">
        <v>330103</v>
      </c>
      <c r="AB1096" s="24">
        <v>45883</v>
      </c>
    </row>
    <row r="1097" spans="2:28" x14ac:dyDescent="0.2">
      <c r="B1097" s="23" t="s">
        <v>81</v>
      </c>
      <c r="C1097" s="23">
        <v>1100559622</v>
      </c>
      <c r="H1097" s="24">
        <v>46752</v>
      </c>
      <c r="O1097" s="23">
        <v>0.01</v>
      </c>
      <c r="P1097" s="23" t="s">
        <v>79</v>
      </c>
    </row>
    <row r="1098" spans="2:28" x14ac:dyDescent="0.2">
      <c r="C1098" s="23">
        <v>1100559673</v>
      </c>
      <c r="E1098" s="23">
        <v>70</v>
      </c>
      <c r="F1098" s="23" t="s">
        <v>84</v>
      </c>
      <c r="G1098" s="23" t="s">
        <v>123</v>
      </c>
      <c r="H1098" s="24">
        <v>46752</v>
      </c>
      <c r="I1098" s="24">
        <v>46752</v>
      </c>
      <c r="J1098" s="23" t="s">
        <v>671</v>
      </c>
      <c r="K1098" s="23" t="s">
        <v>671</v>
      </c>
      <c r="L1098" s="23">
        <v>1</v>
      </c>
      <c r="M1098" s="23" t="s">
        <v>78</v>
      </c>
      <c r="N1098" s="23" t="s">
        <v>78</v>
      </c>
      <c r="O1098" s="23">
        <v>0.01</v>
      </c>
      <c r="P1098" s="23" t="s">
        <v>79</v>
      </c>
      <c r="Q1098" s="23" t="s">
        <v>83</v>
      </c>
      <c r="S1098" s="24" t="s">
        <v>80</v>
      </c>
      <c r="T1098" s="24">
        <v>45883</v>
      </c>
      <c r="U1098" s="24">
        <v>47116</v>
      </c>
      <c r="X1098" s="24">
        <v>45350</v>
      </c>
      <c r="Y1098" s="23">
        <v>1111</v>
      </c>
      <c r="Z1098" s="23">
        <v>11100306</v>
      </c>
      <c r="AA1098" s="23">
        <v>336103</v>
      </c>
      <c r="AB1098" s="24">
        <v>45883</v>
      </c>
    </row>
    <row r="1099" spans="2:28" x14ac:dyDescent="0.2">
      <c r="B1099" s="23" t="s">
        <v>81</v>
      </c>
      <c r="C1099" s="23">
        <v>1100559673</v>
      </c>
      <c r="H1099" s="24">
        <v>46752</v>
      </c>
      <c r="O1099" s="23">
        <v>0.01</v>
      </c>
      <c r="P1099" s="23" t="s">
        <v>79</v>
      </c>
    </row>
    <row r="1100" spans="2:28" x14ac:dyDescent="0.2">
      <c r="C1100" s="23">
        <v>1100101503</v>
      </c>
      <c r="E1100" s="23">
        <v>18000</v>
      </c>
      <c r="F1100" s="23" t="s">
        <v>316</v>
      </c>
      <c r="G1100" s="23" t="s">
        <v>317</v>
      </c>
      <c r="H1100" s="24">
        <v>47118</v>
      </c>
      <c r="I1100" s="24">
        <v>47118</v>
      </c>
      <c r="J1100" s="23" t="s">
        <v>159</v>
      </c>
      <c r="K1100" s="23" t="s">
        <v>159</v>
      </c>
      <c r="L1100" s="23">
        <v>1</v>
      </c>
      <c r="M1100" s="23" t="s">
        <v>78</v>
      </c>
      <c r="N1100" s="23" t="s">
        <v>78</v>
      </c>
      <c r="O1100" s="23">
        <v>0</v>
      </c>
      <c r="P1100" s="23" t="s">
        <v>79</v>
      </c>
      <c r="Q1100" s="23" t="s">
        <v>83</v>
      </c>
      <c r="R1100" s="23">
        <v>11100008</v>
      </c>
      <c r="S1100" s="24" t="s">
        <v>80</v>
      </c>
      <c r="T1100" s="24">
        <v>43049</v>
      </c>
      <c r="U1100" s="24">
        <v>43276</v>
      </c>
      <c r="X1100" s="24">
        <v>43034</v>
      </c>
      <c r="Y1100" s="23">
        <v>1111</v>
      </c>
      <c r="Z1100" s="23">
        <v>11400129</v>
      </c>
      <c r="AA1100" s="23">
        <v>3301</v>
      </c>
      <c r="AB1100" s="24">
        <v>43049</v>
      </c>
    </row>
    <row r="1101" spans="2:28" x14ac:dyDescent="0.2">
      <c r="B1101" s="23" t="s">
        <v>81</v>
      </c>
      <c r="C1101" s="23">
        <v>1100101503</v>
      </c>
      <c r="H1101" s="24">
        <v>47118</v>
      </c>
      <c r="O1101" s="23">
        <v>0</v>
      </c>
      <c r="P1101" s="23" t="s">
        <v>79</v>
      </c>
    </row>
    <row r="1102" spans="2:28" x14ac:dyDescent="0.2">
      <c r="C1102" s="23">
        <v>1100101675</v>
      </c>
      <c r="E1102" s="23">
        <v>800</v>
      </c>
      <c r="F1102" s="23" t="s">
        <v>318</v>
      </c>
      <c r="G1102" s="23" t="s">
        <v>319</v>
      </c>
      <c r="H1102" s="24">
        <v>47118</v>
      </c>
      <c r="I1102" s="24">
        <v>47118</v>
      </c>
      <c r="J1102" s="23" t="s">
        <v>320</v>
      </c>
      <c r="K1102" s="23" t="s">
        <v>320</v>
      </c>
      <c r="L1102" s="23">
        <v>1</v>
      </c>
      <c r="M1102" s="23" t="s">
        <v>78</v>
      </c>
      <c r="N1102" s="23" t="s">
        <v>78</v>
      </c>
      <c r="O1102" s="23">
        <v>0</v>
      </c>
      <c r="P1102" s="23" t="s">
        <v>79</v>
      </c>
      <c r="Q1102" s="23" t="s">
        <v>83</v>
      </c>
      <c r="R1102" s="23">
        <v>11400395</v>
      </c>
      <c r="S1102" s="24">
        <v>43420</v>
      </c>
      <c r="T1102" s="24">
        <v>43343</v>
      </c>
      <c r="U1102" s="24">
        <v>44196</v>
      </c>
      <c r="X1102" s="24">
        <v>43339</v>
      </c>
      <c r="Y1102" s="23">
        <v>1111</v>
      </c>
      <c r="Z1102" s="23">
        <v>11400129</v>
      </c>
      <c r="AA1102" s="23">
        <v>5001</v>
      </c>
      <c r="AB1102" s="24">
        <v>43341</v>
      </c>
    </row>
    <row r="1103" spans="2:28" x14ac:dyDescent="0.2">
      <c r="C1103" s="23">
        <v>1100101675</v>
      </c>
      <c r="E1103" s="23">
        <v>1000</v>
      </c>
      <c r="F1103" s="23" t="s">
        <v>321</v>
      </c>
      <c r="G1103" s="23" t="s">
        <v>322</v>
      </c>
      <c r="H1103" s="24">
        <v>47118</v>
      </c>
      <c r="I1103" s="24">
        <v>47118</v>
      </c>
      <c r="J1103" s="23" t="s">
        <v>320</v>
      </c>
      <c r="K1103" s="23" t="s">
        <v>320</v>
      </c>
      <c r="L1103" s="23">
        <v>1</v>
      </c>
      <c r="M1103" s="23" t="s">
        <v>78</v>
      </c>
      <c r="N1103" s="23" t="s">
        <v>78</v>
      </c>
      <c r="O1103" s="23">
        <v>0</v>
      </c>
      <c r="P1103" s="23" t="s">
        <v>79</v>
      </c>
      <c r="Q1103" s="23" t="s">
        <v>83</v>
      </c>
      <c r="R1103" s="23">
        <v>11400395</v>
      </c>
      <c r="S1103" s="24">
        <v>43420</v>
      </c>
      <c r="T1103" s="24">
        <v>43343</v>
      </c>
      <c r="U1103" s="24">
        <v>44196</v>
      </c>
      <c r="X1103" s="24">
        <v>43339</v>
      </c>
      <c r="Y1103" s="23">
        <v>1111</v>
      </c>
      <c r="Z1103" s="23">
        <v>11400129</v>
      </c>
      <c r="AA1103" s="23">
        <v>5001</v>
      </c>
      <c r="AB1103" s="24">
        <v>43341</v>
      </c>
    </row>
    <row r="1104" spans="2:28" x14ac:dyDescent="0.2">
      <c r="B1104" s="23" t="s">
        <v>81</v>
      </c>
      <c r="C1104" s="23">
        <v>1100101675</v>
      </c>
      <c r="H1104" s="24">
        <v>47118</v>
      </c>
      <c r="O1104" s="23">
        <v>0</v>
      </c>
      <c r="P1104" s="23" t="s">
        <v>79</v>
      </c>
    </row>
    <row r="1105" spans="2:28" x14ac:dyDescent="0.2">
      <c r="C1105" s="23">
        <v>1100101905</v>
      </c>
      <c r="E1105" s="23">
        <v>750</v>
      </c>
      <c r="F1105" s="23" t="s">
        <v>323</v>
      </c>
      <c r="G1105" s="23" t="s">
        <v>324</v>
      </c>
      <c r="H1105" s="24">
        <v>47118</v>
      </c>
      <c r="I1105" s="24">
        <v>47118</v>
      </c>
      <c r="J1105" s="23" t="s">
        <v>325</v>
      </c>
      <c r="K1105" s="23" t="s">
        <v>325</v>
      </c>
      <c r="L1105" s="23">
        <v>1</v>
      </c>
      <c r="M1105" s="23" t="s">
        <v>78</v>
      </c>
      <c r="N1105" s="23" t="s">
        <v>78</v>
      </c>
      <c r="O1105" s="23">
        <v>0</v>
      </c>
      <c r="P1105" s="23" t="s">
        <v>79</v>
      </c>
      <c r="Q1105" s="23" t="s">
        <v>83</v>
      </c>
      <c r="S1105" s="24" t="s">
        <v>80</v>
      </c>
      <c r="T1105" s="24">
        <v>43900</v>
      </c>
      <c r="U1105" s="24">
        <v>44561</v>
      </c>
      <c r="X1105" s="24">
        <v>43900</v>
      </c>
      <c r="Y1105" s="23">
        <v>1111</v>
      </c>
      <c r="Z1105" s="23">
        <v>11400129</v>
      </c>
      <c r="AA1105" s="23">
        <v>3361</v>
      </c>
      <c r="AB1105" s="24">
        <v>43900</v>
      </c>
    </row>
    <row r="1106" spans="2:28" x14ac:dyDescent="0.2">
      <c r="B1106" s="23" t="s">
        <v>81</v>
      </c>
      <c r="C1106" s="23">
        <v>1100101905</v>
      </c>
      <c r="H1106" s="24">
        <v>47118</v>
      </c>
      <c r="O1106" s="23">
        <v>0</v>
      </c>
      <c r="P1106" s="23" t="s">
        <v>79</v>
      </c>
    </row>
    <row r="1107" spans="2:28" x14ac:dyDescent="0.2">
      <c r="C1107" s="23">
        <v>1100101983</v>
      </c>
      <c r="E1107" s="23">
        <v>26100</v>
      </c>
      <c r="F1107" s="23" t="s">
        <v>353</v>
      </c>
      <c r="G1107" s="23" t="s">
        <v>354</v>
      </c>
      <c r="H1107" s="24">
        <v>47118</v>
      </c>
      <c r="I1107" s="24">
        <v>47118</v>
      </c>
      <c r="J1107" s="23" t="s">
        <v>159</v>
      </c>
      <c r="K1107" s="23" t="s">
        <v>159</v>
      </c>
      <c r="L1107" s="23">
        <v>1</v>
      </c>
      <c r="M1107" s="23" t="s">
        <v>78</v>
      </c>
      <c r="N1107" s="23" t="s">
        <v>78</v>
      </c>
      <c r="O1107" s="23">
        <v>0</v>
      </c>
      <c r="P1107" s="23" t="s">
        <v>79</v>
      </c>
      <c r="Q1107" s="23" t="s">
        <v>83</v>
      </c>
      <c r="R1107" s="23">
        <v>11100189</v>
      </c>
      <c r="S1107" s="24" t="s">
        <v>80</v>
      </c>
      <c r="T1107" s="24">
        <v>44119</v>
      </c>
      <c r="U1107" s="24">
        <v>44925</v>
      </c>
      <c r="V1107" s="23">
        <v>1</v>
      </c>
      <c r="X1107" s="24">
        <v>44119</v>
      </c>
      <c r="Y1107" s="23">
        <v>1111</v>
      </c>
      <c r="Z1107" s="23">
        <v>11400129</v>
      </c>
      <c r="AA1107" s="23">
        <v>5161</v>
      </c>
      <c r="AB1107" s="24">
        <v>44357</v>
      </c>
    </row>
    <row r="1108" spans="2:28" x14ac:dyDescent="0.2">
      <c r="B1108" s="23" t="s">
        <v>81</v>
      </c>
      <c r="C1108" s="23">
        <v>1100101983</v>
      </c>
      <c r="H1108" s="24">
        <v>47118</v>
      </c>
      <c r="O1108" s="23">
        <v>0</v>
      </c>
      <c r="P1108" s="23" t="s">
        <v>79</v>
      </c>
    </row>
    <row r="1109" spans="2:28" x14ac:dyDescent="0.2">
      <c r="C1109" s="23">
        <v>1100102004</v>
      </c>
      <c r="E1109" s="23">
        <v>750</v>
      </c>
      <c r="F1109" s="23" t="s">
        <v>326</v>
      </c>
      <c r="G1109" s="23" t="s">
        <v>327</v>
      </c>
      <c r="H1109" s="24">
        <v>47118</v>
      </c>
      <c r="I1109" s="24">
        <v>47118</v>
      </c>
      <c r="J1109" s="23" t="s">
        <v>328</v>
      </c>
      <c r="K1109" s="23" t="s">
        <v>328</v>
      </c>
      <c r="L1109" s="23">
        <v>1</v>
      </c>
      <c r="M1109" s="23" t="s">
        <v>78</v>
      </c>
      <c r="N1109" s="23" t="s">
        <v>78</v>
      </c>
      <c r="O1109" s="23">
        <v>0</v>
      </c>
      <c r="P1109" s="23" t="s">
        <v>79</v>
      </c>
      <c r="Q1109" s="23" t="s">
        <v>83</v>
      </c>
      <c r="S1109" s="24" t="s">
        <v>80</v>
      </c>
      <c r="T1109" s="24">
        <v>44193</v>
      </c>
      <c r="U1109" s="24">
        <v>44925</v>
      </c>
      <c r="X1109" s="24">
        <v>44193</v>
      </c>
      <c r="Y1109" s="23">
        <v>1111</v>
      </c>
      <c r="Z1109" s="23">
        <v>11400129</v>
      </c>
      <c r="AA1109" s="23">
        <v>3361</v>
      </c>
      <c r="AB1109" s="24">
        <v>44193</v>
      </c>
    </row>
    <row r="1110" spans="2:28" x14ac:dyDescent="0.2">
      <c r="C1110" s="23">
        <v>1100102004</v>
      </c>
      <c r="E1110" s="23">
        <v>2600</v>
      </c>
      <c r="F1110" s="23" t="s">
        <v>329</v>
      </c>
      <c r="G1110" s="23" t="s">
        <v>330</v>
      </c>
      <c r="H1110" s="24">
        <v>47118</v>
      </c>
      <c r="I1110" s="24">
        <v>47118</v>
      </c>
      <c r="J1110" s="23" t="s">
        <v>328</v>
      </c>
      <c r="K1110" s="23" t="s">
        <v>328</v>
      </c>
      <c r="L1110" s="23">
        <v>1</v>
      </c>
      <c r="M1110" s="23" t="s">
        <v>78</v>
      </c>
      <c r="N1110" s="23" t="s">
        <v>78</v>
      </c>
      <c r="O1110" s="23">
        <v>0</v>
      </c>
      <c r="P1110" s="23" t="s">
        <v>79</v>
      </c>
      <c r="Q1110" s="23" t="s">
        <v>83</v>
      </c>
      <c r="S1110" s="24" t="s">
        <v>80</v>
      </c>
      <c r="T1110" s="24">
        <v>44193</v>
      </c>
      <c r="U1110" s="24">
        <v>44925</v>
      </c>
      <c r="X1110" s="24">
        <v>44193</v>
      </c>
      <c r="Y1110" s="23">
        <v>1111</v>
      </c>
      <c r="Z1110" s="23">
        <v>11400129</v>
      </c>
      <c r="AA1110" s="23">
        <v>3301</v>
      </c>
      <c r="AB1110" s="24">
        <v>44193</v>
      </c>
    </row>
    <row r="1111" spans="2:28" x14ac:dyDescent="0.2">
      <c r="C1111" s="23">
        <v>1100102004</v>
      </c>
      <c r="E1111" s="23">
        <v>2700</v>
      </c>
      <c r="F1111" s="23" t="s">
        <v>331</v>
      </c>
      <c r="G1111" s="23" t="s">
        <v>332</v>
      </c>
      <c r="H1111" s="24">
        <v>47118</v>
      </c>
      <c r="I1111" s="24">
        <v>47118</v>
      </c>
      <c r="J1111" s="23" t="s">
        <v>328</v>
      </c>
      <c r="K1111" s="23" t="s">
        <v>328</v>
      </c>
      <c r="L1111" s="23">
        <v>1</v>
      </c>
      <c r="M1111" s="23" t="s">
        <v>78</v>
      </c>
      <c r="N1111" s="23" t="s">
        <v>78</v>
      </c>
      <c r="O1111" s="23">
        <v>0</v>
      </c>
      <c r="P1111" s="23" t="s">
        <v>79</v>
      </c>
      <c r="Q1111" s="23" t="s">
        <v>83</v>
      </c>
      <c r="S1111" s="24" t="s">
        <v>80</v>
      </c>
      <c r="T1111" s="24">
        <v>44193</v>
      </c>
      <c r="U1111" s="24">
        <v>44925</v>
      </c>
      <c r="X1111" s="24">
        <v>44193</v>
      </c>
      <c r="Y1111" s="23">
        <v>1111</v>
      </c>
      <c r="Z1111" s="23">
        <v>11400129</v>
      </c>
      <c r="AA1111" s="23">
        <v>3301</v>
      </c>
      <c r="AB1111" s="24">
        <v>44193</v>
      </c>
    </row>
    <row r="1112" spans="2:28" x14ac:dyDescent="0.2">
      <c r="C1112" s="23">
        <v>1100102004</v>
      </c>
      <c r="E1112" s="23">
        <v>3550</v>
      </c>
      <c r="F1112" s="23" t="s">
        <v>333</v>
      </c>
      <c r="G1112" s="23" t="s">
        <v>334</v>
      </c>
      <c r="H1112" s="24">
        <v>47118</v>
      </c>
      <c r="I1112" s="24">
        <v>47118</v>
      </c>
      <c r="J1112" s="23" t="s">
        <v>328</v>
      </c>
      <c r="K1112" s="23" t="s">
        <v>328</v>
      </c>
      <c r="L1112" s="23">
        <v>1</v>
      </c>
      <c r="M1112" s="23" t="s">
        <v>78</v>
      </c>
      <c r="N1112" s="23" t="s">
        <v>78</v>
      </c>
      <c r="O1112" s="23">
        <v>0</v>
      </c>
      <c r="P1112" s="23" t="s">
        <v>79</v>
      </c>
      <c r="Q1112" s="23" t="s">
        <v>83</v>
      </c>
      <c r="S1112" s="24" t="s">
        <v>80</v>
      </c>
      <c r="T1112" s="24">
        <v>44193</v>
      </c>
      <c r="U1112" s="24">
        <v>44925</v>
      </c>
      <c r="X1112" s="24">
        <v>44193</v>
      </c>
      <c r="Y1112" s="23">
        <v>1111</v>
      </c>
      <c r="Z1112" s="23">
        <v>11400129</v>
      </c>
      <c r="AA1112" s="23">
        <v>3301</v>
      </c>
      <c r="AB1112" s="24">
        <v>44193</v>
      </c>
    </row>
    <row r="1113" spans="2:28" x14ac:dyDescent="0.2">
      <c r="C1113" s="23">
        <v>1100102004</v>
      </c>
      <c r="E1113" s="23">
        <v>3800</v>
      </c>
      <c r="F1113" s="23" t="s">
        <v>335</v>
      </c>
      <c r="G1113" s="23" t="s">
        <v>336</v>
      </c>
      <c r="H1113" s="24">
        <v>47118</v>
      </c>
      <c r="I1113" s="24">
        <v>47118</v>
      </c>
      <c r="J1113" s="23" t="s">
        <v>328</v>
      </c>
      <c r="K1113" s="23" t="s">
        <v>328</v>
      </c>
      <c r="L1113" s="23">
        <v>1</v>
      </c>
      <c r="M1113" s="23" t="s">
        <v>78</v>
      </c>
      <c r="N1113" s="23" t="s">
        <v>78</v>
      </c>
      <c r="O1113" s="23">
        <v>0</v>
      </c>
      <c r="P1113" s="23" t="s">
        <v>79</v>
      </c>
      <c r="Q1113" s="23" t="s">
        <v>83</v>
      </c>
      <c r="S1113" s="24" t="s">
        <v>80</v>
      </c>
      <c r="T1113" s="24">
        <v>44193</v>
      </c>
      <c r="U1113" s="24">
        <v>44925</v>
      </c>
      <c r="X1113" s="24">
        <v>44193</v>
      </c>
      <c r="Y1113" s="23">
        <v>1111</v>
      </c>
      <c r="Z1113" s="23">
        <v>11400129</v>
      </c>
      <c r="AA1113" s="23">
        <v>3301</v>
      </c>
      <c r="AB1113" s="24">
        <v>44193</v>
      </c>
    </row>
    <row r="1114" spans="2:28" x14ac:dyDescent="0.2">
      <c r="C1114" s="23">
        <v>1100102004</v>
      </c>
      <c r="E1114" s="23">
        <v>3900</v>
      </c>
      <c r="F1114" s="23" t="s">
        <v>337</v>
      </c>
      <c r="G1114" s="23" t="s">
        <v>338</v>
      </c>
      <c r="H1114" s="24">
        <v>47118</v>
      </c>
      <c r="I1114" s="24">
        <v>47118</v>
      </c>
      <c r="J1114" s="23" t="s">
        <v>328</v>
      </c>
      <c r="K1114" s="23" t="s">
        <v>328</v>
      </c>
      <c r="L1114" s="23">
        <v>1</v>
      </c>
      <c r="M1114" s="23" t="s">
        <v>78</v>
      </c>
      <c r="N1114" s="23" t="s">
        <v>78</v>
      </c>
      <c r="O1114" s="23">
        <v>0</v>
      </c>
      <c r="P1114" s="23" t="s">
        <v>79</v>
      </c>
      <c r="Q1114" s="23" t="s">
        <v>83</v>
      </c>
      <c r="S1114" s="24" t="s">
        <v>80</v>
      </c>
      <c r="T1114" s="24">
        <v>44193</v>
      </c>
      <c r="U1114" s="24">
        <v>44925</v>
      </c>
      <c r="X1114" s="24">
        <v>44193</v>
      </c>
      <c r="Y1114" s="23">
        <v>1111</v>
      </c>
      <c r="Z1114" s="23">
        <v>11400129</v>
      </c>
      <c r="AA1114" s="23">
        <v>3301</v>
      </c>
      <c r="AB1114" s="24">
        <v>44193</v>
      </c>
    </row>
    <row r="1115" spans="2:28" x14ac:dyDescent="0.2">
      <c r="C1115" s="23">
        <v>1100102004</v>
      </c>
      <c r="E1115" s="23">
        <v>4000</v>
      </c>
      <c r="F1115" s="23" t="s">
        <v>339</v>
      </c>
      <c r="G1115" s="23" t="s">
        <v>340</v>
      </c>
      <c r="H1115" s="24">
        <v>47118</v>
      </c>
      <c r="I1115" s="24">
        <v>47118</v>
      </c>
      <c r="J1115" s="23" t="s">
        <v>328</v>
      </c>
      <c r="K1115" s="23" t="s">
        <v>328</v>
      </c>
      <c r="L1115" s="23">
        <v>1</v>
      </c>
      <c r="M1115" s="23" t="s">
        <v>78</v>
      </c>
      <c r="N1115" s="23" t="s">
        <v>78</v>
      </c>
      <c r="O1115" s="23">
        <v>0</v>
      </c>
      <c r="P1115" s="23" t="s">
        <v>79</v>
      </c>
      <c r="Q1115" s="23" t="s">
        <v>83</v>
      </c>
      <c r="S1115" s="24" t="s">
        <v>80</v>
      </c>
      <c r="T1115" s="24">
        <v>44193</v>
      </c>
      <c r="U1115" s="24">
        <v>44925</v>
      </c>
      <c r="X1115" s="24">
        <v>44193</v>
      </c>
      <c r="Y1115" s="23">
        <v>1111</v>
      </c>
      <c r="Z1115" s="23">
        <v>11400129</v>
      </c>
      <c r="AA1115" s="23">
        <v>3301</v>
      </c>
      <c r="AB1115" s="24">
        <v>44193</v>
      </c>
    </row>
    <row r="1116" spans="2:28" x14ac:dyDescent="0.2">
      <c r="C1116" s="23">
        <v>1100102004</v>
      </c>
      <c r="E1116" s="23">
        <v>4100</v>
      </c>
      <c r="F1116" s="23" t="s">
        <v>341</v>
      </c>
      <c r="G1116" s="23" t="s">
        <v>342</v>
      </c>
      <c r="H1116" s="24">
        <v>47118</v>
      </c>
      <c r="I1116" s="24">
        <v>47118</v>
      </c>
      <c r="J1116" s="23" t="s">
        <v>328</v>
      </c>
      <c r="K1116" s="23" t="s">
        <v>328</v>
      </c>
      <c r="L1116" s="23">
        <v>1</v>
      </c>
      <c r="M1116" s="23" t="s">
        <v>78</v>
      </c>
      <c r="N1116" s="23" t="s">
        <v>78</v>
      </c>
      <c r="O1116" s="23">
        <v>0</v>
      </c>
      <c r="P1116" s="23" t="s">
        <v>79</v>
      </c>
      <c r="Q1116" s="23" t="s">
        <v>83</v>
      </c>
      <c r="S1116" s="24" t="s">
        <v>80</v>
      </c>
      <c r="T1116" s="24">
        <v>44193</v>
      </c>
      <c r="U1116" s="24">
        <v>44925</v>
      </c>
      <c r="X1116" s="24">
        <v>44193</v>
      </c>
      <c r="Y1116" s="23">
        <v>1111</v>
      </c>
      <c r="Z1116" s="23">
        <v>11400129</v>
      </c>
      <c r="AA1116" s="23">
        <v>3301</v>
      </c>
      <c r="AB1116" s="24">
        <v>44193</v>
      </c>
    </row>
    <row r="1117" spans="2:28" x14ac:dyDescent="0.2">
      <c r="C1117" s="23">
        <v>1100102004</v>
      </c>
      <c r="E1117" s="23">
        <v>4200</v>
      </c>
      <c r="F1117" s="23" t="s">
        <v>343</v>
      </c>
      <c r="G1117" s="23" t="s">
        <v>344</v>
      </c>
      <c r="H1117" s="24">
        <v>47118</v>
      </c>
      <c r="I1117" s="24">
        <v>47118</v>
      </c>
      <c r="J1117" s="23" t="s">
        <v>328</v>
      </c>
      <c r="K1117" s="23" t="s">
        <v>328</v>
      </c>
      <c r="L1117" s="23">
        <v>1</v>
      </c>
      <c r="M1117" s="23" t="s">
        <v>78</v>
      </c>
      <c r="N1117" s="23" t="s">
        <v>78</v>
      </c>
      <c r="O1117" s="23">
        <v>0</v>
      </c>
      <c r="P1117" s="23" t="s">
        <v>79</v>
      </c>
      <c r="Q1117" s="23" t="s">
        <v>83</v>
      </c>
      <c r="S1117" s="24" t="s">
        <v>80</v>
      </c>
      <c r="T1117" s="24">
        <v>44193</v>
      </c>
      <c r="U1117" s="24">
        <v>44925</v>
      </c>
      <c r="X1117" s="24">
        <v>44193</v>
      </c>
      <c r="Y1117" s="23">
        <v>1111</v>
      </c>
      <c r="Z1117" s="23">
        <v>11400129</v>
      </c>
      <c r="AA1117" s="23">
        <v>3301</v>
      </c>
      <c r="AB1117" s="24">
        <v>44193</v>
      </c>
    </row>
    <row r="1118" spans="2:28" x14ac:dyDescent="0.2">
      <c r="C1118" s="23">
        <v>1100102004</v>
      </c>
      <c r="E1118" s="23">
        <v>4300</v>
      </c>
      <c r="F1118" s="23" t="s">
        <v>345</v>
      </c>
      <c r="G1118" s="23" t="s">
        <v>346</v>
      </c>
      <c r="H1118" s="24">
        <v>47118</v>
      </c>
      <c r="I1118" s="24">
        <v>47118</v>
      </c>
      <c r="J1118" s="23" t="s">
        <v>328</v>
      </c>
      <c r="K1118" s="23" t="s">
        <v>328</v>
      </c>
      <c r="L1118" s="23">
        <v>1</v>
      </c>
      <c r="M1118" s="23" t="s">
        <v>78</v>
      </c>
      <c r="N1118" s="23" t="s">
        <v>78</v>
      </c>
      <c r="O1118" s="23">
        <v>0</v>
      </c>
      <c r="P1118" s="23" t="s">
        <v>79</v>
      </c>
      <c r="Q1118" s="23" t="s">
        <v>83</v>
      </c>
      <c r="S1118" s="24" t="s">
        <v>80</v>
      </c>
      <c r="T1118" s="24">
        <v>44193</v>
      </c>
      <c r="U1118" s="24">
        <v>44925</v>
      </c>
      <c r="X1118" s="24">
        <v>44193</v>
      </c>
      <c r="Y1118" s="23">
        <v>1111</v>
      </c>
      <c r="Z1118" s="23">
        <v>11400129</v>
      </c>
      <c r="AA1118" s="23">
        <v>3301</v>
      </c>
      <c r="AB1118" s="24">
        <v>44193</v>
      </c>
    </row>
    <row r="1119" spans="2:28" x14ac:dyDescent="0.2">
      <c r="C1119" s="23">
        <v>1100102004</v>
      </c>
      <c r="E1119" s="23">
        <v>4400</v>
      </c>
      <c r="F1119" s="23" t="s">
        <v>347</v>
      </c>
      <c r="G1119" s="23" t="s">
        <v>348</v>
      </c>
      <c r="H1119" s="24">
        <v>47118</v>
      </c>
      <c r="I1119" s="24">
        <v>47118</v>
      </c>
      <c r="J1119" s="23" t="s">
        <v>328</v>
      </c>
      <c r="K1119" s="23" t="s">
        <v>328</v>
      </c>
      <c r="L1119" s="23">
        <v>1</v>
      </c>
      <c r="M1119" s="23" t="s">
        <v>78</v>
      </c>
      <c r="N1119" s="23" t="s">
        <v>78</v>
      </c>
      <c r="O1119" s="23">
        <v>0</v>
      </c>
      <c r="P1119" s="23" t="s">
        <v>79</v>
      </c>
      <c r="Q1119" s="23" t="s">
        <v>83</v>
      </c>
      <c r="S1119" s="24" t="s">
        <v>80</v>
      </c>
      <c r="T1119" s="24">
        <v>44193</v>
      </c>
      <c r="U1119" s="24">
        <v>44925</v>
      </c>
      <c r="X1119" s="24">
        <v>44193</v>
      </c>
      <c r="Y1119" s="23">
        <v>1111</v>
      </c>
      <c r="Z1119" s="23">
        <v>11400129</v>
      </c>
      <c r="AA1119" s="23">
        <v>3301</v>
      </c>
      <c r="AB1119" s="24">
        <v>44193</v>
      </c>
    </row>
    <row r="1120" spans="2:28" x14ac:dyDescent="0.2">
      <c r="B1120" s="23" t="s">
        <v>81</v>
      </c>
      <c r="C1120" s="23">
        <v>1100102004</v>
      </c>
      <c r="H1120" s="24">
        <v>47118</v>
      </c>
      <c r="O1120" s="23">
        <v>0</v>
      </c>
      <c r="P1120" s="23" t="s">
        <v>79</v>
      </c>
    </row>
    <row r="1121" spans="2:28" x14ac:dyDescent="0.2">
      <c r="C1121" s="23">
        <v>1100102054</v>
      </c>
      <c r="E1121" s="23">
        <v>700</v>
      </c>
      <c r="F1121" s="23" t="s">
        <v>349</v>
      </c>
      <c r="G1121" s="23" t="s">
        <v>350</v>
      </c>
      <c r="H1121" s="24">
        <v>47118</v>
      </c>
      <c r="I1121" s="24">
        <v>47118</v>
      </c>
      <c r="J1121" s="23" t="s">
        <v>159</v>
      </c>
      <c r="K1121" s="23" t="s">
        <v>159</v>
      </c>
      <c r="L1121" s="23">
        <v>1</v>
      </c>
      <c r="M1121" s="23" t="s">
        <v>78</v>
      </c>
      <c r="N1121" s="23" t="s">
        <v>78</v>
      </c>
      <c r="O1121" s="23">
        <v>0</v>
      </c>
      <c r="P1121" s="23" t="s">
        <v>79</v>
      </c>
      <c r="Q1121" s="23" t="s">
        <v>83</v>
      </c>
      <c r="S1121" s="24" t="s">
        <v>80</v>
      </c>
      <c r="T1121" s="24">
        <v>44326</v>
      </c>
      <c r="U1121" s="24">
        <v>46022</v>
      </c>
      <c r="X1121" s="24" t="s">
        <v>80</v>
      </c>
      <c r="Y1121" s="23">
        <v>1111</v>
      </c>
      <c r="Z1121" s="23">
        <v>11400129</v>
      </c>
      <c r="AA1121" s="23">
        <v>5161</v>
      </c>
      <c r="AB1121" s="24" t="s">
        <v>80</v>
      </c>
    </row>
    <row r="1122" spans="2:28" x14ac:dyDescent="0.2">
      <c r="B1122" s="23" t="s">
        <v>81</v>
      </c>
      <c r="C1122" s="23">
        <v>1100102054</v>
      </c>
      <c r="H1122" s="24">
        <v>47118</v>
      </c>
      <c r="O1122" s="23">
        <v>0</v>
      </c>
      <c r="P1122" s="23" t="s">
        <v>79</v>
      </c>
    </row>
    <row r="1123" spans="2:28" x14ac:dyDescent="0.2">
      <c r="C1123" s="23">
        <v>1100102386</v>
      </c>
      <c r="E1123" s="23">
        <v>1100</v>
      </c>
      <c r="F1123" s="23" t="s">
        <v>2623</v>
      </c>
      <c r="G1123" s="23" t="s">
        <v>2624</v>
      </c>
      <c r="H1123" s="24">
        <v>47118</v>
      </c>
      <c r="I1123" s="24">
        <v>47118</v>
      </c>
      <c r="J1123" s="23" t="s">
        <v>2596</v>
      </c>
      <c r="K1123" s="23" t="s">
        <v>2596</v>
      </c>
      <c r="L1123" s="23">
        <v>1</v>
      </c>
      <c r="M1123" s="23" t="s">
        <v>78</v>
      </c>
      <c r="N1123" s="23" t="s">
        <v>78</v>
      </c>
      <c r="O1123" s="23">
        <v>0</v>
      </c>
      <c r="P1123" s="23" t="s">
        <v>79</v>
      </c>
      <c r="Q1123" s="23" t="s">
        <v>83</v>
      </c>
      <c r="R1123" s="23">
        <v>11100008</v>
      </c>
      <c r="S1123" s="24" t="s">
        <v>80</v>
      </c>
      <c r="T1123" s="24">
        <v>45229</v>
      </c>
      <c r="U1123" s="24">
        <v>47116</v>
      </c>
      <c r="X1123" s="24">
        <v>45229</v>
      </c>
      <c r="Y1123" s="23">
        <v>1111</v>
      </c>
      <c r="Z1123" s="23">
        <v>11400129</v>
      </c>
      <c r="AA1123" s="23">
        <v>5061</v>
      </c>
      <c r="AB1123" s="24">
        <v>46037</v>
      </c>
    </row>
    <row r="1124" spans="2:28" x14ac:dyDescent="0.2">
      <c r="C1124" s="23">
        <v>1100102386</v>
      </c>
      <c r="E1124" s="23">
        <v>1200</v>
      </c>
      <c r="F1124" s="23" t="s">
        <v>2625</v>
      </c>
      <c r="G1124" s="23" t="s">
        <v>2598</v>
      </c>
      <c r="H1124" s="24">
        <v>47118</v>
      </c>
      <c r="I1124" s="24">
        <v>47118</v>
      </c>
      <c r="J1124" s="23" t="s">
        <v>2596</v>
      </c>
      <c r="K1124" s="23" t="s">
        <v>2596</v>
      </c>
      <c r="L1124" s="23">
        <v>1</v>
      </c>
      <c r="M1124" s="23" t="s">
        <v>78</v>
      </c>
      <c r="N1124" s="23" t="s">
        <v>78</v>
      </c>
      <c r="O1124" s="23">
        <v>0</v>
      </c>
      <c r="P1124" s="23" t="s">
        <v>79</v>
      </c>
      <c r="Q1124" s="23" t="s">
        <v>83</v>
      </c>
      <c r="R1124" s="23">
        <v>11100008</v>
      </c>
      <c r="S1124" s="24" t="s">
        <v>80</v>
      </c>
      <c r="T1124" s="24">
        <v>45229</v>
      </c>
      <c r="U1124" s="24">
        <v>47116</v>
      </c>
      <c r="X1124" s="24">
        <v>45229</v>
      </c>
      <c r="Y1124" s="23">
        <v>1111</v>
      </c>
      <c r="Z1124" s="23">
        <v>11400129</v>
      </c>
      <c r="AA1124" s="23">
        <v>5061</v>
      </c>
      <c r="AB1124" s="24">
        <v>46037</v>
      </c>
    </row>
    <row r="1125" spans="2:28" x14ac:dyDescent="0.2">
      <c r="C1125" s="23">
        <v>1100102386</v>
      </c>
      <c r="E1125" s="23">
        <v>1300</v>
      </c>
      <c r="F1125" s="23" t="s">
        <v>2626</v>
      </c>
      <c r="G1125" s="23" t="s">
        <v>2600</v>
      </c>
      <c r="H1125" s="24">
        <v>47118</v>
      </c>
      <c r="I1125" s="24">
        <v>47118</v>
      </c>
      <c r="J1125" s="23" t="s">
        <v>2596</v>
      </c>
      <c r="K1125" s="23" t="s">
        <v>2596</v>
      </c>
      <c r="L1125" s="23">
        <v>1</v>
      </c>
      <c r="M1125" s="23" t="s">
        <v>78</v>
      </c>
      <c r="N1125" s="23" t="s">
        <v>78</v>
      </c>
      <c r="O1125" s="23">
        <v>0</v>
      </c>
      <c r="P1125" s="23" t="s">
        <v>79</v>
      </c>
      <c r="Q1125" s="23" t="s">
        <v>83</v>
      </c>
      <c r="R1125" s="23">
        <v>11100008</v>
      </c>
      <c r="S1125" s="24" t="s">
        <v>80</v>
      </c>
      <c r="T1125" s="24">
        <v>45229</v>
      </c>
      <c r="U1125" s="24">
        <v>47116</v>
      </c>
      <c r="X1125" s="24">
        <v>45229</v>
      </c>
      <c r="Y1125" s="23">
        <v>1111</v>
      </c>
      <c r="Z1125" s="23">
        <v>11400129</v>
      </c>
      <c r="AA1125" s="23">
        <v>5061</v>
      </c>
      <c r="AB1125" s="24">
        <v>46037</v>
      </c>
    </row>
    <row r="1126" spans="2:28" x14ac:dyDescent="0.2">
      <c r="B1126" s="23" t="s">
        <v>81</v>
      </c>
      <c r="C1126" s="23">
        <v>1100102386</v>
      </c>
      <c r="H1126" s="24">
        <v>47118</v>
      </c>
      <c r="O1126" s="23">
        <v>0</v>
      </c>
      <c r="P1126" s="23" t="s">
        <v>79</v>
      </c>
    </row>
    <row r="1127" spans="2:28" x14ac:dyDescent="0.2">
      <c r="C1127" s="23">
        <v>1100102454</v>
      </c>
      <c r="E1127" s="23">
        <v>750</v>
      </c>
      <c r="F1127" s="23" t="s">
        <v>1600</v>
      </c>
      <c r="G1127" s="23" t="s">
        <v>305</v>
      </c>
      <c r="H1127" s="24">
        <v>47118</v>
      </c>
      <c r="I1127" s="24">
        <v>47118</v>
      </c>
      <c r="J1127" s="23" t="s">
        <v>1601</v>
      </c>
      <c r="K1127" s="23" t="s">
        <v>1601</v>
      </c>
      <c r="L1127" s="23">
        <v>1</v>
      </c>
      <c r="M1127" s="23" t="s">
        <v>78</v>
      </c>
      <c r="N1127" s="23" t="s">
        <v>78</v>
      </c>
      <c r="O1127" s="23">
        <v>0</v>
      </c>
      <c r="P1127" s="23" t="s">
        <v>79</v>
      </c>
      <c r="Q1127" s="23" t="s">
        <v>83</v>
      </c>
      <c r="R1127" s="23">
        <v>11100018</v>
      </c>
      <c r="S1127" s="24" t="s">
        <v>80</v>
      </c>
      <c r="T1127" s="24">
        <v>45392</v>
      </c>
      <c r="U1127" s="24">
        <v>46386</v>
      </c>
      <c r="X1127" s="24">
        <v>45392</v>
      </c>
      <c r="Y1127" s="23">
        <v>1111</v>
      </c>
      <c r="Z1127" s="23">
        <v>11400129</v>
      </c>
      <c r="AA1127" s="23">
        <v>5161</v>
      </c>
      <c r="AB1127" s="24">
        <v>45945</v>
      </c>
    </row>
    <row r="1128" spans="2:28" x14ac:dyDescent="0.2">
      <c r="C1128" s="23">
        <v>1100102454</v>
      </c>
      <c r="E1128" s="23">
        <v>4500</v>
      </c>
      <c r="F1128" s="23" t="s">
        <v>1602</v>
      </c>
      <c r="G1128" s="23" t="s">
        <v>1603</v>
      </c>
      <c r="H1128" s="24">
        <v>47118</v>
      </c>
      <c r="I1128" s="24">
        <v>47118</v>
      </c>
      <c r="J1128" s="23" t="s">
        <v>1601</v>
      </c>
      <c r="K1128" s="23" t="s">
        <v>1601</v>
      </c>
      <c r="L1128" s="23">
        <v>1</v>
      </c>
      <c r="M1128" s="23" t="s">
        <v>78</v>
      </c>
      <c r="N1128" s="23" t="s">
        <v>78</v>
      </c>
      <c r="O1128" s="23">
        <v>54942</v>
      </c>
      <c r="P1128" s="23" t="s">
        <v>79</v>
      </c>
      <c r="Q1128" s="23" t="s">
        <v>119</v>
      </c>
      <c r="R1128" s="23">
        <v>11100018</v>
      </c>
      <c r="S1128" s="24">
        <v>46285</v>
      </c>
      <c r="T1128" s="24">
        <v>45392</v>
      </c>
      <c r="U1128" s="24">
        <v>46386</v>
      </c>
      <c r="X1128" s="24">
        <v>45392</v>
      </c>
      <c r="Y1128" s="23">
        <v>1111</v>
      </c>
      <c r="Z1128" s="23">
        <v>11400129</v>
      </c>
      <c r="AA1128" s="23">
        <v>510103</v>
      </c>
      <c r="AB1128" s="24">
        <v>45916</v>
      </c>
    </row>
    <row r="1129" spans="2:28" x14ac:dyDescent="0.2">
      <c r="C1129" s="23">
        <v>1100102454</v>
      </c>
      <c r="E1129" s="23">
        <v>4600</v>
      </c>
      <c r="F1129" s="23" t="s">
        <v>1604</v>
      </c>
      <c r="G1129" s="23" t="s">
        <v>1605</v>
      </c>
      <c r="H1129" s="24">
        <v>47118</v>
      </c>
      <c r="I1129" s="24">
        <v>47118</v>
      </c>
      <c r="J1129" s="23" t="s">
        <v>1601</v>
      </c>
      <c r="K1129" s="23" t="s">
        <v>1601</v>
      </c>
      <c r="L1129" s="23">
        <v>1</v>
      </c>
      <c r="M1129" s="23" t="s">
        <v>78</v>
      </c>
      <c r="N1129" s="23" t="s">
        <v>78</v>
      </c>
      <c r="O1129" s="23">
        <v>54942</v>
      </c>
      <c r="P1129" s="23" t="s">
        <v>79</v>
      </c>
      <c r="Q1129" s="23" t="s">
        <v>119</v>
      </c>
      <c r="R1129" s="23">
        <v>11100018</v>
      </c>
      <c r="S1129" s="24">
        <v>46285</v>
      </c>
      <c r="T1129" s="24">
        <v>45392</v>
      </c>
      <c r="U1129" s="24">
        <v>46386</v>
      </c>
      <c r="X1129" s="24">
        <v>45392</v>
      </c>
      <c r="Y1129" s="23">
        <v>1111</v>
      </c>
      <c r="Z1129" s="23">
        <v>11400129</v>
      </c>
      <c r="AA1129" s="23">
        <v>510103</v>
      </c>
      <c r="AB1129" s="24">
        <v>45916</v>
      </c>
    </row>
    <row r="1130" spans="2:28" x14ac:dyDescent="0.2">
      <c r="C1130" s="23">
        <v>1100102454</v>
      </c>
      <c r="E1130" s="23">
        <v>4700</v>
      </c>
      <c r="F1130" s="23" t="s">
        <v>1606</v>
      </c>
      <c r="G1130" s="23" t="s">
        <v>1607</v>
      </c>
      <c r="H1130" s="24">
        <v>47118</v>
      </c>
      <c r="I1130" s="24">
        <v>47118</v>
      </c>
      <c r="J1130" s="23" t="s">
        <v>1601</v>
      </c>
      <c r="K1130" s="23" t="s">
        <v>1601</v>
      </c>
      <c r="L1130" s="23">
        <v>1</v>
      </c>
      <c r="M1130" s="23" t="s">
        <v>78</v>
      </c>
      <c r="N1130" s="23" t="s">
        <v>78</v>
      </c>
      <c r="O1130" s="23">
        <v>54942</v>
      </c>
      <c r="P1130" s="23" t="s">
        <v>79</v>
      </c>
      <c r="Q1130" s="23" t="s">
        <v>119</v>
      </c>
      <c r="R1130" s="23">
        <v>11100018</v>
      </c>
      <c r="S1130" s="24">
        <v>46285</v>
      </c>
      <c r="T1130" s="24">
        <v>45392</v>
      </c>
      <c r="U1130" s="24">
        <v>46386</v>
      </c>
      <c r="X1130" s="24">
        <v>45392</v>
      </c>
      <c r="Y1130" s="23">
        <v>1111</v>
      </c>
      <c r="Z1130" s="23">
        <v>11400129</v>
      </c>
      <c r="AA1130" s="23">
        <v>510103</v>
      </c>
      <c r="AB1130" s="24">
        <v>45916</v>
      </c>
    </row>
    <row r="1131" spans="2:28" x14ac:dyDescent="0.2">
      <c r="C1131" s="23">
        <v>1100102454</v>
      </c>
      <c r="E1131" s="23">
        <v>4800</v>
      </c>
      <c r="F1131" s="23" t="s">
        <v>1608</v>
      </c>
      <c r="G1131" s="23" t="s">
        <v>1609</v>
      </c>
      <c r="H1131" s="24">
        <v>47118</v>
      </c>
      <c r="I1131" s="24">
        <v>47118</v>
      </c>
      <c r="J1131" s="23" t="s">
        <v>1601</v>
      </c>
      <c r="K1131" s="23" t="s">
        <v>1601</v>
      </c>
      <c r="L1131" s="23">
        <v>1</v>
      </c>
      <c r="M1131" s="23" t="s">
        <v>78</v>
      </c>
      <c r="N1131" s="23" t="s">
        <v>78</v>
      </c>
      <c r="O1131" s="23">
        <v>54942</v>
      </c>
      <c r="P1131" s="23" t="s">
        <v>79</v>
      </c>
      <c r="Q1131" s="23" t="s">
        <v>119</v>
      </c>
      <c r="R1131" s="23">
        <v>11100018</v>
      </c>
      <c r="S1131" s="24">
        <v>46285</v>
      </c>
      <c r="T1131" s="24">
        <v>45392</v>
      </c>
      <c r="U1131" s="24">
        <v>46386</v>
      </c>
      <c r="X1131" s="24">
        <v>45392</v>
      </c>
      <c r="Y1131" s="23">
        <v>1111</v>
      </c>
      <c r="Z1131" s="23">
        <v>11400129</v>
      </c>
      <c r="AA1131" s="23">
        <v>510103</v>
      </c>
      <c r="AB1131" s="24">
        <v>45916</v>
      </c>
    </row>
    <row r="1132" spans="2:28" x14ac:dyDescent="0.2">
      <c r="B1132" s="23" t="s">
        <v>81</v>
      </c>
      <c r="C1132" s="23">
        <v>1100102454</v>
      </c>
      <c r="H1132" s="24">
        <v>47118</v>
      </c>
      <c r="O1132" s="23">
        <v>219768</v>
      </c>
      <c r="P1132" s="23" t="s">
        <v>79</v>
      </c>
    </row>
    <row r="1133" spans="2:28" x14ac:dyDescent="0.2">
      <c r="C1133" s="23">
        <v>1100102561</v>
      </c>
      <c r="E1133" s="23">
        <v>900</v>
      </c>
      <c r="F1133" s="23" t="s">
        <v>409</v>
      </c>
      <c r="G1133" s="23" t="s">
        <v>410</v>
      </c>
      <c r="H1133" s="24">
        <v>47118</v>
      </c>
      <c r="I1133" s="24">
        <v>47118</v>
      </c>
      <c r="J1133" s="23" t="s">
        <v>408</v>
      </c>
      <c r="K1133" s="23" t="s">
        <v>408</v>
      </c>
      <c r="L1133" s="23">
        <v>1</v>
      </c>
      <c r="M1133" s="23" t="s">
        <v>78</v>
      </c>
      <c r="N1133" s="23" t="s">
        <v>78</v>
      </c>
      <c r="O1133" s="23">
        <v>0</v>
      </c>
      <c r="P1133" s="23" t="s">
        <v>79</v>
      </c>
      <c r="Q1133" s="23" t="s">
        <v>119</v>
      </c>
      <c r="R1133" s="23">
        <v>11100008</v>
      </c>
      <c r="S1133" s="24" t="s">
        <v>80</v>
      </c>
      <c r="T1133" s="24">
        <v>45656</v>
      </c>
      <c r="U1133" s="24">
        <v>46387</v>
      </c>
      <c r="X1133" s="24">
        <v>45654</v>
      </c>
      <c r="Y1133" s="23">
        <v>1111</v>
      </c>
      <c r="Z1133" s="23">
        <v>11400129</v>
      </c>
      <c r="AA1133" s="23">
        <v>3805</v>
      </c>
      <c r="AB1133" s="24">
        <v>45654</v>
      </c>
    </row>
    <row r="1134" spans="2:28" x14ac:dyDescent="0.2">
      <c r="B1134" s="23" t="s">
        <v>81</v>
      </c>
      <c r="C1134" s="23">
        <v>1100102561</v>
      </c>
      <c r="H1134" s="24">
        <v>47118</v>
      </c>
      <c r="O1134" s="23">
        <v>0</v>
      </c>
      <c r="P1134" s="23" t="s">
        <v>79</v>
      </c>
    </row>
    <row r="1135" spans="2:28" x14ac:dyDescent="0.2">
      <c r="C1135" s="23">
        <v>1100102655</v>
      </c>
      <c r="E1135" s="23">
        <v>1100</v>
      </c>
      <c r="F1135" s="23" t="s">
        <v>574</v>
      </c>
      <c r="G1135" s="23" t="s">
        <v>575</v>
      </c>
      <c r="H1135" s="24">
        <v>47118</v>
      </c>
      <c r="I1135" s="24">
        <v>47118</v>
      </c>
      <c r="J1135" s="23" t="s">
        <v>559</v>
      </c>
      <c r="K1135" s="23" t="s">
        <v>559</v>
      </c>
      <c r="L1135" s="23">
        <v>1</v>
      </c>
      <c r="M1135" s="23" t="s">
        <v>78</v>
      </c>
      <c r="N1135" s="23" t="s">
        <v>78</v>
      </c>
      <c r="O1135" s="23">
        <v>0</v>
      </c>
      <c r="P1135" s="23" t="s">
        <v>79</v>
      </c>
      <c r="Q1135" s="23" t="s">
        <v>119</v>
      </c>
      <c r="R1135" s="23">
        <v>11100299</v>
      </c>
      <c r="S1135" s="24">
        <v>45947</v>
      </c>
      <c r="T1135" s="24">
        <v>45792</v>
      </c>
      <c r="U1135" s="24">
        <v>46752</v>
      </c>
      <c r="X1135" s="24">
        <v>45791</v>
      </c>
      <c r="Y1135" s="23">
        <v>1111</v>
      </c>
      <c r="Z1135" s="23">
        <v>11400129</v>
      </c>
      <c r="AA1135" s="23">
        <v>5101</v>
      </c>
      <c r="AB1135" s="24">
        <v>45791</v>
      </c>
    </row>
    <row r="1136" spans="2:28" x14ac:dyDescent="0.2">
      <c r="C1136" s="23">
        <v>1100102655</v>
      </c>
      <c r="E1136" s="23">
        <v>1150</v>
      </c>
      <c r="F1136" s="23" t="s">
        <v>576</v>
      </c>
      <c r="G1136" s="23" t="s">
        <v>577</v>
      </c>
      <c r="H1136" s="24">
        <v>47118</v>
      </c>
      <c r="I1136" s="24">
        <v>47118</v>
      </c>
      <c r="J1136" s="23" t="s">
        <v>559</v>
      </c>
      <c r="K1136" s="23" t="s">
        <v>559</v>
      </c>
      <c r="L1136" s="23">
        <v>1</v>
      </c>
      <c r="M1136" s="23" t="s">
        <v>78</v>
      </c>
      <c r="N1136" s="23" t="s">
        <v>78</v>
      </c>
      <c r="O1136" s="23">
        <v>0</v>
      </c>
      <c r="P1136" s="23" t="s">
        <v>79</v>
      </c>
      <c r="Q1136" s="23" t="s">
        <v>119</v>
      </c>
      <c r="R1136" s="23">
        <v>11100299</v>
      </c>
      <c r="S1136" s="24">
        <v>45947</v>
      </c>
      <c r="T1136" s="24">
        <v>45792</v>
      </c>
      <c r="U1136" s="24">
        <v>46752</v>
      </c>
      <c r="X1136" s="24">
        <v>45791</v>
      </c>
      <c r="Y1136" s="23">
        <v>1111</v>
      </c>
      <c r="Z1136" s="23">
        <v>11400129</v>
      </c>
      <c r="AA1136" s="23">
        <v>5101</v>
      </c>
      <c r="AB1136" s="24">
        <v>45791</v>
      </c>
    </row>
    <row r="1137" spans="2:28" x14ac:dyDescent="0.2">
      <c r="B1137" s="23" t="s">
        <v>81</v>
      </c>
      <c r="C1137" s="23">
        <v>1100102655</v>
      </c>
      <c r="H1137" s="24">
        <v>47118</v>
      </c>
      <c r="O1137" s="23">
        <v>0</v>
      </c>
      <c r="P1137" s="23" t="s">
        <v>79</v>
      </c>
    </row>
    <row r="1138" spans="2:28" x14ac:dyDescent="0.2">
      <c r="C1138" s="23">
        <v>1100102731</v>
      </c>
      <c r="E1138" s="23">
        <v>750</v>
      </c>
      <c r="F1138" s="23" t="s">
        <v>1251</v>
      </c>
      <c r="G1138" s="23" t="s">
        <v>305</v>
      </c>
      <c r="H1138" s="24">
        <v>47118</v>
      </c>
      <c r="I1138" s="24">
        <v>47118</v>
      </c>
      <c r="J1138" s="23" t="s">
        <v>256</v>
      </c>
      <c r="K1138" s="23" t="s">
        <v>256</v>
      </c>
      <c r="L1138" s="23">
        <v>1</v>
      </c>
      <c r="M1138" s="23" t="s">
        <v>78</v>
      </c>
      <c r="N1138" s="23" t="s">
        <v>78</v>
      </c>
      <c r="O1138" s="23">
        <v>0</v>
      </c>
      <c r="P1138" s="23" t="s">
        <v>79</v>
      </c>
      <c r="Q1138" s="23" t="s">
        <v>83</v>
      </c>
      <c r="R1138" s="23">
        <v>11100008</v>
      </c>
      <c r="S1138" s="24" t="s">
        <v>80</v>
      </c>
      <c r="T1138" s="24">
        <v>45958</v>
      </c>
      <c r="U1138" s="24">
        <v>46752</v>
      </c>
      <c r="X1138" s="24">
        <v>45958</v>
      </c>
      <c r="Y1138" s="23">
        <v>1111</v>
      </c>
      <c r="Z1138" s="23">
        <v>11400912</v>
      </c>
      <c r="AA1138" s="23">
        <v>5161</v>
      </c>
      <c r="AB1138" s="24">
        <v>45958</v>
      </c>
    </row>
    <row r="1139" spans="2:28" x14ac:dyDescent="0.2">
      <c r="C1139" s="23">
        <v>1100102731</v>
      </c>
      <c r="E1139" s="23">
        <v>1300</v>
      </c>
      <c r="F1139" s="23" t="s">
        <v>1252</v>
      </c>
      <c r="G1139" s="23" t="s">
        <v>1253</v>
      </c>
      <c r="H1139" s="24">
        <v>47118</v>
      </c>
      <c r="I1139" s="24">
        <v>47118</v>
      </c>
      <c r="J1139" s="23" t="s">
        <v>256</v>
      </c>
      <c r="K1139" s="23" t="s">
        <v>256</v>
      </c>
      <c r="L1139" s="23">
        <v>1</v>
      </c>
      <c r="M1139" s="23" t="s">
        <v>78</v>
      </c>
      <c r="N1139" s="23" t="s">
        <v>78</v>
      </c>
      <c r="O1139" s="23">
        <v>4080</v>
      </c>
      <c r="P1139" s="23" t="s">
        <v>79</v>
      </c>
      <c r="Q1139" s="23" t="s">
        <v>119</v>
      </c>
      <c r="R1139" s="23">
        <v>11100008</v>
      </c>
      <c r="S1139" s="24" t="s">
        <v>80</v>
      </c>
      <c r="T1139" s="24">
        <v>45958</v>
      </c>
      <c r="U1139" s="24">
        <v>46752</v>
      </c>
      <c r="X1139" s="24">
        <v>45958</v>
      </c>
      <c r="Y1139" s="23">
        <v>1111</v>
      </c>
      <c r="Z1139" s="23">
        <v>11400912</v>
      </c>
      <c r="AA1139" s="23">
        <v>5161</v>
      </c>
      <c r="AB1139" s="24">
        <v>45958</v>
      </c>
    </row>
    <row r="1140" spans="2:28" x14ac:dyDescent="0.2">
      <c r="B1140" s="23" t="s">
        <v>81</v>
      </c>
      <c r="C1140" s="23">
        <v>1100102731</v>
      </c>
      <c r="H1140" s="24">
        <v>47118</v>
      </c>
      <c r="O1140" s="23">
        <v>4080</v>
      </c>
      <c r="P1140" s="23" t="s">
        <v>79</v>
      </c>
    </row>
    <row r="1141" spans="2:28" x14ac:dyDescent="0.2">
      <c r="C1141" s="23">
        <v>1100461170</v>
      </c>
      <c r="E1141" s="23">
        <v>120</v>
      </c>
      <c r="F1141" s="23" t="s">
        <v>293</v>
      </c>
      <c r="G1141" s="23" t="s">
        <v>294</v>
      </c>
      <c r="H1141" s="24">
        <v>47118</v>
      </c>
      <c r="I1141" s="24">
        <v>47118</v>
      </c>
      <c r="J1141" s="23" t="s">
        <v>135</v>
      </c>
      <c r="K1141" s="23" t="s">
        <v>135</v>
      </c>
      <c r="L1141" s="23">
        <v>1</v>
      </c>
      <c r="M1141" s="23" t="s">
        <v>78</v>
      </c>
      <c r="N1141" s="23" t="s">
        <v>78</v>
      </c>
      <c r="O1141" s="23">
        <v>9963</v>
      </c>
      <c r="P1141" s="23" t="s">
        <v>79</v>
      </c>
      <c r="Q1141" s="23" t="s">
        <v>83</v>
      </c>
      <c r="R1141" s="23">
        <v>11100008</v>
      </c>
      <c r="S1141" s="24" t="s">
        <v>80</v>
      </c>
      <c r="T1141" s="24">
        <v>44498</v>
      </c>
      <c r="U1141" s="24">
        <v>45289</v>
      </c>
      <c r="X1141" s="24">
        <v>44491</v>
      </c>
      <c r="Y1141" s="23">
        <v>1111</v>
      </c>
      <c r="Z1141" s="23">
        <v>11100002</v>
      </c>
      <c r="AA1141" s="23">
        <v>3301</v>
      </c>
      <c r="AB1141" s="24">
        <v>44498</v>
      </c>
    </row>
    <row r="1142" spans="2:28" x14ac:dyDescent="0.2">
      <c r="B1142" s="23" t="s">
        <v>81</v>
      </c>
      <c r="C1142" s="23">
        <v>1100461170</v>
      </c>
      <c r="H1142" s="24">
        <v>47118</v>
      </c>
      <c r="O1142" s="23">
        <v>9963</v>
      </c>
      <c r="P1142" s="23" t="s">
        <v>79</v>
      </c>
    </row>
    <row r="1143" spans="2:28" x14ac:dyDescent="0.2">
      <c r="C1143" s="23">
        <v>1100467393</v>
      </c>
      <c r="E1143" s="23">
        <v>135</v>
      </c>
      <c r="F1143" s="23" t="s">
        <v>293</v>
      </c>
      <c r="G1143" s="23" t="s">
        <v>294</v>
      </c>
      <c r="H1143" s="24">
        <v>47118</v>
      </c>
      <c r="I1143" s="24">
        <v>47118</v>
      </c>
      <c r="J1143" s="23" t="s">
        <v>650</v>
      </c>
      <c r="K1143" s="23" t="s">
        <v>650</v>
      </c>
      <c r="L1143" s="23">
        <v>1</v>
      </c>
      <c r="M1143" s="23" t="s">
        <v>78</v>
      </c>
      <c r="N1143" s="23" t="s">
        <v>78</v>
      </c>
      <c r="O1143" s="23">
        <v>4939</v>
      </c>
      <c r="P1143" s="23" t="s">
        <v>79</v>
      </c>
      <c r="Q1143" s="23" t="s">
        <v>83</v>
      </c>
      <c r="R1143" s="23">
        <v>11100018</v>
      </c>
      <c r="S1143" s="24">
        <v>44809</v>
      </c>
      <c r="T1143" s="24">
        <v>44589</v>
      </c>
      <c r="U1143" s="24">
        <v>45657</v>
      </c>
      <c r="X1143" s="24">
        <v>44587</v>
      </c>
      <c r="Y1143" s="23">
        <v>1111</v>
      </c>
      <c r="Z1143" s="23">
        <v>11400124</v>
      </c>
      <c r="AA1143" s="23">
        <v>5101</v>
      </c>
      <c r="AB1143" s="24">
        <v>45657</v>
      </c>
    </row>
    <row r="1144" spans="2:28" x14ac:dyDescent="0.2">
      <c r="B1144" s="23" t="s">
        <v>81</v>
      </c>
      <c r="C1144" s="23">
        <v>1100467393</v>
      </c>
      <c r="H1144" s="24">
        <v>47118</v>
      </c>
      <c r="O1144" s="23">
        <v>4939</v>
      </c>
      <c r="P1144" s="23" t="s">
        <v>79</v>
      </c>
    </row>
    <row r="1145" spans="2:28" x14ac:dyDescent="0.2">
      <c r="C1145" s="23">
        <v>1100468251</v>
      </c>
      <c r="E1145" s="23">
        <v>20</v>
      </c>
      <c r="F1145" s="23" t="s">
        <v>130</v>
      </c>
      <c r="G1145" s="23" t="s">
        <v>352</v>
      </c>
      <c r="H1145" s="24">
        <v>47118</v>
      </c>
      <c r="I1145" s="24">
        <v>47118</v>
      </c>
      <c r="J1145" s="23" t="s">
        <v>650</v>
      </c>
      <c r="K1145" s="23" t="s">
        <v>650</v>
      </c>
      <c r="L1145" s="23">
        <v>1</v>
      </c>
      <c r="M1145" s="23" t="s">
        <v>131</v>
      </c>
      <c r="N1145" s="23" t="s">
        <v>131</v>
      </c>
      <c r="O1145" s="23">
        <v>0</v>
      </c>
      <c r="P1145" s="23" t="s">
        <v>79</v>
      </c>
      <c r="Q1145" s="23" t="s">
        <v>83</v>
      </c>
      <c r="R1145" s="23">
        <v>11100189</v>
      </c>
      <c r="S1145" s="24" t="s">
        <v>80</v>
      </c>
      <c r="T1145" s="24">
        <v>44601</v>
      </c>
      <c r="U1145" s="24" t="s">
        <v>80</v>
      </c>
      <c r="X1145" s="24">
        <v>44601</v>
      </c>
      <c r="Y1145" s="23">
        <v>1111</v>
      </c>
      <c r="Z1145" s="23">
        <v>11400129</v>
      </c>
      <c r="AA1145" s="23">
        <v>5101</v>
      </c>
      <c r="AB1145" s="24">
        <v>44601</v>
      </c>
    </row>
    <row r="1146" spans="2:28" x14ac:dyDescent="0.2">
      <c r="B1146" s="23" t="s">
        <v>81</v>
      </c>
      <c r="C1146" s="23">
        <v>1100468251</v>
      </c>
      <c r="H1146" s="24">
        <v>47118</v>
      </c>
      <c r="O1146" s="23">
        <v>0</v>
      </c>
      <c r="P1146" s="23" t="s">
        <v>79</v>
      </c>
    </row>
    <row r="1147" spans="2:28" x14ac:dyDescent="0.2">
      <c r="C1147" s="23">
        <v>1100504620</v>
      </c>
      <c r="E1147" s="23">
        <v>40</v>
      </c>
      <c r="F1147" s="23" t="s">
        <v>360</v>
      </c>
      <c r="G1147" s="23" t="s">
        <v>361</v>
      </c>
      <c r="H1147" s="24">
        <v>47118</v>
      </c>
      <c r="I1147" s="24">
        <v>47118</v>
      </c>
      <c r="J1147" s="23" t="s">
        <v>362</v>
      </c>
      <c r="K1147" s="23" t="s">
        <v>362</v>
      </c>
      <c r="L1147" s="23">
        <v>1</v>
      </c>
      <c r="M1147" s="23" t="s">
        <v>78</v>
      </c>
      <c r="N1147" s="23" t="s">
        <v>78</v>
      </c>
      <c r="O1147" s="23">
        <v>74314</v>
      </c>
      <c r="P1147" s="23" t="s">
        <v>79</v>
      </c>
      <c r="Q1147" s="23" t="s">
        <v>83</v>
      </c>
      <c r="R1147" s="23">
        <v>11100008</v>
      </c>
      <c r="S1147" s="24">
        <v>46023</v>
      </c>
      <c r="T1147" s="24">
        <v>45107</v>
      </c>
      <c r="U1147" s="24">
        <v>45308</v>
      </c>
      <c r="X1147" s="24">
        <v>45112</v>
      </c>
      <c r="Y1147" s="23">
        <v>1111</v>
      </c>
      <c r="Z1147" s="23">
        <v>11100002</v>
      </c>
      <c r="AA1147" s="23">
        <v>5001</v>
      </c>
      <c r="AB1147" s="24">
        <v>45107</v>
      </c>
    </row>
    <row r="1148" spans="2:28" x14ac:dyDescent="0.2">
      <c r="C1148" s="23">
        <v>1100504620</v>
      </c>
      <c r="E1148" s="23">
        <v>70</v>
      </c>
      <c r="F1148" s="23" t="s">
        <v>363</v>
      </c>
      <c r="G1148" s="23" t="s">
        <v>364</v>
      </c>
      <c r="H1148" s="24">
        <v>47118</v>
      </c>
      <c r="I1148" s="24">
        <v>47118</v>
      </c>
      <c r="J1148" s="23" t="s">
        <v>362</v>
      </c>
      <c r="K1148" s="23" t="s">
        <v>362</v>
      </c>
      <c r="L1148" s="23">
        <v>1</v>
      </c>
      <c r="M1148" s="23" t="s">
        <v>78</v>
      </c>
      <c r="N1148" s="23" t="s">
        <v>78</v>
      </c>
      <c r="O1148" s="23">
        <v>49568</v>
      </c>
      <c r="P1148" s="23" t="s">
        <v>79</v>
      </c>
      <c r="Q1148" s="23" t="s">
        <v>83</v>
      </c>
      <c r="R1148" s="23">
        <v>11100008</v>
      </c>
      <c r="S1148" s="24">
        <v>46023</v>
      </c>
      <c r="T1148" s="24">
        <v>45107</v>
      </c>
      <c r="U1148" s="24">
        <v>45308</v>
      </c>
      <c r="X1148" s="24">
        <v>45112</v>
      </c>
      <c r="Y1148" s="23">
        <v>1111</v>
      </c>
      <c r="Z1148" s="23">
        <v>11100002</v>
      </c>
      <c r="AA1148" s="23">
        <v>5001</v>
      </c>
      <c r="AB1148" s="24">
        <v>45107</v>
      </c>
    </row>
    <row r="1149" spans="2:28" x14ac:dyDescent="0.2">
      <c r="C1149" s="23">
        <v>1100504620</v>
      </c>
      <c r="E1149" s="23">
        <v>100</v>
      </c>
      <c r="F1149" s="23" t="s">
        <v>365</v>
      </c>
      <c r="G1149" s="23" t="s">
        <v>366</v>
      </c>
      <c r="H1149" s="24">
        <v>47118</v>
      </c>
      <c r="I1149" s="24">
        <v>47118</v>
      </c>
      <c r="J1149" s="23" t="s">
        <v>362</v>
      </c>
      <c r="K1149" s="23" t="s">
        <v>362</v>
      </c>
      <c r="L1149" s="23">
        <v>2</v>
      </c>
      <c r="M1149" s="23" t="s">
        <v>78</v>
      </c>
      <c r="N1149" s="23" t="s">
        <v>78</v>
      </c>
      <c r="O1149" s="23">
        <v>0.02</v>
      </c>
      <c r="P1149" s="23" t="s">
        <v>79</v>
      </c>
      <c r="Q1149" s="23" t="s">
        <v>83</v>
      </c>
      <c r="R1149" s="23">
        <v>11100008</v>
      </c>
      <c r="S1149" s="24">
        <v>46023</v>
      </c>
      <c r="T1149" s="24">
        <v>45107</v>
      </c>
      <c r="U1149" s="24">
        <v>45308</v>
      </c>
      <c r="X1149" s="24">
        <v>45112</v>
      </c>
      <c r="Y1149" s="23">
        <v>1111</v>
      </c>
      <c r="Z1149" s="23">
        <v>11100002</v>
      </c>
      <c r="AA1149" s="23">
        <v>5001</v>
      </c>
      <c r="AB1149" s="24">
        <v>45107</v>
      </c>
    </row>
    <row r="1150" spans="2:28" x14ac:dyDescent="0.2">
      <c r="C1150" s="23">
        <v>1100504620</v>
      </c>
      <c r="E1150" s="23">
        <v>110</v>
      </c>
      <c r="F1150" s="23" t="s">
        <v>84</v>
      </c>
      <c r="G1150" s="23" t="s">
        <v>123</v>
      </c>
      <c r="H1150" s="24">
        <v>47118</v>
      </c>
      <c r="I1150" s="24">
        <v>47118</v>
      </c>
      <c r="J1150" s="23" t="s">
        <v>362</v>
      </c>
      <c r="K1150" s="23" t="s">
        <v>362</v>
      </c>
      <c r="L1150" s="23">
        <v>1</v>
      </c>
      <c r="M1150" s="23" t="s">
        <v>78</v>
      </c>
      <c r="N1150" s="23" t="s">
        <v>78</v>
      </c>
      <c r="O1150" s="23">
        <v>0.01</v>
      </c>
      <c r="P1150" s="23" t="s">
        <v>79</v>
      </c>
      <c r="Q1150" s="23" t="s">
        <v>83</v>
      </c>
      <c r="R1150" s="23">
        <v>11100008</v>
      </c>
      <c r="S1150" s="24">
        <v>46023</v>
      </c>
      <c r="T1150" s="24">
        <v>45107</v>
      </c>
      <c r="U1150" s="24">
        <v>45308</v>
      </c>
      <c r="X1150" s="24">
        <v>45112</v>
      </c>
      <c r="Y1150" s="23">
        <v>1111</v>
      </c>
      <c r="Z1150" s="23">
        <v>11100002</v>
      </c>
      <c r="AA1150" s="23">
        <v>5001</v>
      </c>
      <c r="AB1150" s="24">
        <v>45107</v>
      </c>
    </row>
    <row r="1151" spans="2:28" x14ac:dyDescent="0.2">
      <c r="C1151" s="23">
        <v>1100504620</v>
      </c>
      <c r="E1151" s="23">
        <v>130</v>
      </c>
      <c r="F1151" s="23" t="s">
        <v>82</v>
      </c>
      <c r="G1151" s="23" t="s">
        <v>139</v>
      </c>
      <c r="H1151" s="24">
        <v>47118</v>
      </c>
      <c r="I1151" s="24">
        <v>46387</v>
      </c>
      <c r="J1151" s="23" t="s">
        <v>362</v>
      </c>
      <c r="K1151" s="23" t="s">
        <v>362</v>
      </c>
      <c r="L1151" s="23">
        <v>1</v>
      </c>
      <c r="M1151" s="23" t="s">
        <v>78</v>
      </c>
      <c r="N1151" s="23" t="s">
        <v>78</v>
      </c>
      <c r="O1151" s="23">
        <v>0</v>
      </c>
      <c r="P1151" s="23" t="s">
        <v>79</v>
      </c>
      <c r="Q1151" s="23" t="s">
        <v>83</v>
      </c>
      <c r="R1151" s="23">
        <v>11100008</v>
      </c>
      <c r="S1151" s="24">
        <v>46023</v>
      </c>
      <c r="T1151" s="24">
        <v>45107</v>
      </c>
      <c r="U1151" s="24">
        <v>45308</v>
      </c>
      <c r="X1151" s="24">
        <v>45112</v>
      </c>
      <c r="Y1151" s="23">
        <v>1111</v>
      </c>
      <c r="Z1151" s="23">
        <v>11100002</v>
      </c>
      <c r="AA1151" s="23">
        <v>5001</v>
      </c>
      <c r="AB1151" s="24">
        <v>45107</v>
      </c>
    </row>
    <row r="1152" spans="2:28" x14ac:dyDescent="0.2">
      <c r="B1152" s="23" t="s">
        <v>81</v>
      </c>
      <c r="C1152" s="23">
        <v>1100504620</v>
      </c>
      <c r="H1152" s="24">
        <v>47118</v>
      </c>
      <c r="O1152" s="23">
        <v>123882.03</v>
      </c>
      <c r="P1152" s="23" t="s">
        <v>79</v>
      </c>
    </row>
    <row r="1153" spans="2:28" x14ac:dyDescent="0.2">
      <c r="C1153" s="23">
        <v>1100512145</v>
      </c>
      <c r="E1153" s="23">
        <v>60</v>
      </c>
      <c r="F1153" s="23" t="s">
        <v>293</v>
      </c>
      <c r="G1153" s="23" t="s">
        <v>294</v>
      </c>
      <c r="H1153" s="24">
        <v>47118</v>
      </c>
      <c r="I1153" s="24">
        <v>47118</v>
      </c>
      <c r="J1153" s="23" t="s">
        <v>650</v>
      </c>
      <c r="K1153" s="23" t="s">
        <v>650</v>
      </c>
      <c r="L1153" s="23">
        <v>1</v>
      </c>
      <c r="M1153" s="23" t="s">
        <v>78</v>
      </c>
      <c r="N1153" s="23" t="s">
        <v>78</v>
      </c>
      <c r="O1153" s="23">
        <v>5719</v>
      </c>
      <c r="P1153" s="23" t="s">
        <v>79</v>
      </c>
      <c r="Q1153" s="23" t="s">
        <v>83</v>
      </c>
      <c r="R1153" s="23">
        <v>11100189</v>
      </c>
      <c r="S1153" s="24" t="s">
        <v>80</v>
      </c>
      <c r="T1153" s="24">
        <v>45217</v>
      </c>
      <c r="U1153" s="24">
        <v>46022</v>
      </c>
      <c r="X1153" s="24">
        <v>45215</v>
      </c>
      <c r="Y1153" s="23">
        <v>1111</v>
      </c>
      <c r="Z1153" s="23">
        <v>11100002</v>
      </c>
      <c r="AA1153" s="23">
        <v>5101</v>
      </c>
      <c r="AB1153" s="24">
        <v>45217</v>
      </c>
    </row>
    <row r="1154" spans="2:28" x14ac:dyDescent="0.2">
      <c r="B1154" s="23" t="s">
        <v>81</v>
      </c>
      <c r="C1154" s="23">
        <v>1100512145</v>
      </c>
      <c r="H1154" s="24">
        <v>47118</v>
      </c>
      <c r="O1154" s="23">
        <v>5719</v>
      </c>
      <c r="P1154" s="23" t="s">
        <v>79</v>
      </c>
    </row>
    <row r="1155" spans="2:28" x14ac:dyDescent="0.2">
      <c r="C1155" s="23">
        <v>1100526061</v>
      </c>
      <c r="E1155" s="23">
        <v>50</v>
      </c>
      <c r="F1155" s="23" t="s">
        <v>293</v>
      </c>
      <c r="G1155" s="23" t="s">
        <v>294</v>
      </c>
      <c r="H1155" s="24">
        <v>47118</v>
      </c>
      <c r="I1155" s="24">
        <v>47118</v>
      </c>
      <c r="J1155" s="23" t="s">
        <v>296</v>
      </c>
      <c r="K1155" s="23" t="s">
        <v>296</v>
      </c>
      <c r="L1155" s="23">
        <v>1</v>
      </c>
      <c r="M1155" s="23" t="s">
        <v>78</v>
      </c>
      <c r="N1155" s="23" t="s">
        <v>78</v>
      </c>
      <c r="O1155" s="23">
        <v>17230</v>
      </c>
      <c r="P1155" s="23" t="s">
        <v>79</v>
      </c>
      <c r="Q1155" s="23" t="s">
        <v>83</v>
      </c>
      <c r="R1155" s="23">
        <v>11100272</v>
      </c>
      <c r="S1155" s="24" t="s">
        <v>80</v>
      </c>
      <c r="T1155" s="24">
        <v>45421</v>
      </c>
      <c r="U1155" s="24">
        <v>46387</v>
      </c>
      <c r="X1155" s="24">
        <v>45408</v>
      </c>
      <c r="Y1155" s="23">
        <v>1111</v>
      </c>
      <c r="Z1155" s="23">
        <v>11100002</v>
      </c>
      <c r="AA1155" s="23">
        <v>3902</v>
      </c>
      <c r="AB1155" s="24">
        <v>45421</v>
      </c>
    </row>
    <row r="1156" spans="2:28" x14ac:dyDescent="0.2">
      <c r="B1156" s="23" t="s">
        <v>81</v>
      </c>
      <c r="C1156" s="23">
        <v>1100526061</v>
      </c>
      <c r="H1156" s="24">
        <v>47118</v>
      </c>
      <c r="O1156" s="23">
        <v>17230</v>
      </c>
      <c r="P1156" s="23" t="s">
        <v>79</v>
      </c>
    </row>
    <row r="1157" spans="2:28" x14ac:dyDescent="0.2">
      <c r="C1157" s="23">
        <v>1100537987</v>
      </c>
      <c r="E1157" s="23">
        <v>9010</v>
      </c>
      <c r="F1157" s="23" t="s">
        <v>82</v>
      </c>
      <c r="G1157" s="23" t="s">
        <v>139</v>
      </c>
      <c r="H1157" s="24">
        <v>47118</v>
      </c>
      <c r="I1157" s="24">
        <v>47118</v>
      </c>
      <c r="J1157" s="23" t="s">
        <v>135</v>
      </c>
      <c r="K1157" s="23" t="s">
        <v>135</v>
      </c>
      <c r="L1157" s="23">
        <v>1</v>
      </c>
      <c r="M1157" s="23" t="s">
        <v>78</v>
      </c>
      <c r="N1157" s="23" t="s">
        <v>78</v>
      </c>
      <c r="O1157" s="23">
        <v>0.01</v>
      </c>
      <c r="P1157" s="23" t="s">
        <v>79</v>
      </c>
      <c r="Q1157" s="23" t="s">
        <v>83</v>
      </c>
      <c r="R1157" s="23">
        <v>11100299</v>
      </c>
      <c r="S1157" s="24" t="s">
        <v>80</v>
      </c>
      <c r="T1157" s="24">
        <v>45604</v>
      </c>
      <c r="U1157" s="24">
        <v>45701</v>
      </c>
      <c r="X1157" s="24">
        <v>45601</v>
      </c>
      <c r="Y1157" s="23">
        <v>1111</v>
      </c>
      <c r="Z1157" s="23">
        <v>11100002</v>
      </c>
      <c r="AA1157" s="23">
        <v>3301</v>
      </c>
      <c r="AB1157" s="24">
        <v>45604</v>
      </c>
    </row>
    <row r="1158" spans="2:28" x14ac:dyDescent="0.2">
      <c r="B1158" s="23" t="s">
        <v>81</v>
      </c>
      <c r="C1158" s="23">
        <v>1100537987</v>
      </c>
      <c r="H1158" s="24">
        <v>47118</v>
      </c>
      <c r="O1158" s="23">
        <v>0.01</v>
      </c>
      <c r="P1158" s="23" t="s">
        <v>79</v>
      </c>
    </row>
    <row r="1159" spans="2:28" x14ac:dyDescent="0.2">
      <c r="C1159" s="23">
        <v>1100538155</v>
      </c>
      <c r="E1159" s="23">
        <v>70</v>
      </c>
      <c r="F1159" s="23" t="s">
        <v>293</v>
      </c>
      <c r="G1159" s="23" t="s">
        <v>294</v>
      </c>
      <c r="H1159" s="24">
        <v>47118</v>
      </c>
      <c r="I1159" s="24">
        <v>47118</v>
      </c>
      <c r="J1159" s="23" t="s">
        <v>100</v>
      </c>
      <c r="K1159" s="23" t="s">
        <v>100</v>
      </c>
      <c r="L1159" s="23">
        <v>1</v>
      </c>
      <c r="M1159" s="23" t="s">
        <v>78</v>
      </c>
      <c r="N1159" s="23" t="s">
        <v>78</v>
      </c>
      <c r="O1159" s="23">
        <v>26160.6</v>
      </c>
      <c r="P1159" s="23" t="s">
        <v>79</v>
      </c>
      <c r="Q1159" s="23" t="s">
        <v>83</v>
      </c>
      <c r="R1159" s="23">
        <v>11100008</v>
      </c>
      <c r="S1159" s="24">
        <v>45751</v>
      </c>
      <c r="T1159" s="24">
        <v>45608</v>
      </c>
      <c r="U1159" s="24">
        <v>45771</v>
      </c>
      <c r="X1159" s="24">
        <v>45600</v>
      </c>
      <c r="Y1159" s="23">
        <v>1111</v>
      </c>
      <c r="Z1159" s="23">
        <v>11100002</v>
      </c>
      <c r="AA1159" s="23">
        <v>3901</v>
      </c>
      <c r="AB1159" s="24">
        <v>45608</v>
      </c>
    </row>
    <row r="1160" spans="2:28" x14ac:dyDescent="0.2">
      <c r="B1160" s="23" t="s">
        <v>81</v>
      </c>
      <c r="C1160" s="23">
        <v>1100538155</v>
      </c>
      <c r="H1160" s="24">
        <v>47118</v>
      </c>
      <c r="O1160" s="23">
        <v>26160.6</v>
      </c>
      <c r="P1160" s="23" t="s">
        <v>79</v>
      </c>
    </row>
    <row r="1161" spans="2:28" x14ac:dyDescent="0.2">
      <c r="C1161" s="23">
        <v>1100540040</v>
      </c>
      <c r="E1161" s="23">
        <v>40</v>
      </c>
      <c r="F1161" s="23" t="s">
        <v>293</v>
      </c>
      <c r="G1161" s="23" t="s">
        <v>294</v>
      </c>
      <c r="H1161" s="24">
        <v>47118</v>
      </c>
      <c r="I1161" s="24">
        <v>47118</v>
      </c>
      <c r="J1161" s="23" t="s">
        <v>404</v>
      </c>
      <c r="K1161" s="23" t="s">
        <v>404</v>
      </c>
      <c r="L1161" s="23">
        <v>1</v>
      </c>
      <c r="M1161" s="23" t="s">
        <v>78</v>
      </c>
      <c r="N1161" s="23" t="s">
        <v>78</v>
      </c>
      <c r="O1161" s="23">
        <v>4051</v>
      </c>
      <c r="P1161" s="23" t="s">
        <v>79</v>
      </c>
      <c r="Q1161" s="23" t="s">
        <v>83</v>
      </c>
      <c r="R1161" s="23">
        <v>11100299</v>
      </c>
      <c r="S1161" s="24">
        <v>45721</v>
      </c>
      <c r="T1161" s="24">
        <v>45639</v>
      </c>
      <c r="U1161" s="24">
        <v>46387</v>
      </c>
      <c r="X1161" s="24">
        <v>45632</v>
      </c>
      <c r="Y1161" s="23">
        <v>1111</v>
      </c>
      <c r="Z1161" s="23">
        <v>11100002</v>
      </c>
      <c r="AA1161" s="23">
        <v>3301</v>
      </c>
      <c r="AB1161" s="24">
        <v>45639</v>
      </c>
    </row>
    <row r="1162" spans="2:28" x14ac:dyDescent="0.2">
      <c r="B1162" s="23" t="s">
        <v>81</v>
      </c>
      <c r="C1162" s="23">
        <v>1100540040</v>
      </c>
      <c r="H1162" s="24">
        <v>47118</v>
      </c>
      <c r="O1162" s="23">
        <v>4051</v>
      </c>
      <c r="P1162" s="23" t="s">
        <v>79</v>
      </c>
    </row>
    <row r="1163" spans="2:28" x14ac:dyDescent="0.2">
      <c r="C1163" s="23">
        <v>1100559247</v>
      </c>
      <c r="E1163" s="23">
        <v>30</v>
      </c>
      <c r="F1163" s="23" t="s">
        <v>209</v>
      </c>
      <c r="G1163" s="23" t="s">
        <v>210</v>
      </c>
      <c r="H1163" s="24">
        <v>47118</v>
      </c>
      <c r="I1163" s="24">
        <v>47118</v>
      </c>
      <c r="J1163" s="23" t="s">
        <v>971</v>
      </c>
      <c r="K1163" s="23" t="s">
        <v>971</v>
      </c>
      <c r="L1163" s="23">
        <v>1</v>
      </c>
      <c r="M1163" s="23" t="s">
        <v>78</v>
      </c>
      <c r="N1163" s="23" t="s">
        <v>78</v>
      </c>
      <c r="O1163" s="23">
        <v>0.01</v>
      </c>
      <c r="P1163" s="23" t="s">
        <v>79</v>
      </c>
      <c r="Q1163" s="23" t="s">
        <v>83</v>
      </c>
      <c r="R1163" s="23">
        <v>11100189</v>
      </c>
      <c r="S1163" s="24" t="s">
        <v>80</v>
      </c>
      <c r="T1163" s="24">
        <v>45880</v>
      </c>
      <c r="U1163" s="24">
        <v>46752</v>
      </c>
      <c r="X1163" s="24">
        <v>45666</v>
      </c>
      <c r="Y1163" s="23">
        <v>1111</v>
      </c>
      <c r="Z1163" s="23">
        <v>11100002</v>
      </c>
      <c r="AA1163" s="23">
        <v>320103</v>
      </c>
      <c r="AB1163" s="24">
        <v>45880</v>
      </c>
    </row>
    <row r="1164" spans="2:28" x14ac:dyDescent="0.2">
      <c r="C1164" s="23">
        <v>1100559247</v>
      </c>
      <c r="E1164" s="23">
        <v>40</v>
      </c>
      <c r="F1164" s="23" t="s">
        <v>84</v>
      </c>
      <c r="G1164" s="23" t="s">
        <v>123</v>
      </c>
      <c r="H1164" s="24">
        <v>47118</v>
      </c>
      <c r="I1164" s="24">
        <v>47118</v>
      </c>
      <c r="J1164" s="23" t="s">
        <v>971</v>
      </c>
      <c r="K1164" s="23" t="s">
        <v>971</v>
      </c>
      <c r="L1164" s="23">
        <v>1</v>
      </c>
      <c r="M1164" s="23" t="s">
        <v>78</v>
      </c>
      <c r="N1164" s="23" t="s">
        <v>78</v>
      </c>
      <c r="O1164" s="23">
        <v>0.01</v>
      </c>
      <c r="P1164" s="23" t="s">
        <v>79</v>
      </c>
      <c r="Q1164" s="23" t="s">
        <v>83</v>
      </c>
      <c r="R1164" s="23">
        <v>11100189</v>
      </c>
      <c r="S1164" s="24" t="s">
        <v>80</v>
      </c>
      <c r="T1164" s="24">
        <v>45880</v>
      </c>
      <c r="U1164" s="24">
        <v>46752</v>
      </c>
      <c r="X1164" s="24">
        <v>45666</v>
      </c>
      <c r="Y1164" s="23">
        <v>1111</v>
      </c>
      <c r="Z1164" s="23">
        <v>11100002</v>
      </c>
      <c r="AA1164" s="23">
        <v>330103</v>
      </c>
      <c r="AB1164" s="24">
        <v>45880</v>
      </c>
    </row>
    <row r="1165" spans="2:28" x14ac:dyDescent="0.2">
      <c r="B1165" s="23" t="s">
        <v>81</v>
      </c>
      <c r="C1165" s="23">
        <v>1100559247</v>
      </c>
      <c r="H1165" s="24">
        <v>47118</v>
      </c>
      <c r="O1165" s="23">
        <v>0.02</v>
      </c>
      <c r="P1165" s="23" t="s">
        <v>79</v>
      </c>
    </row>
    <row r="1166" spans="2:28" x14ac:dyDescent="0.2">
      <c r="C1166" s="23">
        <v>1100564542</v>
      </c>
      <c r="E1166" s="23">
        <v>10</v>
      </c>
      <c r="F1166" s="23" t="s">
        <v>1265</v>
      </c>
      <c r="G1166" s="23" t="s">
        <v>981</v>
      </c>
      <c r="H1166" s="24">
        <v>47118</v>
      </c>
      <c r="I1166" s="24">
        <v>47118</v>
      </c>
      <c r="J1166" s="23" t="s">
        <v>742</v>
      </c>
      <c r="K1166" s="23" t="s">
        <v>742</v>
      </c>
      <c r="L1166" s="23">
        <v>1</v>
      </c>
      <c r="M1166" s="23" t="s">
        <v>78</v>
      </c>
      <c r="N1166" s="23" t="s">
        <v>78</v>
      </c>
      <c r="O1166" s="23">
        <v>15318</v>
      </c>
      <c r="P1166" s="23" t="s">
        <v>79</v>
      </c>
      <c r="Q1166" s="23" t="s">
        <v>83</v>
      </c>
      <c r="R1166" s="23">
        <v>11100008</v>
      </c>
      <c r="S1166" s="24">
        <v>46001</v>
      </c>
      <c r="T1166" s="24">
        <v>45929</v>
      </c>
      <c r="U1166" s="24" t="s">
        <v>80</v>
      </c>
      <c r="X1166" s="24">
        <v>45924</v>
      </c>
      <c r="Y1166" s="23">
        <v>1111</v>
      </c>
      <c r="Z1166" s="23">
        <v>11100002</v>
      </c>
      <c r="AA1166" s="23">
        <v>3912</v>
      </c>
      <c r="AB1166" s="24">
        <v>45929</v>
      </c>
    </row>
    <row r="1167" spans="2:28" x14ac:dyDescent="0.2">
      <c r="C1167" s="23">
        <v>1100564542</v>
      </c>
      <c r="E1167" s="23">
        <v>20</v>
      </c>
      <c r="F1167" s="23" t="s">
        <v>84</v>
      </c>
      <c r="G1167" s="23" t="s">
        <v>123</v>
      </c>
      <c r="H1167" s="24">
        <v>47118</v>
      </c>
      <c r="I1167" s="24">
        <v>47118</v>
      </c>
      <c r="J1167" s="23" t="s">
        <v>742</v>
      </c>
      <c r="K1167" s="23" t="s">
        <v>742</v>
      </c>
      <c r="L1167" s="23">
        <v>1</v>
      </c>
      <c r="M1167" s="23" t="s">
        <v>78</v>
      </c>
      <c r="N1167" s="23" t="s">
        <v>78</v>
      </c>
      <c r="O1167" s="23">
        <v>0.01</v>
      </c>
      <c r="P1167" s="23" t="s">
        <v>79</v>
      </c>
      <c r="Q1167" s="23" t="s">
        <v>83</v>
      </c>
      <c r="R1167" s="23">
        <v>11100008</v>
      </c>
      <c r="S1167" s="24" t="s">
        <v>80</v>
      </c>
      <c r="T1167" s="24">
        <v>45929</v>
      </c>
      <c r="U1167" s="24" t="s">
        <v>80</v>
      </c>
      <c r="X1167" s="24">
        <v>45924</v>
      </c>
      <c r="Y1167" s="23">
        <v>1111</v>
      </c>
      <c r="Z1167" s="23">
        <v>11100002</v>
      </c>
      <c r="AA1167" s="23">
        <v>3912</v>
      </c>
      <c r="AB1167" s="24">
        <v>45929</v>
      </c>
    </row>
    <row r="1168" spans="2:28" x14ac:dyDescent="0.2">
      <c r="C1168" s="23">
        <v>1100564542</v>
      </c>
      <c r="E1168" s="23">
        <v>30</v>
      </c>
      <c r="F1168" s="23" t="s">
        <v>82</v>
      </c>
      <c r="G1168" s="23" t="s">
        <v>139</v>
      </c>
      <c r="H1168" s="24">
        <v>47118</v>
      </c>
      <c r="I1168" s="24">
        <v>47118</v>
      </c>
      <c r="J1168" s="23" t="s">
        <v>742</v>
      </c>
      <c r="K1168" s="23" t="s">
        <v>742</v>
      </c>
      <c r="L1168" s="23">
        <v>1</v>
      </c>
      <c r="M1168" s="23" t="s">
        <v>78</v>
      </c>
      <c r="N1168" s="23" t="s">
        <v>78</v>
      </c>
      <c r="O1168" s="23">
        <v>0.01</v>
      </c>
      <c r="P1168" s="23" t="s">
        <v>79</v>
      </c>
      <c r="Q1168" s="23" t="s">
        <v>83</v>
      </c>
      <c r="R1168" s="23">
        <v>11100008</v>
      </c>
      <c r="S1168" s="24" t="s">
        <v>80</v>
      </c>
      <c r="T1168" s="24">
        <v>45929</v>
      </c>
      <c r="U1168" s="24" t="s">
        <v>80</v>
      </c>
      <c r="X1168" s="24">
        <v>45924</v>
      </c>
      <c r="Y1168" s="23">
        <v>1111</v>
      </c>
      <c r="Z1168" s="23">
        <v>11100002</v>
      </c>
      <c r="AA1168" s="23">
        <v>3912</v>
      </c>
      <c r="AB1168" s="24">
        <v>45929</v>
      </c>
    </row>
    <row r="1169" spans="2:28" x14ac:dyDescent="0.2">
      <c r="B1169" s="23" t="s">
        <v>81</v>
      </c>
      <c r="C1169" s="23">
        <v>1100564542</v>
      </c>
      <c r="H1169" s="24">
        <v>47118</v>
      </c>
      <c r="O1169" s="23">
        <v>15318.02</v>
      </c>
      <c r="P1169" s="23" t="s">
        <v>79</v>
      </c>
    </row>
    <row r="1170" spans="2:28" x14ac:dyDescent="0.2">
      <c r="C1170" s="23">
        <v>1100566713</v>
      </c>
      <c r="E1170" s="23">
        <v>10</v>
      </c>
      <c r="F1170" s="23" t="s">
        <v>87</v>
      </c>
      <c r="G1170" s="23" t="s">
        <v>1229</v>
      </c>
      <c r="H1170" s="24">
        <v>47118</v>
      </c>
      <c r="I1170" s="24">
        <v>47118</v>
      </c>
      <c r="J1170" s="23" t="s">
        <v>671</v>
      </c>
      <c r="K1170" s="23" t="s">
        <v>671</v>
      </c>
      <c r="L1170" s="23">
        <v>1</v>
      </c>
      <c r="M1170" s="23" t="s">
        <v>78</v>
      </c>
      <c r="N1170" s="23" t="s">
        <v>78</v>
      </c>
      <c r="O1170" s="23">
        <v>34660</v>
      </c>
      <c r="P1170" s="23" t="s">
        <v>79</v>
      </c>
      <c r="Q1170" s="23" t="s">
        <v>83</v>
      </c>
      <c r="R1170" s="23">
        <v>11100008</v>
      </c>
      <c r="S1170" s="24" t="s">
        <v>80</v>
      </c>
      <c r="T1170" s="24">
        <v>45952</v>
      </c>
      <c r="U1170" s="24" t="s">
        <v>80</v>
      </c>
      <c r="X1170" s="24" t="s">
        <v>80</v>
      </c>
      <c r="Y1170" s="23">
        <v>1111</v>
      </c>
      <c r="Z1170" s="23">
        <v>11100303</v>
      </c>
      <c r="AA1170" s="23">
        <v>320103</v>
      </c>
      <c r="AB1170" s="24" t="s">
        <v>80</v>
      </c>
    </row>
    <row r="1171" spans="2:28" x14ac:dyDescent="0.2">
      <c r="C1171" s="23">
        <v>1100566713</v>
      </c>
      <c r="E1171" s="23">
        <v>90</v>
      </c>
      <c r="F1171" s="23" t="s">
        <v>84</v>
      </c>
      <c r="G1171" s="23" t="s">
        <v>123</v>
      </c>
      <c r="H1171" s="24">
        <v>47118</v>
      </c>
      <c r="I1171" s="24">
        <v>47118</v>
      </c>
      <c r="J1171" s="23" t="s">
        <v>671</v>
      </c>
      <c r="K1171" s="23" t="s">
        <v>671</v>
      </c>
      <c r="L1171" s="23">
        <v>1</v>
      </c>
      <c r="M1171" s="23" t="s">
        <v>78</v>
      </c>
      <c r="N1171" s="23" t="s">
        <v>78</v>
      </c>
      <c r="O1171" s="23">
        <v>0.01</v>
      </c>
      <c r="P1171" s="23" t="s">
        <v>79</v>
      </c>
      <c r="Q1171" s="23" t="s">
        <v>83</v>
      </c>
      <c r="R1171" s="23">
        <v>11100008</v>
      </c>
      <c r="S1171" s="24" t="s">
        <v>80</v>
      </c>
      <c r="T1171" s="24">
        <v>45952</v>
      </c>
      <c r="U1171" s="24" t="s">
        <v>80</v>
      </c>
      <c r="X1171" s="24">
        <v>45891</v>
      </c>
      <c r="Y1171" s="23">
        <v>1111</v>
      </c>
      <c r="Z1171" s="23">
        <v>11100303</v>
      </c>
      <c r="AA1171" s="23">
        <v>320103</v>
      </c>
      <c r="AB1171" s="24">
        <v>45952</v>
      </c>
    </row>
    <row r="1172" spans="2:28" x14ac:dyDescent="0.2">
      <c r="C1172" s="23">
        <v>1100566713</v>
      </c>
      <c r="E1172" s="23">
        <v>110</v>
      </c>
      <c r="F1172" s="23" t="s">
        <v>82</v>
      </c>
      <c r="G1172" s="23" t="s">
        <v>139</v>
      </c>
      <c r="H1172" s="24">
        <v>47118</v>
      </c>
      <c r="I1172" s="24">
        <v>47118</v>
      </c>
      <c r="J1172" s="23" t="s">
        <v>671</v>
      </c>
      <c r="K1172" s="23" t="s">
        <v>671</v>
      </c>
      <c r="L1172" s="23">
        <v>1</v>
      </c>
      <c r="M1172" s="23" t="s">
        <v>78</v>
      </c>
      <c r="N1172" s="23" t="s">
        <v>78</v>
      </c>
      <c r="O1172" s="23">
        <v>0.01</v>
      </c>
      <c r="P1172" s="23" t="s">
        <v>79</v>
      </c>
      <c r="Q1172" s="23" t="s">
        <v>83</v>
      </c>
      <c r="R1172" s="23">
        <v>11100008</v>
      </c>
      <c r="S1172" s="24" t="s">
        <v>80</v>
      </c>
      <c r="T1172" s="24">
        <v>45952</v>
      </c>
      <c r="U1172" s="24" t="s">
        <v>80</v>
      </c>
      <c r="X1172" s="24">
        <v>45891</v>
      </c>
      <c r="Y1172" s="23">
        <v>1111</v>
      </c>
      <c r="Z1172" s="23">
        <v>11100303</v>
      </c>
      <c r="AA1172" s="23">
        <v>320103</v>
      </c>
      <c r="AB1172" s="24">
        <v>45952</v>
      </c>
    </row>
    <row r="1173" spans="2:28" x14ac:dyDescent="0.2">
      <c r="B1173" s="23" t="s">
        <v>81</v>
      </c>
      <c r="C1173" s="23">
        <v>1100566713</v>
      </c>
      <c r="H1173" s="24">
        <v>47118</v>
      </c>
      <c r="O1173" s="23">
        <v>34660.019999999997</v>
      </c>
      <c r="P1173" s="23" t="s">
        <v>79</v>
      </c>
    </row>
    <row r="1174" spans="2:28" x14ac:dyDescent="0.2">
      <c r="C1174" s="23">
        <v>1100572507</v>
      </c>
      <c r="E1174" s="23">
        <v>20</v>
      </c>
      <c r="F1174" s="23" t="s">
        <v>87</v>
      </c>
      <c r="G1174" s="23" t="s">
        <v>2627</v>
      </c>
      <c r="H1174" s="24">
        <v>47118</v>
      </c>
      <c r="I1174" s="24">
        <v>47118</v>
      </c>
      <c r="J1174" s="23" t="s">
        <v>682</v>
      </c>
      <c r="K1174" s="23" t="s">
        <v>682</v>
      </c>
      <c r="L1174" s="23">
        <v>1</v>
      </c>
      <c r="M1174" s="23" t="s">
        <v>78</v>
      </c>
      <c r="N1174" s="23" t="s">
        <v>78</v>
      </c>
      <c r="O1174" s="23">
        <v>9668</v>
      </c>
      <c r="P1174" s="23" t="s">
        <v>79</v>
      </c>
      <c r="Q1174" s="23" t="s">
        <v>83</v>
      </c>
      <c r="R1174" s="23">
        <v>11100189</v>
      </c>
      <c r="S1174" s="24" t="s">
        <v>80</v>
      </c>
      <c r="T1174" s="24">
        <v>46020</v>
      </c>
      <c r="U1174" s="24" t="s">
        <v>80</v>
      </c>
      <c r="X1174" s="24" t="s">
        <v>80</v>
      </c>
      <c r="Y1174" s="23">
        <v>1111</v>
      </c>
      <c r="Z1174" s="23">
        <v>11100305</v>
      </c>
      <c r="AA1174" s="23">
        <v>331203</v>
      </c>
      <c r="AB1174" s="24" t="s">
        <v>80</v>
      </c>
    </row>
    <row r="1175" spans="2:28" x14ac:dyDescent="0.2">
      <c r="C1175" s="23">
        <v>1100572507</v>
      </c>
      <c r="E1175" s="23">
        <v>30</v>
      </c>
      <c r="F1175" s="23" t="s">
        <v>87</v>
      </c>
      <c r="G1175" s="23" t="s">
        <v>2628</v>
      </c>
      <c r="H1175" s="24">
        <v>47118</v>
      </c>
      <c r="I1175" s="24">
        <v>47118</v>
      </c>
      <c r="J1175" s="23" t="s">
        <v>682</v>
      </c>
      <c r="K1175" s="23" t="s">
        <v>682</v>
      </c>
      <c r="L1175" s="23">
        <v>1</v>
      </c>
      <c r="M1175" s="23" t="s">
        <v>78</v>
      </c>
      <c r="N1175" s="23" t="s">
        <v>78</v>
      </c>
      <c r="O1175" s="23">
        <v>18792</v>
      </c>
      <c r="P1175" s="23" t="s">
        <v>79</v>
      </c>
      <c r="Q1175" s="23" t="s">
        <v>83</v>
      </c>
      <c r="R1175" s="23">
        <v>11100189</v>
      </c>
      <c r="S1175" s="24" t="s">
        <v>80</v>
      </c>
      <c r="T1175" s="24">
        <v>46020</v>
      </c>
      <c r="U1175" s="24" t="s">
        <v>80</v>
      </c>
      <c r="X1175" s="24" t="s">
        <v>80</v>
      </c>
      <c r="Y1175" s="23">
        <v>1111</v>
      </c>
      <c r="Z1175" s="23">
        <v>11100305</v>
      </c>
      <c r="AA1175" s="23">
        <v>331203</v>
      </c>
      <c r="AB1175" s="24" t="s">
        <v>80</v>
      </c>
    </row>
    <row r="1176" spans="2:28" x14ac:dyDescent="0.2">
      <c r="C1176" s="23">
        <v>1100572507</v>
      </c>
      <c r="E1176" s="23">
        <v>40</v>
      </c>
      <c r="F1176" s="23" t="s">
        <v>87</v>
      </c>
      <c r="G1176" s="23" t="s">
        <v>2629</v>
      </c>
      <c r="H1176" s="24">
        <v>47118</v>
      </c>
      <c r="I1176" s="24">
        <v>47118</v>
      </c>
      <c r="J1176" s="23" t="s">
        <v>682</v>
      </c>
      <c r="K1176" s="23" t="s">
        <v>682</v>
      </c>
      <c r="L1176" s="23">
        <v>1</v>
      </c>
      <c r="M1176" s="23" t="s">
        <v>78</v>
      </c>
      <c r="N1176" s="23" t="s">
        <v>78</v>
      </c>
      <c r="O1176" s="23">
        <v>7912</v>
      </c>
      <c r="P1176" s="23" t="s">
        <v>79</v>
      </c>
      <c r="Q1176" s="23" t="s">
        <v>83</v>
      </c>
      <c r="R1176" s="23">
        <v>11100189</v>
      </c>
      <c r="S1176" s="24" t="s">
        <v>80</v>
      </c>
      <c r="T1176" s="24">
        <v>46020</v>
      </c>
      <c r="U1176" s="24" t="s">
        <v>80</v>
      </c>
      <c r="X1176" s="24" t="s">
        <v>80</v>
      </c>
      <c r="Y1176" s="23">
        <v>1111</v>
      </c>
      <c r="Z1176" s="23">
        <v>11100305</v>
      </c>
      <c r="AA1176" s="23">
        <v>331203</v>
      </c>
      <c r="AB1176" s="24" t="s">
        <v>80</v>
      </c>
    </row>
    <row r="1177" spans="2:28" x14ac:dyDescent="0.2">
      <c r="C1177" s="23">
        <v>1100572507</v>
      </c>
      <c r="E1177" s="23">
        <v>50</v>
      </c>
      <c r="F1177" s="23" t="s">
        <v>87</v>
      </c>
      <c r="G1177" s="23" t="s">
        <v>2630</v>
      </c>
      <c r="H1177" s="24">
        <v>47118</v>
      </c>
      <c r="I1177" s="24">
        <v>47118</v>
      </c>
      <c r="J1177" s="23" t="s">
        <v>682</v>
      </c>
      <c r="K1177" s="23" t="s">
        <v>682</v>
      </c>
      <c r="L1177" s="23">
        <v>1</v>
      </c>
      <c r="M1177" s="23" t="s">
        <v>78</v>
      </c>
      <c r="N1177" s="23" t="s">
        <v>78</v>
      </c>
      <c r="O1177" s="23">
        <v>9668</v>
      </c>
      <c r="P1177" s="23" t="s">
        <v>79</v>
      </c>
      <c r="Q1177" s="23" t="s">
        <v>83</v>
      </c>
      <c r="R1177" s="23">
        <v>11100189</v>
      </c>
      <c r="S1177" s="24" t="s">
        <v>80</v>
      </c>
      <c r="T1177" s="24">
        <v>46020</v>
      </c>
      <c r="U1177" s="24" t="s">
        <v>80</v>
      </c>
      <c r="X1177" s="24" t="s">
        <v>80</v>
      </c>
      <c r="Y1177" s="23">
        <v>1111</v>
      </c>
      <c r="Z1177" s="23">
        <v>11100305</v>
      </c>
      <c r="AA1177" s="23">
        <v>331203</v>
      </c>
      <c r="AB1177" s="24" t="s">
        <v>80</v>
      </c>
    </row>
    <row r="1178" spans="2:28" x14ac:dyDescent="0.2">
      <c r="C1178" s="23">
        <v>1100572507</v>
      </c>
      <c r="E1178" s="23">
        <v>60</v>
      </c>
      <c r="F1178" s="23" t="s">
        <v>87</v>
      </c>
      <c r="G1178" s="23" t="s">
        <v>2631</v>
      </c>
      <c r="H1178" s="24">
        <v>47118</v>
      </c>
      <c r="I1178" s="24">
        <v>47118</v>
      </c>
      <c r="J1178" s="23" t="s">
        <v>682</v>
      </c>
      <c r="K1178" s="23" t="s">
        <v>682</v>
      </c>
      <c r="L1178" s="23">
        <v>1</v>
      </c>
      <c r="M1178" s="23" t="s">
        <v>78</v>
      </c>
      <c r="N1178" s="23" t="s">
        <v>78</v>
      </c>
      <c r="O1178" s="23">
        <v>9668</v>
      </c>
      <c r="P1178" s="23" t="s">
        <v>79</v>
      </c>
      <c r="Q1178" s="23" t="s">
        <v>83</v>
      </c>
      <c r="R1178" s="23">
        <v>11100189</v>
      </c>
      <c r="S1178" s="24" t="s">
        <v>80</v>
      </c>
      <c r="T1178" s="24">
        <v>46020</v>
      </c>
      <c r="U1178" s="24" t="s">
        <v>80</v>
      </c>
      <c r="X1178" s="24" t="s">
        <v>80</v>
      </c>
      <c r="Y1178" s="23">
        <v>1111</v>
      </c>
      <c r="Z1178" s="23">
        <v>11100305</v>
      </c>
      <c r="AA1178" s="23">
        <v>331203</v>
      </c>
      <c r="AB1178" s="24" t="s">
        <v>80</v>
      </c>
    </row>
    <row r="1179" spans="2:28" x14ac:dyDescent="0.2">
      <c r="C1179" s="23">
        <v>1100572507</v>
      </c>
      <c r="E1179" s="23">
        <v>70</v>
      </c>
      <c r="F1179" s="23" t="s">
        <v>87</v>
      </c>
      <c r="G1179" s="23" t="s">
        <v>2632</v>
      </c>
      <c r="H1179" s="24">
        <v>47118</v>
      </c>
      <c r="I1179" s="24">
        <v>47118</v>
      </c>
      <c r="J1179" s="23" t="s">
        <v>682</v>
      </c>
      <c r="K1179" s="23" t="s">
        <v>682</v>
      </c>
      <c r="L1179" s="23">
        <v>1</v>
      </c>
      <c r="M1179" s="23" t="s">
        <v>78</v>
      </c>
      <c r="N1179" s="23" t="s">
        <v>78</v>
      </c>
      <c r="O1179" s="23">
        <v>18792</v>
      </c>
      <c r="P1179" s="23" t="s">
        <v>79</v>
      </c>
      <c r="Q1179" s="23" t="s">
        <v>83</v>
      </c>
      <c r="R1179" s="23">
        <v>11100189</v>
      </c>
      <c r="S1179" s="24" t="s">
        <v>80</v>
      </c>
      <c r="T1179" s="24">
        <v>46020</v>
      </c>
      <c r="U1179" s="24" t="s">
        <v>80</v>
      </c>
      <c r="X1179" s="24" t="s">
        <v>80</v>
      </c>
      <c r="Y1179" s="23">
        <v>1111</v>
      </c>
      <c r="Z1179" s="23">
        <v>11100305</v>
      </c>
      <c r="AA1179" s="23">
        <v>331203</v>
      </c>
      <c r="AB1179" s="24" t="s">
        <v>80</v>
      </c>
    </row>
    <row r="1180" spans="2:28" x14ac:dyDescent="0.2">
      <c r="C1180" s="23">
        <v>1100572507</v>
      </c>
      <c r="E1180" s="23">
        <v>80</v>
      </c>
      <c r="F1180" s="23" t="s">
        <v>87</v>
      </c>
      <c r="G1180" s="23" t="s">
        <v>2633</v>
      </c>
      <c r="H1180" s="24">
        <v>47118</v>
      </c>
      <c r="I1180" s="24">
        <v>47118</v>
      </c>
      <c r="J1180" s="23" t="s">
        <v>682</v>
      </c>
      <c r="K1180" s="23" t="s">
        <v>682</v>
      </c>
      <c r="L1180" s="23">
        <v>1</v>
      </c>
      <c r="M1180" s="23" t="s">
        <v>78</v>
      </c>
      <c r="N1180" s="23" t="s">
        <v>78</v>
      </c>
      <c r="O1180" s="23">
        <v>7912</v>
      </c>
      <c r="P1180" s="23" t="s">
        <v>79</v>
      </c>
      <c r="Q1180" s="23" t="s">
        <v>83</v>
      </c>
      <c r="R1180" s="23">
        <v>11100189</v>
      </c>
      <c r="S1180" s="24" t="s">
        <v>80</v>
      </c>
      <c r="T1180" s="24">
        <v>46020</v>
      </c>
      <c r="U1180" s="24" t="s">
        <v>80</v>
      </c>
      <c r="X1180" s="24" t="s">
        <v>80</v>
      </c>
      <c r="Y1180" s="23">
        <v>1111</v>
      </c>
      <c r="Z1180" s="23">
        <v>11100305</v>
      </c>
      <c r="AA1180" s="23">
        <v>331203</v>
      </c>
      <c r="AB1180" s="24" t="s">
        <v>80</v>
      </c>
    </row>
    <row r="1181" spans="2:28" x14ac:dyDescent="0.2">
      <c r="C1181" s="23">
        <v>1100572507</v>
      </c>
      <c r="E1181" s="23">
        <v>90</v>
      </c>
      <c r="F1181" s="23" t="s">
        <v>87</v>
      </c>
      <c r="G1181" s="23" t="s">
        <v>2634</v>
      </c>
      <c r="H1181" s="24">
        <v>47118</v>
      </c>
      <c r="I1181" s="24">
        <v>47118</v>
      </c>
      <c r="J1181" s="23" t="s">
        <v>682</v>
      </c>
      <c r="K1181" s="23" t="s">
        <v>682</v>
      </c>
      <c r="L1181" s="23">
        <v>1</v>
      </c>
      <c r="M1181" s="23" t="s">
        <v>78</v>
      </c>
      <c r="N1181" s="23" t="s">
        <v>78</v>
      </c>
      <c r="O1181" s="23">
        <v>9668</v>
      </c>
      <c r="P1181" s="23" t="s">
        <v>79</v>
      </c>
      <c r="Q1181" s="23" t="s">
        <v>83</v>
      </c>
      <c r="R1181" s="23">
        <v>11100189</v>
      </c>
      <c r="S1181" s="24" t="s">
        <v>80</v>
      </c>
      <c r="T1181" s="24">
        <v>46020</v>
      </c>
      <c r="U1181" s="24" t="s">
        <v>80</v>
      </c>
      <c r="X1181" s="24" t="s">
        <v>80</v>
      </c>
      <c r="Y1181" s="23">
        <v>1111</v>
      </c>
      <c r="Z1181" s="23">
        <v>11100305</v>
      </c>
      <c r="AA1181" s="23">
        <v>331203</v>
      </c>
      <c r="AB1181" s="24" t="s">
        <v>80</v>
      </c>
    </row>
    <row r="1182" spans="2:28" x14ac:dyDescent="0.2">
      <c r="C1182" s="23">
        <v>1100572507</v>
      </c>
      <c r="E1182" s="23">
        <v>100</v>
      </c>
      <c r="F1182" s="23" t="s">
        <v>87</v>
      </c>
      <c r="G1182" s="23" t="s">
        <v>2635</v>
      </c>
      <c r="H1182" s="24">
        <v>47118</v>
      </c>
      <c r="I1182" s="24">
        <v>47118</v>
      </c>
      <c r="J1182" s="23" t="s">
        <v>682</v>
      </c>
      <c r="K1182" s="23" t="s">
        <v>682</v>
      </c>
      <c r="L1182" s="23">
        <v>1</v>
      </c>
      <c r="M1182" s="23" t="s">
        <v>78</v>
      </c>
      <c r="N1182" s="23" t="s">
        <v>78</v>
      </c>
      <c r="O1182" s="23">
        <v>8360.7999999999993</v>
      </c>
      <c r="P1182" s="23" t="s">
        <v>79</v>
      </c>
      <c r="Q1182" s="23" t="s">
        <v>83</v>
      </c>
      <c r="R1182" s="23">
        <v>11100189</v>
      </c>
      <c r="S1182" s="24" t="s">
        <v>80</v>
      </c>
      <c r="T1182" s="24">
        <v>46020</v>
      </c>
      <c r="U1182" s="24" t="s">
        <v>80</v>
      </c>
      <c r="X1182" s="24" t="s">
        <v>80</v>
      </c>
      <c r="Y1182" s="23">
        <v>1111</v>
      </c>
      <c r="Z1182" s="23">
        <v>11100305</v>
      </c>
      <c r="AA1182" s="23">
        <v>331203</v>
      </c>
      <c r="AB1182" s="24" t="s">
        <v>80</v>
      </c>
    </row>
    <row r="1183" spans="2:28" x14ac:dyDescent="0.2">
      <c r="C1183" s="23">
        <v>1100572507</v>
      </c>
      <c r="E1183" s="23">
        <v>110</v>
      </c>
      <c r="F1183" s="23" t="s">
        <v>87</v>
      </c>
      <c r="G1183" s="23" t="s">
        <v>2636</v>
      </c>
      <c r="H1183" s="24">
        <v>47118</v>
      </c>
      <c r="I1183" s="24">
        <v>47118</v>
      </c>
      <c r="J1183" s="23" t="s">
        <v>682</v>
      </c>
      <c r="K1183" s="23" t="s">
        <v>682</v>
      </c>
      <c r="L1183" s="23">
        <v>1</v>
      </c>
      <c r="M1183" s="23" t="s">
        <v>78</v>
      </c>
      <c r="N1183" s="23" t="s">
        <v>78</v>
      </c>
      <c r="O1183" s="23">
        <v>8360.7999999999993</v>
      </c>
      <c r="P1183" s="23" t="s">
        <v>79</v>
      </c>
      <c r="Q1183" s="23" t="s">
        <v>83</v>
      </c>
      <c r="R1183" s="23">
        <v>11100189</v>
      </c>
      <c r="S1183" s="24" t="s">
        <v>80</v>
      </c>
      <c r="T1183" s="24">
        <v>46020</v>
      </c>
      <c r="U1183" s="24" t="s">
        <v>80</v>
      </c>
      <c r="X1183" s="24" t="s">
        <v>80</v>
      </c>
      <c r="Y1183" s="23">
        <v>1111</v>
      </c>
      <c r="Z1183" s="23">
        <v>11100305</v>
      </c>
      <c r="AA1183" s="23">
        <v>331203</v>
      </c>
      <c r="AB1183" s="24" t="s">
        <v>80</v>
      </c>
    </row>
    <row r="1184" spans="2:28" x14ac:dyDescent="0.2">
      <c r="C1184" s="23">
        <v>1100572507</v>
      </c>
      <c r="E1184" s="23">
        <v>120</v>
      </c>
      <c r="F1184" s="23" t="s">
        <v>87</v>
      </c>
      <c r="G1184" s="23" t="s">
        <v>2637</v>
      </c>
      <c r="H1184" s="24">
        <v>47118</v>
      </c>
      <c r="I1184" s="24">
        <v>47118</v>
      </c>
      <c r="J1184" s="23" t="s">
        <v>682</v>
      </c>
      <c r="K1184" s="23" t="s">
        <v>682</v>
      </c>
      <c r="L1184" s="23">
        <v>1</v>
      </c>
      <c r="M1184" s="23" t="s">
        <v>78</v>
      </c>
      <c r="N1184" s="23" t="s">
        <v>78</v>
      </c>
      <c r="O1184" s="23">
        <v>18792</v>
      </c>
      <c r="P1184" s="23" t="s">
        <v>79</v>
      </c>
      <c r="Q1184" s="23" t="s">
        <v>83</v>
      </c>
      <c r="R1184" s="23">
        <v>11100189</v>
      </c>
      <c r="S1184" s="24" t="s">
        <v>80</v>
      </c>
      <c r="T1184" s="24">
        <v>46020</v>
      </c>
      <c r="U1184" s="24" t="s">
        <v>80</v>
      </c>
      <c r="X1184" s="24" t="s">
        <v>80</v>
      </c>
      <c r="Y1184" s="23">
        <v>1111</v>
      </c>
      <c r="Z1184" s="23">
        <v>11100305</v>
      </c>
      <c r="AA1184" s="23">
        <v>331203</v>
      </c>
      <c r="AB1184" s="24" t="s">
        <v>80</v>
      </c>
    </row>
    <row r="1185" spans="3:28" x14ac:dyDescent="0.2">
      <c r="C1185" s="23">
        <v>1100572507</v>
      </c>
      <c r="E1185" s="23">
        <v>130</v>
      </c>
      <c r="F1185" s="23" t="s">
        <v>87</v>
      </c>
      <c r="G1185" s="23" t="s">
        <v>2638</v>
      </c>
      <c r="H1185" s="24">
        <v>47118</v>
      </c>
      <c r="I1185" s="24">
        <v>47118</v>
      </c>
      <c r="J1185" s="23" t="s">
        <v>682</v>
      </c>
      <c r="K1185" s="23" t="s">
        <v>682</v>
      </c>
      <c r="L1185" s="23">
        <v>1</v>
      </c>
      <c r="M1185" s="23" t="s">
        <v>78</v>
      </c>
      <c r="N1185" s="23" t="s">
        <v>78</v>
      </c>
      <c r="O1185" s="23">
        <v>7912</v>
      </c>
      <c r="P1185" s="23" t="s">
        <v>79</v>
      </c>
      <c r="Q1185" s="23" t="s">
        <v>83</v>
      </c>
      <c r="R1185" s="23">
        <v>11100189</v>
      </c>
      <c r="S1185" s="24" t="s">
        <v>80</v>
      </c>
      <c r="T1185" s="24">
        <v>46020</v>
      </c>
      <c r="U1185" s="24" t="s">
        <v>80</v>
      </c>
      <c r="X1185" s="24" t="s">
        <v>80</v>
      </c>
      <c r="Y1185" s="23">
        <v>1111</v>
      </c>
      <c r="Z1185" s="23">
        <v>11100305</v>
      </c>
      <c r="AA1185" s="23">
        <v>331203</v>
      </c>
      <c r="AB1185" s="24" t="s">
        <v>80</v>
      </c>
    </row>
    <row r="1186" spans="3:28" x14ac:dyDescent="0.2">
      <c r="C1186" s="23">
        <v>1100572507</v>
      </c>
      <c r="E1186" s="23">
        <v>140</v>
      </c>
      <c r="F1186" s="23" t="s">
        <v>87</v>
      </c>
      <c r="G1186" s="23" t="s">
        <v>2639</v>
      </c>
      <c r="H1186" s="24">
        <v>47118</v>
      </c>
      <c r="I1186" s="24">
        <v>47118</v>
      </c>
      <c r="J1186" s="23" t="s">
        <v>682</v>
      </c>
      <c r="K1186" s="23" t="s">
        <v>682</v>
      </c>
      <c r="L1186" s="23">
        <v>1</v>
      </c>
      <c r="M1186" s="23" t="s">
        <v>78</v>
      </c>
      <c r="N1186" s="23" t="s">
        <v>78</v>
      </c>
      <c r="O1186" s="23">
        <v>9668</v>
      </c>
      <c r="P1186" s="23" t="s">
        <v>79</v>
      </c>
      <c r="Q1186" s="23" t="s">
        <v>83</v>
      </c>
      <c r="R1186" s="23">
        <v>11100189</v>
      </c>
      <c r="S1186" s="24" t="s">
        <v>80</v>
      </c>
      <c r="T1186" s="24">
        <v>46020</v>
      </c>
      <c r="U1186" s="24" t="s">
        <v>80</v>
      </c>
      <c r="X1186" s="24" t="s">
        <v>80</v>
      </c>
      <c r="Y1186" s="23">
        <v>1111</v>
      </c>
      <c r="Z1186" s="23">
        <v>11100305</v>
      </c>
      <c r="AA1186" s="23">
        <v>331203</v>
      </c>
      <c r="AB1186" s="24" t="s">
        <v>80</v>
      </c>
    </row>
    <row r="1187" spans="3:28" x14ac:dyDescent="0.2">
      <c r="C1187" s="23">
        <v>1100572507</v>
      </c>
      <c r="E1187" s="23">
        <v>150</v>
      </c>
      <c r="F1187" s="23" t="s">
        <v>87</v>
      </c>
      <c r="G1187" s="23" t="s">
        <v>2640</v>
      </c>
      <c r="H1187" s="24">
        <v>47118</v>
      </c>
      <c r="I1187" s="24">
        <v>47118</v>
      </c>
      <c r="J1187" s="23" t="s">
        <v>682</v>
      </c>
      <c r="K1187" s="23" t="s">
        <v>682</v>
      </c>
      <c r="L1187" s="23">
        <v>1</v>
      </c>
      <c r="M1187" s="23" t="s">
        <v>78</v>
      </c>
      <c r="N1187" s="23" t="s">
        <v>78</v>
      </c>
      <c r="O1187" s="23">
        <v>8360.7999999999993</v>
      </c>
      <c r="P1187" s="23" t="s">
        <v>79</v>
      </c>
      <c r="Q1187" s="23" t="s">
        <v>83</v>
      </c>
      <c r="R1187" s="23">
        <v>11100189</v>
      </c>
      <c r="S1187" s="24" t="s">
        <v>80</v>
      </c>
      <c r="T1187" s="24">
        <v>46020</v>
      </c>
      <c r="U1187" s="24" t="s">
        <v>80</v>
      </c>
      <c r="X1187" s="24" t="s">
        <v>80</v>
      </c>
      <c r="Y1187" s="23">
        <v>1111</v>
      </c>
      <c r="Z1187" s="23">
        <v>11100305</v>
      </c>
      <c r="AA1187" s="23">
        <v>331203</v>
      </c>
      <c r="AB1187" s="24" t="s">
        <v>80</v>
      </c>
    </row>
    <row r="1188" spans="3:28" x14ac:dyDescent="0.2">
      <c r="C1188" s="23">
        <v>1100572507</v>
      </c>
      <c r="E1188" s="23">
        <v>160</v>
      </c>
      <c r="F1188" s="23" t="s">
        <v>87</v>
      </c>
      <c r="G1188" s="23" t="s">
        <v>2641</v>
      </c>
      <c r="H1188" s="24">
        <v>47118</v>
      </c>
      <c r="I1188" s="24">
        <v>47118</v>
      </c>
      <c r="J1188" s="23" t="s">
        <v>682</v>
      </c>
      <c r="K1188" s="23" t="s">
        <v>682</v>
      </c>
      <c r="L1188" s="23">
        <v>1</v>
      </c>
      <c r="M1188" s="23" t="s">
        <v>78</v>
      </c>
      <c r="N1188" s="23" t="s">
        <v>78</v>
      </c>
      <c r="O1188" s="23">
        <v>8360.7999999999993</v>
      </c>
      <c r="P1188" s="23" t="s">
        <v>79</v>
      </c>
      <c r="Q1188" s="23" t="s">
        <v>83</v>
      </c>
      <c r="R1188" s="23">
        <v>11100189</v>
      </c>
      <c r="S1188" s="24" t="s">
        <v>80</v>
      </c>
      <c r="T1188" s="24">
        <v>46020</v>
      </c>
      <c r="U1188" s="24" t="s">
        <v>80</v>
      </c>
      <c r="X1188" s="24" t="s">
        <v>80</v>
      </c>
      <c r="Y1188" s="23">
        <v>1111</v>
      </c>
      <c r="Z1188" s="23">
        <v>11100305</v>
      </c>
      <c r="AA1188" s="23">
        <v>331203</v>
      </c>
      <c r="AB1188" s="24" t="s">
        <v>80</v>
      </c>
    </row>
    <row r="1189" spans="3:28" x14ac:dyDescent="0.2">
      <c r="C1189" s="23">
        <v>1100572507</v>
      </c>
      <c r="E1189" s="23">
        <v>170</v>
      </c>
      <c r="F1189" s="23" t="s">
        <v>87</v>
      </c>
      <c r="G1189" s="23" t="s">
        <v>2642</v>
      </c>
      <c r="H1189" s="24">
        <v>47118</v>
      </c>
      <c r="I1189" s="24">
        <v>47118</v>
      </c>
      <c r="J1189" s="23" t="s">
        <v>682</v>
      </c>
      <c r="K1189" s="23" t="s">
        <v>682</v>
      </c>
      <c r="L1189" s="23">
        <v>1</v>
      </c>
      <c r="M1189" s="23" t="s">
        <v>78</v>
      </c>
      <c r="N1189" s="23" t="s">
        <v>78</v>
      </c>
      <c r="O1189" s="23">
        <v>14056</v>
      </c>
      <c r="P1189" s="23" t="s">
        <v>79</v>
      </c>
      <c r="Q1189" s="23" t="s">
        <v>83</v>
      </c>
      <c r="R1189" s="23">
        <v>11100189</v>
      </c>
      <c r="S1189" s="24" t="s">
        <v>80</v>
      </c>
      <c r="T1189" s="24">
        <v>46020</v>
      </c>
      <c r="U1189" s="24" t="s">
        <v>80</v>
      </c>
      <c r="X1189" s="24" t="s">
        <v>80</v>
      </c>
      <c r="Y1189" s="23">
        <v>1111</v>
      </c>
      <c r="Z1189" s="23">
        <v>11100305</v>
      </c>
      <c r="AA1189" s="23">
        <v>331203</v>
      </c>
      <c r="AB1189" s="24" t="s">
        <v>80</v>
      </c>
    </row>
    <row r="1190" spans="3:28" x14ac:dyDescent="0.2">
      <c r="C1190" s="23">
        <v>1100572507</v>
      </c>
      <c r="E1190" s="23">
        <v>180</v>
      </c>
      <c r="F1190" s="23" t="s">
        <v>87</v>
      </c>
      <c r="G1190" s="23" t="s">
        <v>2643</v>
      </c>
      <c r="H1190" s="24">
        <v>47118</v>
      </c>
      <c r="I1190" s="24">
        <v>47118</v>
      </c>
      <c r="J1190" s="23" t="s">
        <v>682</v>
      </c>
      <c r="K1190" s="23" t="s">
        <v>682</v>
      </c>
      <c r="L1190" s="23">
        <v>1</v>
      </c>
      <c r="M1190" s="23" t="s">
        <v>78</v>
      </c>
      <c r="N1190" s="23" t="s">
        <v>78</v>
      </c>
      <c r="O1190" s="23">
        <v>18792</v>
      </c>
      <c r="P1190" s="23" t="s">
        <v>79</v>
      </c>
      <c r="Q1190" s="23" t="s">
        <v>83</v>
      </c>
      <c r="R1190" s="23">
        <v>11100189</v>
      </c>
      <c r="S1190" s="24" t="s">
        <v>80</v>
      </c>
      <c r="T1190" s="24">
        <v>46020</v>
      </c>
      <c r="U1190" s="24" t="s">
        <v>80</v>
      </c>
      <c r="X1190" s="24" t="s">
        <v>80</v>
      </c>
      <c r="Y1190" s="23">
        <v>1111</v>
      </c>
      <c r="Z1190" s="23">
        <v>11100305</v>
      </c>
      <c r="AA1190" s="23">
        <v>331203</v>
      </c>
      <c r="AB1190" s="24" t="s">
        <v>80</v>
      </c>
    </row>
    <row r="1191" spans="3:28" x14ac:dyDescent="0.2">
      <c r="C1191" s="23">
        <v>1100572507</v>
      </c>
      <c r="E1191" s="23">
        <v>190</v>
      </c>
      <c r="F1191" s="23" t="s">
        <v>87</v>
      </c>
      <c r="G1191" s="23" t="s">
        <v>2644</v>
      </c>
      <c r="H1191" s="24">
        <v>47118</v>
      </c>
      <c r="I1191" s="24">
        <v>47118</v>
      </c>
      <c r="J1191" s="23" t="s">
        <v>682</v>
      </c>
      <c r="K1191" s="23" t="s">
        <v>682</v>
      </c>
      <c r="L1191" s="23">
        <v>1</v>
      </c>
      <c r="M1191" s="23" t="s">
        <v>78</v>
      </c>
      <c r="N1191" s="23" t="s">
        <v>78</v>
      </c>
      <c r="O1191" s="23">
        <v>9668</v>
      </c>
      <c r="P1191" s="23" t="s">
        <v>79</v>
      </c>
      <c r="Q1191" s="23" t="s">
        <v>83</v>
      </c>
      <c r="R1191" s="23">
        <v>11100189</v>
      </c>
      <c r="S1191" s="24" t="s">
        <v>80</v>
      </c>
      <c r="T1191" s="24">
        <v>46020</v>
      </c>
      <c r="U1191" s="24" t="s">
        <v>80</v>
      </c>
      <c r="X1191" s="24" t="s">
        <v>80</v>
      </c>
      <c r="Y1191" s="23">
        <v>1111</v>
      </c>
      <c r="Z1191" s="23">
        <v>11100305</v>
      </c>
      <c r="AA1191" s="23">
        <v>331203</v>
      </c>
      <c r="AB1191" s="24" t="s">
        <v>80</v>
      </c>
    </row>
    <row r="1192" spans="3:28" x14ac:dyDescent="0.2">
      <c r="C1192" s="23">
        <v>1100572507</v>
      </c>
      <c r="E1192" s="23">
        <v>200</v>
      </c>
      <c r="F1192" s="23" t="s">
        <v>87</v>
      </c>
      <c r="G1192" s="23" t="s">
        <v>2645</v>
      </c>
      <c r="H1192" s="24">
        <v>47118</v>
      </c>
      <c r="I1192" s="24">
        <v>47118</v>
      </c>
      <c r="J1192" s="23" t="s">
        <v>682</v>
      </c>
      <c r="K1192" s="23" t="s">
        <v>682</v>
      </c>
      <c r="L1192" s="23">
        <v>1</v>
      </c>
      <c r="M1192" s="23" t="s">
        <v>78</v>
      </c>
      <c r="N1192" s="23" t="s">
        <v>78</v>
      </c>
      <c r="O1192" s="23">
        <v>7912</v>
      </c>
      <c r="P1192" s="23" t="s">
        <v>79</v>
      </c>
      <c r="Q1192" s="23" t="s">
        <v>83</v>
      </c>
      <c r="R1192" s="23">
        <v>11100189</v>
      </c>
      <c r="S1192" s="24" t="s">
        <v>80</v>
      </c>
      <c r="T1192" s="24">
        <v>46020</v>
      </c>
      <c r="U1192" s="24" t="s">
        <v>80</v>
      </c>
      <c r="X1192" s="24" t="s">
        <v>80</v>
      </c>
      <c r="Y1192" s="23">
        <v>1111</v>
      </c>
      <c r="Z1192" s="23">
        <v>11100305</v>
      </c>
      <c r="AA1192" s="23">
        <v>331203</v>
      </c>
      <c r="AB1192" s="24" t="s">
        <v>80</v>
      </c>
    </row>
    <row r="1193" spans="3:28" x14ac:dyDescent="0.2">
      <c r="C1193" s="23">
        <v>1100572507</v>
      </c>
      <c r="E1193" s="23">
        <v>210</v>
      </c>
      <c r="F1193" s="23" t="s">
        <v>87</v>
      </c>
      <c r="G1193" s="23" t="s">
        <v>2646</v>
      </c>
      <c r="H1193" s="24">
        <v>47118</v>
      </c>
      <c r="I1193" s="24">
        <v>47118</v>
      </c>
      <c r="J1193" s="23" t="s">
        <v>682</v>
      </c>
      <c r="K1193" s="23" t="s">
        <v>682</v>
      </c>
      <c r="L1193" s="23">
        <v>1</v>
      </c>
      <c r="M1193" s="23" t="s">
        <v>78</v>
      </c>
      <c r="N1193" s="23" t="s">
        <v>78</v>
      </c>
      <c r="O1193" s="23">
        <v>18792</v>
      </c>
      <c r="P1193" s="23" t="s">
        <v>79</v>
      </c>
      <c r="Q1193" s="23" t="s">
        <v>83</v>
      </c>
      <c r="R1193" s="23">
        <v>11100189</v>
      </c>
      <c r="S1193" s="24" t="s">
        <v>80</v>
      </c>
      <c r="T1193" s="24">
        <v>46020</v>
      </c>
      <c r="U1193" s="24" t="s">
        <v>80</v>
      </c>
      <c r="X1193" s="24" t="s">
        <v>80</v>
      </c>
      <c r="Y1193" s="23">
        <v>1111</v>
      </c>
      <c r="Z1193" s="23">
        <v>11100305</v>
      </c>
      <c r="AA1193" s="23">
        <v>331203</v>
      </c>
      <c r="AB1193" s="24" t="s">
        <v>80</v>
      </c>
    </row>
    <row r="1194" spans="3:28" x14ac:dyDescent="0.2">
      <c r="C1194" s="23">
        <v>1100572507</v>
      </c>
      <c r="E1194" s="23">
        <v>220</v>
      </c>
      <c r="F1194" s="23" t="s">
        <v>87</v>
      </c>
      <c r="G1194" s="23" t="s">
        <v>2647</v>
      </c>
      <c r="H1194" s="24">
        <v>47118</v>
      </c>
      <c r="I1194" s="24">
        <v>47118</v>
      </c>
      <c r="J1194" s="23" t="s">
        <v>682</v>
      </c>
      <c r="K1194" s="23" t="s">
        <v>682</v>
      </c>
      <c r="L1194" s="23">
        <v>1</v>
      </c>
      <c r="M1194" s="23" t="s">
        <v>78</v>
      </c>
      <c r="N1194" s="23" t="s">
        <v>78</v>
      </c>
      <c r="O1194" s="23">
        <v>9668</v>
      </c>
      <c r="P1194" s="23" t="s">
        <v>79</v>
      </c>
      <c r="Q1194" s="23" t="s">
        <v>83</v>
      </c>
      <c r="R1194" s="23">
        <v>11100189</v>
      </c>
      <c r="S1194" s="24" t="s">
        <v>80</v>
      </c>
      <c r="T1194" s="24">
        <v>46020</v>
      </c>
      <c r="U1194" s="24" t="s">
        <v>80</v>
      </c>
      <c r="X1194" s="24" t="s">
        <v>80</v>
      </c>
      <c r="Y1194" s="23">
        <v>1111</v>
      </c>
      <c r="Z1194" s="23">
        <v>11100305</v>
      </c>
      <c r="AA1194" s="23">
        <v>331203</v>
      </c>
      <c r="AB1194" s="24" t="s">
        <v>80</v>
      </c>
    </row>
    <row r="1195" spans="3:28" x14ac:dyDescent="0.2">
      <c r="C1195" s="23">
        <v>1100572507</v>
      </c>
      <c r="E1195" s="23">
        <v>230</v>
      </c>
      <c r="F1195" s="23" t="s">
        <v>87</v>
      </c>
      <c r="G1195" s="23" t="s">
        <v>2648</v>
      </c>
      <c r="H1195" s="24">
        <v>47118</v>
      </c>
      <c r="I1195" s="24">
        <v>47118</v>
      </c>
      <c r="J1195" s="23" t="s">
        <v>682</v>
      </c>
      <c r="K1195" s="23" t="s">
        <v>682</v>
      </c>
      <c r="L1195" s="23">
        <v>1</v>
      </c>
      <c r="M1195" s="23" t="s">
        <v>78</v>
      </c>
      <c r="N1195" s="23" t="s">
        <v>78</v>
      </c>
      <c r="O1195" s="23">
        <v>7912</v>
      </c>
      <c r="P1195" s="23" t="s">
        <v>79</v>
      </c>
      <c r="Q1195" s="23" t="s">
        <v>83</v>
      </c>
      <c r="R1195" s="23">
        <v>11100189</v>
      </c>
      <c r="S1195" s="24" t="s">
        <v>80</v>
      </c>
      <c r="T1195" s="24">
        <v>46020</v>
      </c>
      <c r="U1195" s="24" t="s">
        <v>80</v>
      </c>
      <c r="X1195" s="24" t="s">
        <v>80</v>
      </c>
      <c r="Y1195" s="23">
        <v>1111</v>
      </c>
      <c r="Z1195" s="23">
        <v>11100305</v>
      </c>
      <c r="AA1195" s="23">
        <v>331203</v>
      </c>
      <c r="AB1195" s="24" t="s">
        <v>80</v>
      </c>
    </row>
    <row r="1196" spans="3:28" x14ac:dyDescent="0.2">
      <c r="C1196" s="23">
        <v>1100572507</v>
      </c>
      <c r="E1196" s="23">
        <v>240</v>
      </c>
      <c r="F1196" s="23" t="s">
        <v>87</v>
      </c>
      <c r="G1196" s="23" t="s">
        <v>2649</v>
      </c>
      <c r="H1196" s="24">
        <v>47118</v>
      </c>
      <c r="I1196" s="24">
        <v>47118</v>
      </c>
      <c r="J1196" s="23" t="s">
        <v>682</v>
      </c>
      <c r="K1196" s="23" t="s">
        <v>682</v>
      </c>
      <c r="L1196" s="23">
        <v>1</v>
      </c>
      <c r="M1196" s="23" t="s">
        <v>78</v>
      </c>
      <c r="N1196" s="23" t="s">
        <v>78</v>
      </c>
      <c r="O1196" s="23">
        <v>7912</v>
      </c>
      <c r="P1196" s="23" t="s">
        <v>79</v>
      </c>
      <c r="Q1196" s="23" t="s">
        <v>83</v>
      </c>
      <c r="R1196" s="23">
        <v>11100189</v>
      </c>
      <c r="S1196" s="24" t="s">
        <v>80</v>
      </c>
      <c r="T1196" s="24">
        <v>46020</v>
      </c>
      <c r="U1196" s="24" t="s">
        <v>80</v>
      </c>
      <c r="X1196" s="24" t="s">
        <v>80</v>
      </c>
      <c r="Y1196" s="23">
        <v>1111</v>
      </c>
      <c r="Z1196" s="23">
        <v>11100305</v>
      </c>
      <c r="AA1196" s="23">
        <v>331203</v>
      </c>
      <c r="AB1196" s="24" t="s">
        <v>80</v>
      </c>
    </row>
    <row r="1197" spans="3:28" x14ac:dyDescent="0.2">
      <c r="C1197" s="23">
        <v>1100572507</v>
      </c>
      <c r="E1197" s="23">
        <v>250</v>
      </c>
      <c r="F1197" s="23" t="s">
        <v>87</v>
      </c>
      <c r="G1197" s="23" t="s">
        <v>2650</v>
      </c>
      <c r="H1197" s="24">
        <v>47118</v>
      </c>
      <c r="I1197" s="24">
        <v>47118</v>
      </c>
      <c r="J1197" s="23" t="s">
        <v>682</v>
      </c>
      <c r="K1197" s="23" t="s">
        <v>682</v>
      </c>
      <c r="L1197" s="23">
        <v>1</v>
      </c>
      <c r="M1197" s="23" t="s">
        <v>78</v>
      </c>
      <c r="N1197" s="23" t="s">
        <v>78</v>
      </c>
      <c r="O1197" s="23">
        <v>18792</v>
      </c>
      <c r="P1197" s="23" t="s">
        <v>79</v>
      </c>
      <c r="Q1197" s="23" t="s">
        <v>83</v>
      </c>
      <c r="R1197" s="23">
        <v>11100189</v>
      </c>
      <c r="S1197" s="24" t="s">
        <v>80</v>
      </c>
      <c r="T1197" s="24">
        <v>46020</v>
      </c>
      <c r="U1197" s="24" t="s">
        <v>80</v>
      </c>
      <c r="X1197" s="24" t="s">
        <v>80</v>
      </c>
      <c r="Y1197" s="23">
        <v>1111</v>
      </c>
      <c r="Z1197" s="23">
        <v>11100305</v>
      </c>
      <c r="AA1197" s="23">
        <v>331203</v>
      </c>
      <c r="AB1197" s="24" t="s">
        <v>80</v>
      </c>
    </row>
    <row r="1198" spans="3:28" x14ac:dyDescent="0.2">
      <c r="C1198" s="23">
        <v>1100572507</v>
      </c>
      <c r="E1198" s="23">
        <v>260</v>
      </c>
      <c r="F1198" s="23" t="s">
        <v>87</v>
      </c>
      <c r="G1198" s="23" t="s">
        <v>2651</v>
      </c>
      <c r="H1198" s="24">
        <v>47118</v>
      </c>
      <c r="I1198" s="24">
        <v>47118</v>
      </c>
      <c r="J1198" s="23" t="s">
        <v>682</v>
      </c>
      <c r="K1198" s="23" t="s">
        <v>682</v>
      </c>
      <c r="L1198" s="23">
        <v>1</v>
      </c>
      <c r="M1198" s="23" t="s">
        <v>78</v>
      </c>
      <c r="N1198" s="23" t="s">
        <v>78</v>
      </c>
      <c r="O1198" s="23">
        <v>9668</v>
      </c>
      <c r="P1198" s="23" t="s">
        <v>79</v>
      </c>
      <c r="Q1198" s="23" t="s">
        <v>83</v>
      </c>
      <c r="R1198" s="23">
        <v>11100189</v>
      </c>
      <c r="S1198" s="24" t="s">
        <v>80</v>
      </c>
      <c r="T1198" s="24">
        <v>46020</v>
      </c>
      <c r="U1198" s="24" t="s">
        <v>80</v>
      </c>
      <c r="X1198" s="24" t="s">
        <v>80</v>
      </c>
      <c r="Y1198" s="23">
        <v>1111</v>
      </c>
      <c r="Z1198" s="23">
        <v>11100305</v>
      </c>
      <c r="AA1198" s="23">
        <v>331203</v>
      </c>
      <c r="AB1198" s="24" t="s">
        <v>80</v>
      </c>
    </row>
    <row r="1199" spans="3:28" x14ac:dyDescent="0.2">
      <c r="C1199" s="23">
        <v>1100572507</v>
      </c>
      <c r="E1199" s="23">
        <v>270</v>
      </c>
      <c r="F1199" s="23" t="s">
        <v>87</v>
      </c>
      <c r="G1199" s="23" t="s">
        <v>2652</v>
      </c>
      <c r="H1199" s="24">
        <v>47118</v>
      </c>
      <c r="I1199" s="24">
        <v>47118</v>
      </c>
      <c r="J1199" s="23" t="s">
        <v>682</v>
      </c>
      <c r="K1199" s="23" t="s">
        <v>682</v>
      </c>
      <c r="L1199" s="23">
        <v>1</v>
      </c>
      <c r="M1199" s="23" t="s">
        <v>78</v>
      </c>
      <c r="N1199" s="23" t="s">
        <v>78</v>
      </c>
      <c r="O1199" s="23">
        <v>7912</v>
      </c>
      <c r="P1199" s="23" t="s">
        <v>79</v>
      </c>
      <c r="Q1199" s="23" t="s">
        <v>83</v>
      </c>
      <c r="R1199" s="23">
        <v>11100189</v>
      </c>
      <c r="S1199" s="24" t="s">
        <v>80</v>
      </c>
      <c r="T1199" s="24">
        <v>46020</v>
      </c>
      <c r="U1199" s="24" t="s">
        <v>80</v>
      </c>
      <c r="X1199" s="24" t="s">
        <v>80</v>
      </c>
      <c r="Y1199" s="23">
        <v>1111</v>
      </c>
      <c r="Z1199" s="23">
        <v>11100305</v>
      </c>
      <c r="AA1199" s="23">
        <v>331203</v>
      </c>
      <c r="AB1199" s="24" t="s">
        <v>80</v>
      </c>
    </row>
    <row r="1200" spans="3:28" x14ac:dyDescent="0.2">
      <c r="C1200" s="23">
        <v>1100572507</v>
      </c>
      <c r="E1200" s="23">
        <v>280</v>
      </c>
      <c r="F1200" s="23" t="s">
        <v>84</v>
      </c>
      <c r="G1200" s="23" t="s">
        <v>123</v>
      </c>
      <c r="H1200" s="24">
        <v>47118</v>
      </c>
      <c r="I1200" s="24">
        <v>47118</v>
      </c>
      <c r="J1200" s="23" t="s">
        <v>682</v>
      </c>
      <c r="K1200" s="23" t="s">
        <v>682</v>
      </c>
      <c r="L1200" s="23">
        <v>1</v>
      </c>
      <c r="M1200" s="23" t="s">
        <v>78</v>
      </c>
      <c r="N1200" s="23" t="s">
        <v>78</v>
      </c>
      <c r="O1200" s="23">
        <v>0.01</v>
      </c>
      <c r="P1200" s="23" t="s">
        <v>79</v>
      </c>
      <c r="Q1200" s="23" t="s">
        <v>83</v>
      </c>
      <c r="R1200" s="23">
        <v>11100189</v>
      </c>
      <c r="S1200" s="24" t="s">
        <v>80</v>
      </c>
      <c r="T1200" s="24">
        <v>46020</v>
      </c>
      <c r="U1200" s="24" t="s">
        <v>80</v>
      </c>
      <c r="X1200" s="24">
        <v>46014</v>
      </c>
      <c r="Y1200" s="23">
        <v>1111</v>
      </c>
      <c r="Z1200" s="23">
        <v>11100305</v>
      </c>
      <c r="AA1200" s="23">
        <v>331203</v>
      </c>
      <c r="AB1200" s="24">
        <v>46020</v>
      </c>
    </row>
    <row r="1201" spans="2:28" x14ac:dyDescent="0.2">
      <c r="B1201" s="23" t="s">
        <v>81</v>
      </c>
      <c r="C1201" s="23">
        <v>1100572507</v>
      </c>
      <c r="H1201" s="24">
        <v>47118</v>
      </c>
      <c r="O1201" s="23">
        <v>292979.21000000002</v>
      </c>
      <c r="P1201" s="23" t="s">
        <v>79</v>
      </c>
    </row>
    <row r="1202" spans="2:28" x14ac:dyDescent="0.2">
      <c r="C1202" s="23">
        <v>1100575213</v>
      </c>
      <c r="E1202" s="23">
        <v>10</v>
      </c>
      <c r="F1202" s="23" t="s">
        <v>87</v>
      </c>
      <c r="G1202" s="23" t="s">
        <v>142</v>
      </c>
      <c r="H1202" s="24">
        <v>47118</v>
      </c>
      <c r="I1202" s="24">
        <v>47118</v>
      </c>
      <c r="J1202" s="23" t="s">
        <v>2653</v>
      </c>
      <c r="K1202" s="23" t="s">
        <v>2653</v>
      </c>
      <c r="L1202" s="23">
        <v>1</v>
      </c>
      <c r="M1202" s="23" t="s">
        <v>78</v>
      </c>
      <c r="N1202" s="23" t="s">
        <v>78</v>
      </c>
      <c r="O1202" s="23">
        <v>61837</v>
      </c>
      <c r="P1202" s="23" t="s">
        <v>79</v>
      </c>
      <c r="Q1202" s="23" t="s">
        <v>83</v>
      </c>
      <c r="S1202" s="24">
        <v>46234</v>
      </c>
      <c r="T1202" s="24">
        <v>46050</v>
      </c>
      <c r="U1202" s="24">
        <v>47116</v>
      </c>
      <c r="X1202" s="24">
        <v>46002</v>
      </c>
      <c r="Y1202" s="23">
        <v>1111</v>
      </c>
      <c r="Z1202" s="23">
        <v>11100002</v>
      </c>
      <c r="AA1202" s="23">
        <v>3901</v>
      </c>
      <c r="AB1202" s="24">
        <v>46050</v>
      </c>
    </row>
    <row r="1203" spans="2:28" x14ac:dyDescent="0.2">
      <c r="C1203" s="23">
        <v>1100575213</v>
      </c>
      <c r="E1203" s="23">
        <v>20</v>
      </c>
      <c r="F1203" s="23" t="s">
        <v>87</v>
      </c>
      <c r="G1203" s="23" t="s">
        <v>142</v>
      </c>
      <c r="H1203" s="24">
        <v>47118</v>
      </c>
      <c r="I1203" s="24">
        <v>47118</v>
      </c>
      <c r="J1203" s="23" t="s">
        <v>2653</v>
      </c>
      <c r="K1203" s="23" t="s">
        <v>2653</v>
      </c>
      <c r="L1203" s="23">
        <v>1</v>
      </c>
      <c r="M1203" s="23" t="s">
        <v>78</v>
      </c>
      <c r="N1203" s="23" t="s">
        <v>78</v>
      </c>
      <c r="O1203" s="23">
        <v>0.01</v>
      </c>
      <c r="P1203" s="23" t="s">
        <v>79</v>
      </c>
      <c r="Q1203" s="23" t="s">
        <v>83</v>
      </c>
      <c r="S1203" s="24">
        <v>46234</v>
      </c>
      <c r="T1203" s="24">
        <v>46050</v>
      </c>
      <c r="U1203" s="24">
        <v>47116</v>
      </c>
      <c r="X1203" s="24">
        <v>46002</v>
      </c>
      <c r="Y1203" s="23">
        <v>1111</v>
      </c>
      <c r="Z1203" s="23">
        <v>11100002</v>
      </c>
      <c r="AA1203" s="23">
        <v>3901</v>
      </c>
      <c r="AB1203" s="24">
        <v>46050</v>
      </c>
    </row>
    <row r="1204" spans="2:28" x14ac:dyDescent="0.2">
      <c r="C1204" s="23">
        <v>1100575213</v>
      </c>
      <c r="E1204" s="23">
        <v>30</v>
      </c>
      <c r="F1204" s="23" t="s">
        <v>84</v>
      </c>
      <c r="G1204" s="23" t="s">
        <v>123</v>
      </c>
      <c r="H1204" s="24">
        <v>47118</v>
      </c>
      <c r="I1204" s="24">
        <v>47118</v>
      </c>
      <c r="J1204" s="23" t="s">
        <v>2653</v>
      </c>
      <c r="K1204" s="23" t="s">
        <v>2653</v>
      </c>
      <c r="L1204" s="23">
        <v>1</v>
      </c>
      <c r="M1204" s="23" t="s">
        <v>78</v>
      </c>
      <c r="N1204" s="23" t="s">
        <v>78</v>
      </c>
      <c r="O1204" s="23">
        <v>0.01</v>
      </c>
      <c r="P1204" s="23" t="s">
        <v>79</v>
      </c>
      <c r="Q1204" s="23" t="s">
        <v>83</v>
      </c>
      <c r="S1204" s="24" t="s">
        <v>80</v>
      </c>
      <c r="T1204" s="24">
        <v>46050</v>
      </c>
      <c r="U1204" s="24">
        <v>47116</v>
      </c>
      <c r="X1204" s="24">
        <v>46002</v>
      </c>
      <c r="Y1204" s="23">
        <v>1111</v>
      </c>
      <c r="Z1204" s="23">
        <v>11100002</v>
      </c>
      <c r="AA1204" s="23">
        <v>3901</v>
      </c>
      <c r="AB1204" s="24">
        <v>46050</v>
      </c>
    </row>
    <row r="1205" spans="2:28" x14ac:dyDescent="0.2">
      <c r="B1205" s="23" t="s">
        <v>81</v>
      </c>
      <c r="C1205" s="23">
        <v>1100575213</v>
      </c>
      <c r="H1205" s="24">
        <v>47118</v>
      </c>
      <c r="O1205" s="23">
        <v>61837.02</v>
      </c>
      <c r="P1205" s="23" t="s">
        <v>79</v>
      </c>
    </row>
    <row r="1206" spans="2:28" x14ac:dyDescent="0.2">
      <c r="C1206" s="23">
        <v>1100577428</v>
      </c>
      <c r="E1206" s="23">
        <v>10</v>
      </c>
      <c r="F1206" s="23" t="s">
        <v>87</v>
      </c>
      <c r="G1206" s="23" t="s">
        <v>2654</v>
      </c>
      <c r="H1206" s="24">
        <v>47118</v>
      </c>
      <c r="I1206" s="24">
        <v>47118</v>
      </c>
      <c r="J1206" s="23" t="s">
        <v>2655</v>
      </c>
      <c r="K1206" s="23" t="s">
        <v>2655</v>
      </c>
      <c r="L1206" s="23">
        <v>1</v>
      </c>
      <c r="M1206" s="23" t="s">
        <v>78</v>
      </c>
      <c r="N1206" s="23" t="s">
        <v>78</v>
      </c>
      <c r="O1206" s="23">
        <v>25795</v>
      </c>
      <c r="P1206" s="23" t="s">
        <v>79</v>
      </c>
      <c r="Q1206" s="23" t="s">
        <v>83</v>
      </c>
      <c r="R1206" s="23">
        <v>11100189</v>
      </c>
      <c r="S1206" s="24" t="s">
        <v>80</v>
      </c>
      <c r="T1206" s="24">
        <v>46073</v>
      </c>
      <c r="U1206" s="24" t="s">
        <v>80</v>
      </c>
      <c r="X1206" s="24" t="s">
        <v>80</v>
      </c>
      <c r="Y1206" s="23">
        <v>1111</v>
      </c>
      <c r="Z1206" s="23">
        <v>11100303</v>
      </c>
      <c r="AA1206" s="23">
        <v>514903</v>
      </c>
      <c r="AB1206" s="24" t="s">
        <v>80</v>
      </c>
    </row>
    <row r="1207" spans="2:28" x14ac:dyDescent="0.2">
      <c r="C1207" s="23">
        <v>1100577428</v>
      </c>
      <c r="E1207" s="23">
        <v>20</v>
      </c>
      <c r="F1207" s="23" t="s">
        <v>84</v>
      </c>
      <c r="G1207" s="23" t="s">
        <v>123</v>
      </c>
      <c r="H1207" s="24">
        <v>47118</v>
      </c>
      <c r="I1207" s="24">
        <v>47118</v>
      </c>
      <c r="J1207" s="23" t="s">
        <v>2655</v>
      </c>
      <c r="K1207" s="23" t="s">
        <v>2655</v>
      </c>
      <c r="L1207" s="23">
        <v>1</v>
      </c>
      <c r="M1207" s="23" t="s">
        <v>78</v>
      </c>
      <c r="N1207" s="23" t="s">
        <v>78</v>
      </c>
      <c r="O1207" s="23">
        <v>0.01</v>
      </c>
      <c r="P1207" s="23" t="s">
        <v>79</v>
      </c>
      <c r="Q1207" s="23" t="s">
        <v>83</v>
      </c>
      <c r="R1207" s="23">
        <v>11100189</v>
      </c>
      <c r="S1207" s="24" t="s">
        <v>80</v>
      </c>
      <c r="T1207" s="24">
        <v>46073</v>
      </c>
      <c r="U1207" s="24" t="s">
        <v>80</v>
      </c>
      <c r="X1207" s="24">
        <v>46010</v>
      </c>
      <c r="Y1207" s="23">
        <v>1111</v>
      </c>
      <c r="Z1207" s="23">
        <v>11100303</v>
      </c>
      <c r="AA1207" s="23">
        <v>514903</v>
      </c>
      <c r="AB1207" s="24">
        <v>46073</v>
      </c>
    </row>
    <row r="1208" spans="2:28" x14ac:dyDescent="0.2">
      <c r="C1208" s="23">
        <v>1100577428</v>
      </c>
      <c r="E1208" s="23">
        <v>30</v>
      </c>
      <c r="F1208" s="23" t="s">
        <v>82</v>
      </c>
      <c r="G1208" s="23" t="s">
        <v>139</v>
      </c>
      <c r="H1208" s="24">
        <v>47118</v>
      </c>
      <c r="I1208" s="24">
        <v>47118</v>
      </c>
      <c r="J1208" s="23" t="s">
        <v>2655</v>
      </c>
      <c r="K1208" s="23" t="s">
        <v>2655</v>
      </c>
      <c r="L1208" s="23">
        <v>1</v>
      </c>
      <c r="M1208" s="23" t="s">
        <v>78</v>
      </c>
      <c r="N1208" s="23" t="s">
        <v>78</v>
      </c>
      <c r="O1208" s="23">
        <v>0.01</v>
      </c>
      <c r="P1208" s="23" t="s">
        <v>79</v>
      </c>
      <c r="Q1208" s="23" t="s">
        <v>83</v>
      </c>
      <c r="R1208" s="23">
        <v>11100189</v>
      </c>
      <c r="S1208" s="24" t="s">
        <v>80</v>
      </c>
      <c r="T1208" s="24">
        <v>46073</v>
      </c>
      <c r="U1208" s="24" t="s">
        <v>80</v>
      </c>
      <c r="X1208" s="24">
        <v>46010</v>
      </c>
      <c r="Y1208" s="23">
        <v>1111</v>
      </c>
      <c r="Z1208" s="23">
        <v>11100303</v>
      </c>
      <c r="AA1208" s="23">
        <v>514903</v>
      </c>
      <c r="AB1208" s="24">
        <v>46073</v>
      </c>
    </row>
    <row r="1209" spans="2:28" x14ac:dyDescent="0.2">
      <c r="B1209" s="23" t="s">
        <v>81</v>
      </c>
      <c r="C1209" s="23">
        <v>1100577428</v>
      </c>
      <c r="H1209" s="24">
        <v>47118</v>
      </c>
      <c r="O1209" s="23">
        <v>25795.02</v>
      </c>
      <c r="P1209" s="23" t="s">
        <v>79</v>
      </c>
    </row>
    <row r="1210" spans="2:28" x14ac:dyDescent="0.2">
      <c r="C1210" s="23">
        <v>1100577660</v>
      </c>
      <c r="E1210" s="23">
        <v>10</v>
      </c>
      <c r="F1210" s="23" t="s">
        <v>87</v>
      </c>
      <c r="G1210" s="23" t="s">
        <v>1129</v>
      </c>
      <c r="H1210" s="24">
        <v>47118</v>
      </c>
      <c r="I1210" s="24">
        <v>47118</v>
      </c>
      <c r="J1210" s="23" t="s">
        <v>2656</v>
      </c>
      <c r="K1210" s="23" t="s">
        <v>2656</v>
      </c>
      <c r="L1210" s="23">
        <v>2</v>
      </c>
      <c r="M1210" s="23" t="s">
        <v>78</v>
      </c>
      <c r="N1210" s="23" t="s">
        <v>78</v>
      </c>
      <c r="O1210" s="23">
        <v>16800</v>
      </c>
      <c r="P1210" s="23" t="s">
        <v>79</v>
      </c>
      <c r="Q1210" s="23" t="s">
        <v>83</v>
      </c>
      <c r="R1210" s="23">
        <v>11100189</v>
      </c>
      <c r="S1210" s="24" t="s">
        <v>80</v>
      </c>
      <c r="T1210" s="24">
        <v>46076</v>
      </c>
      <c r="U1210" s="24">
        <v>47116</v>
      </c>
      <c r="X1210" s="24" t="s">
        <v>80</v>
      </c>
      <c r="Y1210" s="23">
        <v>1111</v>
      </c>
      <c r="Z1210" s="23">
        <v>11100303</v>
      </c>
      <c r="AA1210" s="23">
        <v>394903</v>
      </c>
      <c r="AB1210" s="24" t="s">
        <v>80</v>
      </c>
    </row>
    <row r="1211" spans="2:28" x14ac:dyDescent="0.2">
      <c r="C1211" s="23">
        <v>1100577660</v>
      </c>
      <c r="E1211" s="23">
        <v>70</v>
      </c>
      <c r="F1211" s="23" t="s">
        <v>84</v>
      </c>
      <c r="G1211" s="23" t="s">
        <v>123</v>
      </c>
      <c r="H1211" s="24">
        <v>47118</v>
      </c>
      <c r="I1211" s="24">
        <v>47118</v>
      </c>
      <c r="J1211" s="23" t="s">
        <v>2656</v>
      </c>
      <c r="K1211" s="23" t="s">
        <v>2656</v>
      </c>
      <c r="L1211" s="23">
        <v>1</v>
      </c>
      <c r="M1211" s="23" t="s">
        <v>78</v>
      </c>
      <c r="N1211" s="23" t="s">
        <v>78</v>
      </c>
      <c r="O1211" s="23">
        <v>0.01</v>
      </c>
      <c r="P1211" s="23" t="s">
        <v>79</v>
      </c>
      <c r="Q1211" s="23" t="s">
        <v>83</v>
      </c>
      <c r="R1211" s="23">
        <v>11100189</v>
      </c>
      <c r="S1211" s="24" t="s">
        <v>80</v>
      </c>
      <c r="T1211" s="24">
        <v>46076</v>
      </c>
      <c r="U1211" s="24">
        <v>47116</v>
      </c>
      <c r="X1211" s="24">
        <v>46002</v>
      </c>
      <c r="Y1211" s="23">
        <v>1111</v>
      </c>
      <c r="Z1211" s="23">
        <v>11100303</v>
      </c>
      <c r="AA1211" s="23">
        <v>394903</v>
      </c>
      <c r="AB1211" s="24">
        <v>46076</v>
      </c>
    </row>
    <row r="1212" spans="2:28" x14ac:dyDescent="0.2">
      <c r="C1212" s="23">
        <v>1100577660</v>
      </c>
      <c r="E1212" s="23">
        <v>90</v>
      </c>
      <c r="F1212" s="23" t="s">
        <v>82</v>
      </c>
      <c r="G1212" s="23" t="s">
        <v>139</v>
      </c>
      <c r="H1212" s="24">
        <v>47118</v>
      </c>
      <c r="I1212" s="24">
        <v>47118</v>
      </c>
      <c r="J1212" s="23" t="s">
        <v>2656</v>
      </c>
      <c r="K1212" s="23" t="s">
        <v>2656</v>
      </c>
      <c r="L1212" s="23">
        <v>1</v>
      </c>
      <c r="M1212" s="23" t="s">
        <v>78</v>
      </c>
      <c r="N1212" s="23" t="s">
        <v>78</v>
      </c>
      <c r="O1212" s="23">
        <v>0.01</v>
      </c>
      <c r="P1212" s="23" t="s">
        <v>79</v>
      </c>
      <c r="Q1212" s="23" t="s">
        <v>83</v>
      </c>
      <c r="R1212" s="23">
        <v>11100189</v>
      </c>
      <c r="S1212" s="24" t="s">
        <v>80</v>
      </c>
      <c r="T1212" s="24">
        <v>46076</v>
      </c>
      <c r="U1212" s="24">
        <v>47116</v>
      </c>
      <c r="X1212" s="24">
        <v>46002</v>
      </c>
      <c r="Y1212" s="23">
        <v>1111</v>
      </c>
      <c r="Z1212" s="23">
        <v>11100303</v>
      </c>
      <c r="AA1212" s="23">
        <v>394903</v>
      </c>
      <c r="AB1212" s="24">
        <v>46076</v>
      </c>
    </row>
    <row r="1213" spans="2:28" x14ac:dyDescent="0.2">
      <c r="B1213" s="23" t="s">
        <v>81</v>
      </c>
      <c r="C1213" s="23">
        <v>1100577660</v>
      </c>
      <c r="H1213" s="24">
        <v>47118</v>
      </c>
      <c r="O1213" s="23">
        <v>16800.02</v>
      </c>
      <c r="P1213" s="23" t="s">
        <v>79</v>
      </c>
    </row>
    <row r="1214" spans="2:28" x14ac:dyDescent="0.2">
      <c r="C1214" s="23">
        <v>1100577676</v>
      </c>
      <c r="E1214" s="23">
        <v>40</v>
      </c>
      <c r="F1214" s="23" t="s">
        <v>82</v>
      </c>
      <c r="G1214" s="23" t="s">
        <v>139</v>
      </c>
      <c r="H1214" s="24">
        <v>47118</v>
      </c>
      <c r="I1214" s="24">
        <v>47118</v>
      </c>
      <c r="J1214" s="23" t="s">
        <v>4230</v>
      </c>
      <c r="K1214" s="23" t="s">
        <v>4230</v>
      </c>
      <c r="L1214" s="23">
        <v>1</v>
      </c>
      <c r="M1214" s="23" t="s">
        <v>78</v>
      </c>
      <c r="N1214" s="23" t="s">
        <v>78</v>
      </c>
      <c r="O1214" s="23">
        <v>0.01</v>
      </c>
      <c r="P1214" s="23" t="s">
        <v>79</v>
      </c>
      <c r="Q1214" s="23" t="s">
        <v>83</v>
      </c>
      <c r="S1214" s="24" t="s">
        <v>80</v>
      </c>
      <c r="T1214" s="24">
        <v>46076</v>
      </c>
      <c r="U1214" s="24">
        <v>47483</v>
      </c>
      <c r="X1214" s="24">
        <v>46037</v>
      </c>
      <c r="Y1214" s="23">
        <v>1111</v>
      </c>
      <c r="Z1214" s="23">
        <v>11100305</v>
      </c>
      <c r="AA1214" s="23">
        <v>5049</v>
      </c>
      <c r="AB1214" s="24">
        <v>46076</v>
      </c>
    </row>
    <row r="1215" spans="2:28" x14ac:dyDescent="0.2">
      <c r="B1215" s="23" t="s">
        <v>81</v>
      </c>
      <c r="C1215" s="23">
        <v>1100577676</v>
      </c>
      <c r="H1215" s="24">
        <v>47118</v>
      </c>
      <c r="O1215" s="23">
        <v>0.01</v>
      </c>
      <c r="P1215" s="23" t="s">
        <v>79</v>
      </c>
    </row>
    <row r="1216" spans="2:28" x14ac:dyDescent="0.2">
      <c r="C1216" s="23">
        <v>1100578236</v>
      </c>
      <c r="E1216" s="23">
        <v>10</v>
      </c>
      <c r="F1216" s="23" t="s">
        <v>87</v>
      </c>
      <c r="G1216" s="23" t="s">
        <v>142</v>
      </c>
      <c r="H1216" s="24">
        <v>47118</v>
      </c>
      <c r="I1216" s="24">
        <v>47118</v>
      </c>
      <c r="J1216" s="23" t="s">
        <v>2657</v>
      </c>
      <c r="K1216" s="23" t="s">
        <v>2657</v>
      </c>
      <c r="L1216" s="23">
        <v>2</v>
      </c>
      <c r="M1216" s="23" t="s">
        <v>78</v>
      </c>
      <c r="N1216" s="23" t="s">
        <v>78</v>
      </c>
      <c r="O1216" s="23">
        <v>3602</v>
      </c>
      <c r="P1216" s="23" t="s">
        <v>79</v>
      </c>
      <c r="Q1216" s="23" t="s">
        <v>83</v>
      </c>
      <c r="S1216" s="24">
        <v>46129</v>
      </c>
      <c r="T1216" s="24">
        <v>46080</v>
      </c>
      <c r="U1216" s="24">
        <v>47116</v>
      </c>
      <c r="X1216" s="24">
        <v>46065</v>
      </c>
      <c r="Y1216" s="23">
        <v>1111</v>
      </c>
      <c r="Z1216" s="23">
        <v>11100002</v>
      </c>
      <c r="AA1216" s="23">
        <v>3901</v>
      </c>
      <c r="AB1216" s="24">
        <v>46080</v>
      </c>
    </row>
    <row r="1217" spans="2:28" x14ac:dyDescent="0.2">
      <c r="C1217" s="23">
        <v>1100578236</v>
      </c>
      <c r="E1217" s="23">
        <v>20</v>
      </c>
      <c r="F1217" s="23" t="s">
        <v>84</v>
      </c>
      <c r="G1217" s="23" t="s">
        <v>123</v>
      </c>
      <c r="H1217" s="24">
        <v>47118</v>
      </c>
      <c r="I1217" s="24">
        <v>47118</v>
      </c>
      <c r="J1217" s="23" t="s">
        <v>2657</v>
      </c>
      <c r="K1217" s="23" t="s">
        <v>2657</v>
      </c>
      <c r="L1217" s="23">
        <v>1</v>
      </c>
      <c r="M1217" s="23" t="s">
        <v>78</v>
      </c>
      <c r="N1217" s="23" t="s">
        <v>78</v>
      </c>
      <c r="O1217" s="23">
        <v>0.01</v>
      </c>
      <c r="P1217" s="23" t="s">
        <v>79</v>
      </c>
      <c r="Q1217" s="23" t="s">
        <v>83</v>
      </c>
      <c r="S1217" s="24" t="s">
        <v>80</v>
      </c>
      <c r="T1217" s="24">
        <v>46080</v>
      </c>
      <c r="U1217" s="24">
        <v>47116</v>
      </c>
      <c r="X1217" s="24">
        <v>46065</v>
      </c>
      <c r="Y1217" s="23">
        <v>1111</v>
      </c>
      <c r="Z1217" s="23">
        <v>11100002</v>
      </c>
      <c r="AA1217" s="23">
        <v>3901</v>
      </c>
      <c r="AB1217" s="24">
        <v>46080</v>
      </c>
    </row>
    <row r="1218" spans="2:28" x14ac:dyDescent="0.2">
      <c r="C1218" s="23">
        <v>1100578236</v>
      </c>
      <c r="E1218" s="23">
        <v>30</v>
      </c>
      <c r="F1218" s="23" t="s">
        <v>288</v>
      </c>
      <c r="G1218" s="23" t="s">
        <v>289</v>
      </c>
      <c r="H1218" s="24">
        <v>47118</v>
      </c>
      <c r="I1218" s="24">
        <v>47118</v>
      </c>
      <c r="J1218" s="23" t="s">
        <v>2657</v>
      </c>
      <c r="K1218" s="23" t="s">
        <v>2657</v>
      </c>
      <c r="L1218" s="23">
        <v>1</v>
      </c>
      <c r="M1218" s="23" t="s">
        <v>131</v>
      </c>
      <c r="N1218" s="23" t="s">
        <v>131</v>
      </c>
      <c r="O1218" s="23">
        <v>21000</v>
      </c>
      <c r="P1218" s="23" t="s">
        <v>79</v>
      </c>
      <c r="Q1218" s="23" t="s">
        <v>83</v>
      </c>
      <c r="S1218" s="24" t="s">
        <v>80</v>
      </c>
      <c r="T1218" s="24">
        <v>46080</v>
      </c>
      <c r="U1218" s="24">
        <v>47116</v>
      </c>
      <c r="X1218" s="24">
        <v>46065</v>
      </c>
      <c r="Y1218" s="23">
        <v>1111</v>
      </c>
      <c r="Z1218" s="23">
        <v>11100002</v>
      </c>
      <c r="AA1218" s="23">
        <v>3901</v>
      </c>
      <c r="AB1218" s="24">
        <v>46080</v>
      </c>
    </row>
    <row r="1219" spans="2:28" x14ac:dyDescent="0.2">
      <c r="B1219" s="23" t="s">
        <v>81</v>
      </c>
      <c r="C1219" s="23">
        <v>1100578236</v>
      </c>
      <c r="H1219" s="24">
        <v>47118</v>
      </c>
      <c r="O1219" s="23">
        <v>24602.01</v>
      </c>
      <c r="P1219" s="23" t="s">
        <v>79</v>
      </c>
    </row>
    <row r="1220" spans="2:28" x14ac:dyDescent="0.2">
      <c r="C1220" s="23">
        <v>1100578251</v>
      </c>
      <c r="E1220" s="23">
        <v>10</v>
      </c>
      <c r="F1220" s="23" t="s">
        <v>87</v>
      </c>
      <c r="G1220" s="23" t="s">
        <v>142</v>
      </c>
      <c r="H1220" s="24">
        <v>47118</v>
      </c>
      <c r="I1220" s="24">
        <v>47118</v>
      </c>
      <c r="J1220" s="23" t="s">
        <v>2658</v>
      </c>
      <c r="K1220" s="23" t="s">
        <v>2658</v>
      </c>
      <c r="L1220" s="23">
        <v>2</v>
      </c>
      <c r="M1220" s="23" t="s">
        <v>78</v>
      </c>
      <c r="N1220" s="23" t="s">
        <v>78</v>
      </c>
      <c r="O1220" s="23">
        <v>0.02</v>
      </c>
      <c r="P1220" s="23" t="s">
        <v>79</v>
      </c>
      <c r="Q1220" s="23" t="s">
        <v>83</v>
      </c>
      <c r="S1220" s="24">
        <v>46444</v>
      </c>
      <c r="T1220" s="24">
        <v>46080</v>
      </c>
      <c r="U1220" s="24">
        <v>47116</v>
      </c>
      <c r="X1220" s="24">
        <v>46038</v>
      </c>
      <c r="Y1220" s="23">
        <v>1111</v>
      </c>
      <c r="Z1220" s="23">
        <v>11100002</v>
      </c>
      <c r="AA1220" s="23">
        <v>3901</v>
      </c>
      <c r="AB1220" s="24">
        <v>46080</v>
      </c>
    </row>
    <row r="1221" spans="2:28" x14ac:dyDescent="0.2">
      <c r="C1221" s="23">
        <v>1100578251</v>
      </c>
      <c r="E1221" s="23">
        <v>20</v>
      </c>
      <c r="F1221" s="23" t="s">
        <v>87</v>
      </c>
      <c r="G1221" s="23" t="s">
        <v>142</v>
      </c>
      <c r="H1221" s="24">
        <v>47118</v>
      </c>
      <c r="I1221" s="24">
        <v>47118</v>
      </c>
      <c r="J1221" s="23" t="s">
        <v>2658</v>
      </c>
      <c r="K1221" s="23" t="s">
        <v>2658</v>
      </c>
      <c r="L1221" s="23">
        <v>2</v>
      </c>
      <c r="M1221" s="23" t="s">
        <v>78</v>
      </c>
      <c r="N1221" s="23" t="s">
        <v>78</v>
      </c>
      <c r="O1221" s="23">
        <v>0.02</v>
      </c>
      <c r="P1221" s="23" t="s">
        <v>79</v>
      </c>
      <c r="Q1221" s="23" t="s">
        <v>83</v>
      </c>
      <c r="S1221" s="24">
        <v>46444</v>
      </c>
      <c r="T1221" s="24">
        <v>46080</v>
      </c>
      <c r="U1221" s="24">
        <v>47116</v>
      </c>
      <c r="X1221" s="24">
        <v>46038</v>
      </c>
      <c r="Y1221" s="23">
        <v>1111</v>
      </c>
      <c r="Z1221" s="23">
        <v>11100002</v>
      </c>
      <c r="AA1221" s="23">
        <v>3901</v>
      </c>
      <c r="AB1221" s="24">
        <v>46080</v>
      </c>
    </row>
    <row r="1222" spans="2:28" x14ac:dyDescent="0.2">
      <c r="C1222" s="23">
        <v>1100578251</v>
      </c>
      <c r="E1222" s="23">
        <v>30</v>
      </c>
      <c r="F1222" s="23" t="s">
        <v>87</v>
      </c>
      <c r="G1222" s="23" t="s">
        <v>142</v>
      </c>
      <c r="H1222" s="24">
        <v>47118</v>
      </c>
      <c r="I1222" s="24">
        <v>47118</v>
      </c>
      <c r="J1222" s="23" t="s">
        <v>2658</v>
      </c>
      <c r="K1222" s="23" t="s">
        <v>2658</v>
      </c>
      <c r="L1222" s="23">
        <v>2</v>
      </c>
      <c r="M1222" s="23" t="s">
        <v>78</v>
      </c>
      <c r="N1222" s="23" t="s">
        <v>78</v>
      </c>
      <c r="O1222" s="23">
        <v>683580</v>
      </c>
      <c r="P1222" s="23" t="s">
        <v>79</v>
      </c>
      <c r="Q1222" s="23" t="s">
        <v>83</v>
      </c>
      <c r="S1222" s="24">
        <v>46444</v>
      </c>
      <c r="T1222" s="24">
        <v>46080</v>
      </c>
      <c r="U1222" s="24">
        <v>47116</v>
      </c>
      <c r="X1222" s="24">
        <v>46038</v>
      </c>
      <c r="Y1222" s="23">
        <v>1111</v>
      </c>
      <c r="Z1222" s="23">
        <v>11100002</v>
      </c>
      <c r="AA1222" s="23">
        <v>3901</v>
      </c>
      <c r="AB1222" s="24">
        <v>46080</v>
      </c>
    </row>
    <row r="1223" spans="2:28" x14ac:dyDescent="0.2">
      <c r="C1223" s="23">
        <v>1100578251</v>
      </c>
      <c r="E1223" s="23">
        <v>40</v>
      </c>
      <c r="F1223" s="23" t="s">
        <v>87</v>
      </c>
      <c r="G1223" s="23" t="s">
        <v>142</v>
      </c>
      <c r="H1223" s="24">
        <v>47118</v>
      </c>
      <c r="I1223" s="24">
        <v>47118</v>
      </c>
      <c r="J1223" s="23" t="s">
        <v>2658</v>
      </c>
      <c r="K1223" s="23" t="s">
        <v>2658</v>
      </c>
      <c r="L1223" s="23">
        <v>2</v>
      </c>
      <c r="M1223" s="23" t="s">
        <v>78</v>
      </c>
      <c r="N1223" s="23" t="s">
        <v>78</v>
      </c>
      <c r="O1223" s="23">
        <v>0.02</v>
      </c>
      <c r="P1223" s="23" t="s">
        <v>79</v>
      </c>
      <c r="Q1223" s="23" t="s">
        <v>83</v>
      </c>
      <c r="S1223" s="24">
        <v>46444</v>
      </c>
      <c r="T1223" s="24">
        <v>46080</v>
      </c>
      <c r="U1223" s="24">
        <v>47116</v>
      </c>
      <c r="X1223" s="24">
        <v>46038</v>
      </c>
      <c r="Y1223" s="23">
        <v>1111</v>
      </c>
      <c r="Z1223" s="23">
        <v>11100002</v>
      </c>
      <c r="AA1223" s="23">
        <v>3901</v>
      </c>
      <c r="AB1223" s="24">
        <v>46080</v>
      </c>
    </row>
    <row r="1224" spans="2:28" x14ac:dyDescent="0.2">
      <c r="C1224" s="23">
        <v>1100578251</v>
      </c>
      <c r="E1224" s="23">
        <v>50</v>
      </c>
      <c r="F1224" s="23" t="s">
        <v>87</v>
      </c>
      <c r="G1224" s="23" t="s">
        <v>142</v>
      </c>
      <c r="H1224" s="24">
        <v>47118</v>
      </c>
      <c r="I1224" s="24">
        <v>47118</v>
      </c>
      <c r="J1224" s="23" t="s">
        <v>2658</v>
      </c>
      <c r="K1224" s="23" t="s">
        <v>2658</v>
      </c>
      <c r="L1224" s="23">
        <v>2</v>
      </c>
      <c r="M1224" s="23" t="s">
        <v>78</v>
      </c>
      <c r="N1224" s="23" t="s">
        <v>78</v>
      </c>
      <c r="O1224" s="23">
        <v>0.02</v>
      </c>
      <c r="P1224" s="23" t="s">
        <v>79</v>
      </c>
      <c r="Q1224" s="23" t="s">
        <v>83</v>
      </c>
      <c r="S1224" s="24">
        <v>46444</v>
      </c>
      <c r="T1224" s="24">
        <v>46080</v>
      </c>
      <c r="U1224" s="24">
        <v>47116</v>
      </c>
      <c r="X1224" s="24">
        <v>46038</v>
      </c>
      <c r="Y1224" s="23">
        <v>1111</v>
      </c>
      <c r="Z1224" s="23">
        <v>11100002</v>
      </c>
      <c r="AA1224" s="23">
        <v>3901</v>
      </c>
      <c r="AB1224" s="24">
        <v>46080</v>
      </c>
    </row>
    <row r="1225" spans="2:28" x14ac:dyDescent="0.2">
      <c r="C1225" s="23">
        <v>1100578251</v>
      </c>
      <c r="E1225" s="23">
        <v>60</v>
      </c>
      <c r="F1225" s="23" t="s">
        <v>87</v>
      </c>
      <c r="G1225" s="23" t="s">
        <v>142</v>
      </c>
      <c r="H1225" s="24">
        <v>47118</v>
      </c>
      <c r="I1225" s="24">
        <v>47118</v>
      </c>
      <c r="J1225" s="23" t="s">
        <v>2658</v>
      </c>
      <c r="K1225" s="23" t="s">
        <v>2658</v>
      </c>
      <c r="L1225" s="23">
        <v>1</v>
      </c>
      <c r="M1225" s="23" t="s">
        <v>78</v>
      </c>
      <c r="N1225" s="23" t="s">
        <v>78</v>
      </c>
      <c r="O1225" s="23">
        <v>76832</v>
      </c>
      <c r="P1225" s="23" t="s">
        <v>79</v>
      </c>
      <c r="Q1225" s="23" t="s">
        <v>83</v>
      </c>
      <c r="S1225" s="24">
        <v>46444</v>
      </c>
      <c r="T1225" s="24">
        <v>46080</v>
      </c>
      <c r="U1225" s="24">
        <v>47116</v>
      </c>
      <c r="X1225" s="24">
        <v>46038</v>
      </c>
      <c r="Y1225" s="23">
        <v>1111</v>
      </c>
      <c r="Z1225" s="23">
        <v>11100002</v>
      </c>
      <c r="AA1225" s="23">
        <v>3901</v>
      </c>
      <c r="AB1225" s="24">
        <v>46080</v>
      </c>
    </row>
    <row r="1226" spans="2:28" x14ac:dyDescent="0.2">
      <c r="C1226" s="23">
        <v>1100578251</v>
      </c>
      <c r="E1226" s="23">
        <v>70</v>
      </c>
      <c r="F1226" s="23" t="s">
        <v>288</v>
      </c>
      <c r="G1226" s="23" t="s">
        <v>289</v>
      </c>
      <c r="H1226" s="24">
        <v>47118</v>
      </c>
      <c r="I1226" s="24">
        <v>47118</v>
      </c>
      <c r="J1226" s="23" t="s">
        <v>2658</v>
      </c>
      <c r="K1226" s="23" t="s">
        <v>2658</v>
      </c>
      <c r="L1226" s="23">
        <v>1</v>
      </c>
      <c r="M1226" s="23" t="s">
        <v>131</v>
      </c>
      <c r="N1226" s="23" t="s">
        <v>131</v>
      </c>
      <c r="O1226" s="23">
        <v>0.01</v>
      </c>
      <c r="P1226" s="23" t="s">
        <v>79</v>
      </c>
      <c r="Q1226" s="23" t="s">
        <v>83</v>
      </c>
      <c r="S1226" s="24">
        <v>46444</v>
      </c>
      <c r="T1226" s="24">
        <v>46080</v>
      </c>
      <c r="U1226" s="24">
        <v>47116</v>
      </c>
      <c r="X1226" s="24">
        <v>46038</v>
      </c>
      <c r="Y1226" s="23">
        <v>1111</v>
      </c>
      <c r="Z1226" s="23">
        <v>11100002</v>
      </c>
      <c r="AA1226" s="23">
        <v>3901</v>
      </c>
      <c r="AB1226" s="24">
        <v>46080</v>
      </c>
    </row>
    <row r="1227" spans="2:28" x14ac:dyDescent="0.2">
      <c r="C1227" s="23">
        <v>1100578251</v>
      </c>
      <c r="E1227" s="23">
        <v>80</v>
      </c>
      <c r="F1227" s="23" t="s">
        <v>84</v>
      </c>
      <c r="G1227" s="23" t="s">
        <v>123</v>
      </c>
      <c r="H1227" s="24">
        <v>47118</v>
      </c>
      <c r="I1227" s="24">
        <v>47118</v>
      </c>
      <c r="J1227" s="23" t="s">
        <v>2658</v>
      </c>
      <c r="K1227" s="23" t="s">
        <v>2658</v>
      </c>
      <c r="L1227" s="23">
        <v>1</v>
      </c>
      <c r="M1227" s="23" t="s">
        <v>78</v>
      </c>
      <c r="N1227" s="23" t="s">
        <v>78</v>
      </c>
      <c r="O1227" s="23">
        <v>0.01</v>
      </c>
      <c r="P1227" s="23" t="s">
        <v>79</v>
      </c>
      <c r="Q1227" s="23" t="s">
        <v>83</v>
      </c>
      <c r="S1227" s="24">
        <v>46444</v>
      </c>
      <c r="T1227" s="24">
        <v>46080</v>
      </c>
      <c r="U1227" s="24">
        <v>47116</v>
      </c>
      <c r="X1227" s="24">
        <v>46038</v>
      </c>
      <c r="Y1227" s="23">
        <v>1111</v>
      </c>
      <c r="Z1227" s="23">
        <v>11100002</v>
      </c>
      <c r="AA1227" s="23">
        <v>3901</v>
      </c>
      <c r="AB1227" s="24">
        <v>46080</v>
      </c>
    </row>
    <row r="1228" spans="2:28" x14ac:dyDescent="0.2">
      <c r="B1228" s="23" t="s">
        <v>81</v>
      </c>
      <c r="C1228" s="23">
        <v>1100578251</v>
      </c>
      <c r="H1228" s="24">
        <v>47118</v>
      </c>
      <c r="O1228" s="23">
        <v>760412.1</v>
      </c>
      <c r="P1228" s="23" t="s">
        <v>79</v>
      </c>
    </row>
    <row r="1229" spans="2:28" x14ac:dyDescent="0.2">
      <c r="C1229" s="23">
        <v>1100578279</v>
      </c>
      <c r="E1229" s="23">
        <v>50</v>
      </c>
      <c r="F1229" s="23" t="s">
        <v>87</v>
      </c>
      <c r="G1229" s="23" t="s">
        <v>142</v>
      </c>
      <c r="H1229" s="24">
        <v>47118</v>
      </c>
      <c r="I1229" s="24">
        <v>47118</v>
      </c>
      <c r="J1229" s="23" t="s">
        <v>1433</v>
      </c>
      <c r="K1229" s="23" t="s">
        <v>1433</v>
      </c>
      <c r="L1229" s="23">
        <v>1</v>
      </c>
      <c r="M1229" s="23" t="s">
        <v>78</v>
      </c>
      <c r="N1229" s="23" t="s">
        <v>78</v>
      </c>
      <c r="O1229" s="23">
        <v>16829</v>
      </c>
      <c r="P1229" s="23" t="s">
        <v>79</v>
      </c>
      <c r="Q1229" s="23" t="s">
        <v>83</v>
      </c>
      <c r="S1229" s="24">
        <v>46239</v>
      </c>
      <c r="T1229" s="24">
        <v>46080</v>
      </c>
      <c r="U1229" s="24">
        <v>47116</v>
      </c>
      <c r="X1229" s="24">
        <v>46077</v>
      </c>
      <c r="Y1229" s="23">
        <v>1111</v>
      </c>
      <c r="Z1229" s="23">
        <v>11100002</v>
      </c>
      <c r="AA1229" s="23">
        <v>320103</v>
      </c>
      <c r="AB1229" s="24">
        <v>46080</v>
      </c>
    </row>
    <row r="1230" spans="2:28" x14ac:dyDescent="0.2">
      <c r="C1230" s="23">
        <v>1100578279</v>
      </c>
      <c r="E1230" s="23">
        <v>51</v>
      </c>
      <c r="F1230" s="23" t="s">
        <v>87</v>
      </c>
      <c r="G1230" s="23" t="s">
        <v>142</v>
      </c>
      <c r="H1230" s="24">
        <v>47118</v>
      </c>
      <c r="I1230" s="24">
        <v>47118</v>
      </c>
      <c r="J1230" s="23" t="s">
        <v>1433</v>
      </c>
      <c r="K1230" s="23" t="s">
        <v>1433</v>
      </c>
      <c r="L1230" s="23">
        <v>1</v>
      </c>
      <c r="M1230" s="23" t="s">
        <v>78</v>
      </c>
      <c r="N1230" s="23" t="s">
        <v>78</v>
      </c>
      <c r="O1230" s="23">
        <v>16829</v>
      </c>
      <c r="P1230" s="23" t="s">
        <v>79</v>
      </c>
      <c r="Q1230" s="23" t="s">
        <v>83</v>
      </c>
      <c r="S1230" s="24">
        <v>46239</v>
      </c>
      <c r="T1230" s="24">
        <v>46080</v>
      </c>
      <c r="U1230" s="24">
        <v>47116</v>
      </c>
      <c r="X1230" s="24">
        <v>46077</v>
      </c>
      <c r="Y1230" s="23">
        <v>1111</v>
      </c>
      <c r="Z1230" s="23">
        <v>11100002</v>
      </c>
      <c r="AA1230" s="23">
        <v>320103</v>
      </c>
      <c r="AB1230" s="24">
        <v>46080</v>
      </c>
    </row>
    <row r="1231" spans="2:28" x14ac:dyDescent="0.2">
      <c r="C1231" s="23">
        <v>1100578279</v>
      </c>
      <c r="E1231" s="23">
        <v>52</v>
      </c>
      <c r="F1231" s="23" t="s">
        <v>87</v>
      </c>
      <c r="G1231" s="23" t="s">
        <v>142</v>
      </c>
      <c r="H1231" s="24">
        <v>47118</v>
      </c>
      <c r="I1231" s="24">
        <v>47118</v>
      </c>
      <c r="J1231" s="23" t="s">
        <v>1433</v>
      </c>
      <c r="K1231" s="23" t="s">
        <v>1433</v>
      </c>
      <c r="L1231" s="23">
        <v>1</v>
      </c>
      <c r="M1231" s="23" t="s">
        <v>78</v>
      </c>
      <c r="N1231" s="23" t="s">
        <v>78</v>
      </c>
      <c r="O1231" s="23">
        <v>16829</v>
      </c>
      <c r="P1231" s="23" t="s">
        <v>79</v>
      </c>
      <c r="Q1231" s="23" t="s">
        <v>83</v>
      </c>
      <c r="S1231" s="24">
        <v>46239</v>
      </c>
      <c r="T1231" s="24">
        <v>46080</v>
      </c>
      <c r="U1231" s="24">
        <v>47116</v>
      </c>
      <c r="X1231" s="24">
        <v>46077</v>
      </c>
      <c r="Y1231" s="23">
        <v>1111</v>
      </c>
      <c r="Z1231" s="23">
        <v>11100002</v>
      </c>
      <c r="AA1231" s="23">
        <v>320103</v>
      </c>
      <c r="AB1231" s="24">
        <v>46080</v>
      </c>
    </row>
    <row r="1232" spans="2:28" x14ac:dyDescent="0.2">
      <c r="C1232" s="23">
        <v>1100578279</v>
      </c>
      <c r="E1232" s="23">
        <v>53</v>
      </c>
      <c r="F1232" s="23" t="s">
        <v>87</v>
      </c>
      <c r="G1232" s="23" t="s">
        <v>142</v>
      </c>
      <c r="H1232" s="24">
        <v>47118</v>
      </c>
      <c r="I1232" s="24">
        <v>47118</v>
      </c>
      <c r="J1232" s="23" t="s">
        <v>1433</v>
      </c>
      <c r="K1232" s="23" t="s">
        <v>1433</v>
      </c>
      <c r="L1232" s="23">
        <v>1</v>
      </c>
      <c r="M1232" s="23" t="s">
        <v>78</v>
      </c>
      <c r="N1232" s="23" t="s">
        <v>78</v>
      </c>
      <c r="O1232" s="23">
        <v>16829</v>
      </c>
      <c r="P1232" s="23" t="s">
        <v>79</v>
      </c>
      <c r="Q1232" s="23" t="s">
        <v>83</v>
      </c>
      <c r="S1232" s="24">
        <v>46239</v>
      </c>
      <c r="T1232" s="24">
        <v>46080</v>
      </c>
      <c r="U1232" s="24">
        <v>47116</v>
      </c>
      <c r="X1232" s="24">
        <v>46077</v>
      </c>
      <c r="Y1232" s="23">
        <v>1111</v>
      </c>
      <c r="Z1232" s="23">
        <v>11100002</v>
      </c>
      <c r="AA1232" s="23">
        <v>320103</v>
      </c>
      <c r="AB1232" s="24">
        <v>46080</v>
      </c>
    </row>
    <row r="1233" spans="2:28" x14ac:dyDescent="0.2">
      <c r="C1233" s="23">
        <v>1100578279</v>
      </c>
      <c r="E1233" s="23">
        <v>54</v>
      </c>
      <c r="F1233" s="23" t="s">
        <v>87</v>
      </c>
      <c r="G1233" s="23" t="s">
        <v>142</v>
      </c>
      <c r="H1233" s="24">
        <v>47118</v>
      </c>
      <c r="I1233" s="24">
        <v>47118</v>
      </c>
      <c r="J1233" s="23" t="s">
        <v>1433</v>
      </c>
      <c r="K1233" s="23" t="s">
        <v>1433</v>
      </c>
      <c r="L1233" s="23">
        <v>1</v>
      </c>
      <c r="M1233" s="23" t="s">
        <v>78</v>
      </c>
      <c r="N1233" s="23" t="s">
        <v>78</v>
      </c>
      <c r="O1233" s="23">
        <v>16829</v>
      </c>
      <c r="P1233" s="23" t="s">
        <v>79</v>
      </c>
      <c r="Q1233" s="23" t="s">
        <v>83</v>
      </c>
      <c r="S1233" s="24">
        <v>46239</v>
      </c>
      <c r="T1233" s="24">
        <v>46080</v>
      </c>
      <c r="U1233" s="24">
        <v>47116</v>
      </c>
      <c r="X1233" s="24">
        <v>46077</v>
      </c>
      <c r="Y1233" s="23">
        <v>1111</v>
      </c>
      <c r="Z1233" s="23">
        <v>11100002</v>
      </c>
      <c r="AA1233" s="23">
        <v>320103</v>
      </c>
      <c r="AB1233" s="24">
        <v>46080</v>
      </c>
    </row>
    <row r="1234" spans="2:28" x14ac:dyDescent="0.2">
      <c r="C1234" s="23">
        <v>1100578279</v>
      </c>
      <c r="E1234" s="23">
        <v>55</v>
      </c>
      <c r="F1234" s="23" t="s">
        <v>87</v>
      </c>
      <c r="G1234" s="23" t="s">
        <v>142</v>
      </c>
      <c r="H1234" s="24">
        <v>47118</v>
      </c>
      <c r="I1234" s="24">
        <v>47118</v>
      </c>
      <c r="J1234" s="23" t="s">
        <v>1433</v>
      </c>
      <c r="K1234" s="23" t="s">
        <v>1433</v>
      </c>
      <c r="L1234" s="23">
        <v>1</v>
      </c>
      <c r="M1234" s="23" t="s">
        <v>78</v>
      </c>
      <c r="N1234" s="23" t="s">
        <v>78</v>
      </c>
      <c r="O1234" s="23">
        <v>16829</v>
      </c>
      <c r="P1234" s="23" t="s">
        <v>79</v>
      </c>
      <c r="Q1234" s="23" t="s">
        <v>83</v>
      </c>
      <c r="S1234" s="24">
        <v>46239</v>
      </c>
      <c r="T1234" s="24">
        <v>46080</v>
      </c>
      <c r="U1234" s="24">
        <v>47116</v>
      </c>
      <c r="X1234" s="24">
        <v>46077</v>
      </c>
      <c r="Y1234" s="23">
        <v>1111</v>
      </c>
      <c r="Z1234" s="23">
        <v>11100002</v>
      </c>
      <c r="AA1234" s="23">
        <v>320103</v>
      </c>
      <c r="AB1234" s="24">
        <v>46080</v>
      </c>
    </row>
    <row r="1235" spans="2:28" x14ac:dyDescent="0.2">
      <c r="C1235" s="23">
        <v>1100578279</v>
      </c>
      <c r="E1235" s="23">
        <v>56</v>
      </c>
      <c r="F1235" s="23" t="s">
        <v>87</v>
      </c>
      <c r="G1235" s="23" t="s">
        <v>142</v>
      </c>
      <c r="H1235" s="24">
        <v>47118</v>
      </c>
      <c r="I1235" s="24">
        <v>47118</v>
      </c>
      <c r="J1235" s="23" t="s">
        <v>1433</v>
      </c>
      <c r="K1235" s="23" t="s">
        <v>1433</v>
      </c>
      <c r="L1235" s="23">
        <v>1</v>
      </c>
      <c r="M1235" s="23" t="s">
        <v>78</v>
      </c>
      <c r="N1235" s="23" t="s">
        <v>78</v>
      </c>
      <c r="O1235" s="23">
        <v>16829</v>
      </c>
      <c r="P1235" s="23" t="s">
        <v>79</v>
      </c>
      <c r="Q1235" s="23" t="s">
        <v>83</v>
      </c>
      <c r="S1235" s="24">
        <v>46239</v>
      </c>
      <c r="T1235" s="24">
        <v>46080</v>
      </c>
      <c r="U1235" s="24">
        <v>47116</v>
      </c>
      <c r="X1235" s="24">
        <v>46077</v>
      </c>
      <c r="Y1235" s="23">
        <v>1111</v>
      </c>
      <c r="Z1235" s="23">
        <v>11100002</v>
      </c>
      <c r="AA1235" s="23">
        <v>320103</v>
      </c>
      <c r="AB1235" s="24">
        <v>46080</v>
      </c>
    </row>
    <row r="1236" spans="2:28" x14ac:dyDescent="0.2">
      <c r="C1236" s="23">
        <v>1100578279</v>
      </c>
      <c r="E1236" s="23">
        <v>210</v>
      </c>
      <c r="F1236" s="23" t="s">
        <v>84</v>
      </c>
      <c r="G1236" s="23" t="s">
        <v>123</v>
      </c>
      <c r="H1236" s="24">
        <v>47118</v>
      </c>
      <c r="I1236" s="24">
        <v>47118</v>
      </c>
      <c r="J1236" s="23" t="s">
        <v>1433</v>
      </c>
      <c r="K1236" s="23" t="s">
        <v>1433</v>
      </c>
      <c r="L1236" s="23">
        <v>1</v>
      </c>
      <c r="M1236" s="23" t="s">
        <v>78</v>
      </c>
      <c r="N1236" s="23" t="s">
        <v>78</v>
      </c>
      <c r="O1236" s="23">
        <v>0.01</v>
      </c>
      <c r="P1236" s="23" t="s">
        <v>79</v>
      </c>
      <c r="Q1236" s="23" t="s">
        <v>83</v>
      </c>
      <c r="S1236" s="24">
        <v>46239</v>
      </c>
      <c r="T1236" s="24">
        <v>46080</v>
      </c>
      <c r="U1236" s="24">
        <v>47116</v>
      </c>
      <c r="X1236" s="24">
        <v>46077</v>
      </c>
      <c r="Y1236" s="23">
        <v>1111</v>
      </c>
      <c r="Z1236" s="23">
        <v>11100002</v>
      </c>
      <c r="AA1236" s="23">
        <v>3261</v>
      </c>
      <c r="AB1236" s="24">
        <v>46080</v>
      </c>
    </row>
    <row r="1237" spans="2:28" x14ac:dyDescent="0.2">
      <c r="B1237" s="23" t="s">
        <v>81</v>
      </c>
      <c r="C1237" s="23">
        <v>1100578279</v>
      </c>
      <c r="H1237" s="24">
        <v>47118</v>
      </c>
      <c r="O1237" s="23">
        <v>117803.01</v>
      </c>
      <c r="P1237" s="23" t="s">
        <v>79</v>
      </c>
    </row>
    <row r="1238" spans="2:28" x14ac:dyDescent="0.2">
      <c r="C1238" s="23">
        <v>1100578571</v>
      </c>
      <c r="E1238" s="23">
        <v>30</v>
      </c>
      <c r="F1238" s="23" t="s">
        <v>82</v>
      </c>
      <c r="G1238" s="23" t="s">
        <v>139</v>
      </c>
      <c r="H1238" s="24">
        <v>47118</v>
      </c>
      <c r="I1238" s="24">
        <v>47118</v>
      </c>
      <c r="J1238" s="23" t="s">
        <v>2659</v>
      </c>
      <c r="K1238" s="23" t="s">
        <v>2659</v>
      </c>
      <c r="L1238" s="23">
        <v>1</v>
      </c>
      <c r="M1238" s="23" t="s">
        <v>78</v>
      </c>
      <c r="N1238" s="23" t="s">
        <v>78</v>
      </c>
      <c r="O1238" s="23">
        <v>0.01</v>
      </c>
      <c r="P1238" s="23" t="s">
        <v>79</v>
      </c>
      <c r="Q1238" s="23" t="s">
        <v>83</v>
      </c>
      <c r="S1238" s="24" t="s">
        <v>80</v>
      </c>
      <c r="T1238" s="24">
        <v>46084</v>
      </c>
      <c r="U1238" s="24" t="s">
        <v>80</v>
      </c>
      <c r="X1238" s="24">
        <v>46076</v>
      </c>
      <c r="Y1238" s="23">
        <v>1111</v>
      </c>
      <c r="Z1238" s="23">
        <v>11100305</v>
      </c>
      <c r="AA1238" s="23">
        <v>3949</v>
      </c>
      <c r="AB1238" s="24">
        <v>46084</v>
      </c>
    </row>
    <row r="1239" spans="2:28" x14ac:dyDescent="0.2">
      <c r="B1239" s="23" t="s">
        <v>81</v>
      </c>
      <c r="C1239" s="23">
        <v>1100578571</v>
      </c>
      <c r="H1239" s="24">
        <v>47118</v>
      </c>
      <c r="O1239" s="23">
        <v>0.01</v>
      </c>
      <c r="P1239" s="23" t="s">
        <v>79</v>
      </c>
    </row>
    <row r="1240" spans="2:28" x14ac:dyDescent="0.2">
      <c r="C1240" s="23">
        <v>1100578649</v>
      </c>
      <c r="E1240" s="23">
        <v>10</v>
      </c>
      <c r="F1240" s="23" t="s">
        <v>87</v>
      </c>
      <c r="G1240" s="23" t="s">
        <v>142</v>
      </c>
      <c r="H1240" s="24">
        <v>47118</v>
      </c>
      <c r="I1240" s="24">
        <v>47118</v>
      </c>
      <c r="J1240" s="23" t="s">
        <v>168</v>
      </c>
      <c r="K1240" s="23" t="s">
        <v>168</v>
      </c>
      <c r="L1240" s="23">
        <v>1</v>
      </c>
      <c r="M1240" s="23" t="s">
        <v>78</v>
      </c>
      <c r="N1240" s="23" t="s">
        <v>78</v>
      </c>
      <c r="O1240" s="23">
        <v>32311</v>
      </c>
      <c r="P1240" s="23" t="s">
        <v>79</v>
      </c>
      <c r="Q1240" s="23" t="s">
        <v>83</v>
      </c>
      <c r="S1240" s="24">
        <v>46143</v>
      </c>
      <c r="T1240" s="24">
        <v>46085</v>
      </c>
      <c r="U1240" s="24" t="s">
        <v>80</v>
      </c>
      <c r="X1240" s="24">
        <v>46076</v>
      </c>
      <c r="Y1240" s="23">
        <v>1111</v>
      </c>
      <c r="Z1240" s="23">
        <v>11100002</v>
      </c>
      <c r="AA1240" s="23">
        <v>520103</v>
      </c>
      <c r="AB1240" s="24">
        <v>46085</v>
      </c>
    </row>
    <row r="1241" spans="2:28" x14ac:dyDescent="0.2">
      <c r="C1241" s="23">
        <v>1100578649</v>
      </c>
      <c r="E1241" s="23">
        <v>20</v>
      </c>
      <c r="F1241" s="23" t="s">
        <v>87</v>
      </c>
      <c r="G1241" s="23" t="s">
        <v>142</v>
      </c>
      <c r="H1241" s="24">
        <v>47118</v>
      </c>
      <c r="I1241" s="24">
        <v>47118</v>
      </c>
      <c r="J1241" s="23" t="s">
        <v>168</v>
      </c>
      <c r="K1241" s="23" t="s">
        <v>168</v>
      </c>
      <c r="L1241" s="23">
        <v>1</v>
      </c>
      <c r="M1241" s="23" t="s">
        <v>78</v>
      </c>
      <c r="N1241" s="23" t="s">
        <v>78</v>
      </c>
      <c r="O1241" s="23">
        <v>36569</v>
      </c>
      <c r="P1241" s="23" t="s">
        <v>79</v>
      </c>
      <c r="Q1241" s="23" t="s">
        <v>83</v>
      </c>
      <c r="S1241" s="24">
        <v>46143</v>
      </c>
      <c r="T1241" s="24">
        <v>46085</v>
      </c>
      <c r="U1241" s="24" t="s">
        <v>80</v>
      </c>
      <c r="X1241" s="24">
        <v>46076</v>
      </c>
      <c r="Y1241" s="23">
        <v>1111</v>
      </c>
      <c r="Z1241" s="23">
        <v>11100002</v>
      </c>
      <c r="AA1241" s="23">
        <v>520103</v>
      </c>
      <c r="AB1241" s="24">
        <v>46085</v>
      </c>
    </row>
    <row r="1242" spans="2:28" x14ac:dyDescent="0.2">
      <c r="C1242" s="23">
        <v>1100578649</v>
      </c>
      <c r="E1242" s="23">
        <v>30</v>
      </c>
      <c r="F1242" s="23" t="s">
        <v>84</v>
      </c>
      <c r="G1242" s="23" t="s">
        <v>123</v>
      </c>
      <c r="H1242" s="24">
        <v>47118</v>
      </c>
      <c r="I1242" s="24">
        <v>47118</v>
      </c>
      <c r="J1242" s="23" t="s">
        <v>168</v>
      </c>
      <c r="K1242" s="23" t="s">
        <v>168</v>
      </c>
      <c r="L1242" s="23">
        <v>1</v>
      </c>
      <c r="M1242" s="23" t="s">
        <v>78</v>
      </c>
      <c r="N1242" s="23" t="s">
        <v>78</v>
      </c>
      <c r="O1242" s="23">
        <v>0.01</v>
      </c>
      <c r="P1242" s="23" t="s">
        <v>79</v>
      </c>
      <c r="Q1242" s="23" t="s">
        <v>83</v>
      </c>
      <c r="S1242" s="24" t="s">
        <v>80</v>
      </c>
      <c r="T1242" s="24">
        <v>46085</v>
      </c>
      <c r="U1242" s="24" t="s">
        <v>80</v>
      </c>
      <c r="X1242" s="24">
        <v>46076</v>
      </c>
      <c r="Y1242" s="23">
        <v>1111</v>
      </c>
      <c r="Z1242" s="23">
        <v>11100002</v>
      </c>
      <c r="AA1242" s="23">
        <v>520103</v>
      </c>
      <c r="AB1242" s="24">
        <v>46085</v>
      </c>
    </row>
    <row r="1243" spans="2:28" x14ac:dyDescent="0.2">
      <c r="C1243" s="23">
        <v>1100578649</v>
      </c>
      <c r="E1243" s="23">
        <v>40</v>
      </c>
      <c r="F1243" s="23" t="s">
        <v>82</v>
      </c>
      <c r="G1243" s="23" t="s">
        <v>139</v>
      </c>
      <c r="H1243" s="24">
        <v>47118</v>
      </c>
      <c r="I1243" s="24">
        <v>47118</v>
      </c>
      <c r="J1243" s="23" t="s">
        <v>168</v>
      </c>
      <c r="K1243" s="23" t="s">
        <v>168</v>
      </c>
      <c r="L1243" s="23">
        <v>1</v>
      </c>
      <c r="M1243" s="23" t="s">
        <v>78</v>
      </c>
      <c r="N1243" s="23" t="s">
        <v>78</v>
      </c>
      <c r="O1243" s="23">
        <v>0.01</v>
      </c>
      <c r="P1243" s="23" t="s">
        <v>79</v>
      </c>
      <c r="Q1243" s="23" t="s">
        <v>83</v>
      </c>
      <c r="S1243" s="24" t="s">
        <v>80</v>
      </c>
      <c r="T1243" s="24">
        <v>46085</v>
      </c>
      <c r="U1243" s="24" t="s">
        <v>80</v>
      </c>
      <c r="X1243" s="24">
        <v>46076</v>
      </c>
      <c r="Y1243" s="23">
        <v>1111</v>
      </c>
      <c r="Z1243" s="23">
        <v>11100002</v>
      </c>
      <c r="AA1243" s="23">
        <v>520103</v>
      </c>
      <c r="AB1243" s="24">
        <v>46085</v>
      </c>
    </row>
    <row r="1244" spans="2:28" x14ac:dyDescent="0.2">
      <c r="B1244" s="23" t="s">
        <v>81</v>
      </c>
      <c r="C1244" s="23">
        <v>1100578649</v>
      </c>
      <c r="H1244" s="24">
        <v>47118</v>
      </c>
      <c r="O1244" s="23">
        <v>68880.02</v>
      </c>
      <c r="P1244" s="23" t="s">
        <v>79</v>
      </c>
    </row>
    <row r="1245" spans="2:28" x14ac:dyDescent="0.2">
      <c r="C1245" s="23">
        <v>1100578674</v>
      </c>
      <c r="E1245" s="23">
        <v>10</v>
      </c>
      <c r="F1245" s="23" t="s">
        <v>87</v>
      </c>
      <c r="G1245" s="23" t="s">
        <v>982</v>
      </c>
      <c r="H1245" s="24">
        <v>47118</v>
      </c>
      <c r="I1245" s="24">
        <v>47118</v>
      </c>
      <c r="J1245" s="23" t="s">
        <v>1240</v>
      </c>
      <c r="K1245" s="23" t="s">
        <v>1240</v>
      </c>
      <c r="L1245" s="23">
        <v>2</v>
      </c>
      <c r="M1245" s="23" t="s">
        <v>78</v>
      </c>
      <c r="N1245" s="23" t="s">
        <v>78</v>
      </c>
      <c r="O1245" s="23">
        <v>64854</v>
      </c>
      <c r="P1245" s="23" t="s">
        <v>79</v>
      </c>
      <c r="Q1245" s="23" t="s">
        <v>83</v>
      </c>
      <c r="S1245" s="24">
        <v>46197</v>
      </c>
      <c r="T1245" s="24">
        <v>46085</v>
      </c>
      <c r="U1245" s="24" t="s">
        <v>80</v>
      </c>
      <c r="X1245" s="24">
        <v>46038</v>
      </c>
      <c r="Y1245" s="23">
        <v>1111</v>
      </c>
      <c r="Z1245" s="23">
        <v>11100305</v>
      </c>
      <c r="AA1245" s="23">
        <v>330103</v>
      </c>
      <c r="AB1245" s="24">
        <v>46085</v>
      </c>
    </row>
    <row r="1246" spans="2:28" x14ac:dyDescent="0.2">
      <c r="C1246" s="23">
        <v>1100578674</v>
      </c>
      <c r="E1246" s="23">
        <v>20</v>
      </c>
      <c r="F1246" s="23" t="s">
        <v>87</v>
      </c>
      <c r="G1246" s="23" t="s">
        <v>982</v>
      </c>
      <c r="H1246" s="24">
        <v>47118</v>
      </c>
      <c r="I1246" s="24">
        <v>47118</v>
      </c>
      <c r="J1246" s="23" t="s">
        <v>1240</v>
      </c>
      <c r="K1246" s="23" t="s">
        <v>1240</v>
      </c>
      <c r="L1246" s="23">
        <v>1</v>
      </c>
      <c r="M1246" s="23" t="s">
        <v>78</v>
      </c>
      <c r="N1246" s="23" t="s">
        <v>78</v>
      </c>
      <c r="O1246" s="23">
        <v>29835</v>
      </c>
      <c r="P1246" s="23" t="s">
        <v>79</v>
      </c>
      <c r="Q1246" s="23" t="s">
        <v>83</v>
      </c>
      <c r="S1246" s="24">
        <v>46197</v>
      </c>
      <c r="T1246" s="24">
        <v>46085</v>
      </c>
      <c r="U1246" s="24" t="s">
        <v>80</v>
      </c>
      <c r="X1246" s="24">
        <v>46038</v>
      </c>
      <c r="Y1246" s="23">
        <v>1111</v>
      </c>
      <c r="Z1246" s="23">
        <v>11100305</v>
      </c>
      <c r="AA1246" s="23">
        <v>330103</v>
      </c>
      <c r="AB1246" s="24">
        <v>46085</v>
      </c>
    </row>
    <row r="1247" spans="2:28" x14ac:dyDescent="0.2">
      <c r="C1247" s="23">
        <v>1100578674</v>
      </c>
      <c r="E1247" s="23">
        <v>30</v>
      </c>
      <c r="F1247" s="23" t="s">
        <v>84</v>
      </c>
      <c r="G1247" s="23" t="s">
        <v>123</v>
      </c>
      <c r="H1247" s="24">
        <v>47118</v>
      </c>
      <c r="I1247" s="24">
        <v>47118</v>
      </c>
      <c r="J1247" s="23" t="s">
        <v>1240</v>
      </c>
      <c r="K1247" s="23" t="s">
        <v>1240</v>
      </c>
      <c r="L1247" s="23">
        <v>1</v>
      </c>
      <c r="M1247" s="23" t="s">
        <v>78</v>
      </c>
      <c r="N1247" s="23" t="s">
        <v>78</v>
      </c>
      <c r="O1247" s="23">
        <v>0.01</v>
      </c>
      <c r="P1247" s="23" t="s">
        <v>79</v>
      </c>
      <c r="Q1247" s="23" t="s">
        <v>83</v>
      </c>
      <c r="S1247" s="24">
        <v>46197</v>
      </c>
      <c r="T1247" s="24">
        <v>46085</v>
      </c>
      <c r="U1247" s="24" t="s">
        <v>80</v>
      </c>
      <c r="X1247" s="24">
        <v>46038</v>
      </c>
      <c r="Y1247" s="23">
        <v>1111</v>
      </c>
      <c r="Z1247" s="23">
        <v>11100305</v>
      </c>
      <c r="AA1247" s="23">
        <v>330103</v>
      </c>
      <c r="AB1247" s="24">
        <v>46085</v>
      </c>
    </row>
    <row r="1248" spans="2:28" x14ac:dyDescent="0.2">
      <c r="C1248" s="23">
        <v>1100578674</v>
      </c>
      <c r="E1248" s="23">
        <v>40</v>
      </c>
      <c r="F1248" s="23" t="s">
        <v>82</v>
      </c>
      <c r="G1248" s="23" t="s">
        <v>139</v>
      </c>
      <c r="H1248" s="24">
        <v>47118</v>
      </c>
      <c r="I1248" s="24">
        <v>47118</v>
      </c>
      <c r="J1248" s="23" t="s">
        <v>1240</v>
      </c>
      <c r="K1248" s="23" t="s">
        <v>1240</v>
      </c>
      <c r="L1248" s="23">
        <v>1</v>
      </c>
      <c r="M1248" s="23" t="s">
        <v>78</v>
      </c>
      <c r="N1248" s="23" t="s">
        <v>78</v>
      </c>
      <c r="O1248" s="23">
        <v>0.01</v>
      </c>
      <c r="P1248" s="23" t="s">
        <v>79</v>
      </c>
      <c r="Q1248" s="23" t="s">
        <v>83</v>
      </c>
      <c r="S1248" s="24" t="s">
        <v>80</v>
      </c>
      <c r="T1248" s="24">
        <v>46085</v>
      </c>
      <c r="U1248" s="24" t="s">
        <v>80</v>
      </c>
      <c r="X1248" s="24">
        <v>46038</v>
      </c>
      <c r="Y1248" s="23">
        <v>1111</v>
      </c>
      <c r="Z1248" s="23">
        <v>11100305</v>
      </c>
      <c r="AA1248" s="23">
        <v>330103</v>
      </c>
      <c r="AB1248" s="24">
        <v>46085</v>
      </c>
    </row>
    <row r="1249" spans="2:28" x14ac:dyDescent="0.2">
      <c r="B1249" s="23" t="s">
        <v>81</v>
      </c>
      <c r="C1249" s="23">
        <v>1100578674</v>
      </c>
      <c r="H1249" s="24">
        <v>47118</v>
      </c>
      <c r="O1249" s="23">
        <v>94689.02</v>
      </c>
      <c r="P1249" s="23" t="s">
        <v>79</v>
      </c>
    </row>
    <row r="1250" spans="2:28" x14ac:dyDescent="0.2">
      <c r="C1250" s="23">
        <v>1100102641</v>
      </c>
      <c r="E1250" s="23">
        <v>750</v>
      </c>
      <c r="F1250" s="23" t="s">
        <v>582</v>
      </c>
      <c r="G1250" s="23" t="s">
        <v>305</v>
      </c>
      <c r="H1250" s="24">
        <v>47483</v>
      </c>
      <c r="I1250" s="24">
        <v>47118</v>
      </c>
      <c r="J1250" s="23" t="s">
        <v>583</v>
      </c>
      <c r="K1250" s="23" t="s">
        <v>583</v>
      </c>
      <c r="L1250" s="23">
        <v>1</v>
      </c>
      <c r="M1250" s="23" t="s">
        <v>78</v>
      </c>
      <c r="N1250" s="23" t="s">
        <v>78</v>
      </c>
      <c r="O1250" s="23">
        <v>0</v>
      </c>
      <c r="P1250" s="23" t="s">
        <v>79</v>
      </c>
      <c r="Q1250" s="23" t="s">
        <v>83</v>
      </c>
      <c r="R1250" s="23">
        <v>11100018</v>
      </c>
      <c r="S1250" s="24" t="s">
        <v>80</v>
      </c>
      <c r="T1250" s="24">
        <v>45775</v>
      </c>
      <c r="U1250" s="24">
        <v>46752</v>
      </c>
      <c r="X1250" s="24">
        <v>45775</v>
      </c>
      <c r="Y1250" s="23">
        <v>1111</v>
      </c>
      <c r="Z1250" s="23">
        <v>11400129</v>
      </c>
      <c r="AA1250" s="23">
        <v>3222</v>
      </c>
      <c r="AB1250" s="24">
        <v>45775</v>
      </c>
    </row>
    <row r="1251" spans="2:28" x14ac:dyDescent="0.2">
      <c r="C1251" s="23">
        <v>1100102641</v>
      </c>
      <c r="E1251" s="23">
        <v>1000</v>
      </c>
      <c r="F1251" s="23" t="s">
        <v>584</v>
      </c>
      <c r="G1251" s="23" t="s">
        <v>585</v>
      </c>
      <c r="H1251" s="24">
        <v>47483</v>
      </c>
      <c r="I1251" s="24">
        <v>47483</v>
      </c>
      <c r="J1251" s="23" t="s">
        <v>583</v>
      </c>
      <c r="K1251" s="23" t="s">
        <v>583</v>
      </c>
      <c r="L1251" s="23">
        <v>1</v>
      </c>
      <c r="M1251" s="23" t="s">
        <v>78</v>
      </c>
      <c r="N1251" s="23" t="s">
        <v>78</v>
      </c>
      <c r="O1251" s="23">
        <v>0</v>
      </c>
      <c r="P1251" s="23" t="s">
        <v>79</v>
      </c>
      <c r="Q1251" s="23" t="s">
        <v>119</v>
      </c>
      <c r="R1251" s="23">
        <v>11100018</v>
      </c>
      <c r="S1251" s="24">
        <v>46038</v>
      </c>
      <c r="T1251" s="24">
        <v>45775</v>
      </c>
      <c r="U1251" s="24">
        <v>46752</v>
      </c>
      <c r="X1251" s="24">
        <v>45775</v>
      </c>
      <c r="Y1251" s="23">
        <v>1111</v>
      </c>
      <c r="Z1251" s="23">
        <v>11400129</v>
      </c>
      <c r="AA1251" s="23">
        <v>3201</v>
      </c>
      <c r="AB1251" s="24">
        <v>45775</v>
      </c>
    </row>
    <row r="1252" spans="2:28" x14ac:dyDescent="0.2">
      <c r="B1252" s="23" t="s">
        <v>81</v>
      </c>
      <c r="C1252" s="23">
        <v>1100102641</v>
      </c>
      <c r="H1252" s="24">
        <v>47483</v>
      </c>
      <c r="O1252" s="23">
        <v>0</v>
      </c>
      <c r="P1252" s="23" t="s">
        <v>79</v>
      </c>
    </row>
    <row r="1253" spans="2:28" x14ac:dyDescent="0.2">
      <c r="C1253" s="23">
        <v>1100558843</v>
      </c>
      <c r="E1253" s="23">
        <v>30</v>
      </c>
      <c r="F1253" s="23" t="s">
        <v>82</v>
      </c>
      <c r="G1253" s="23" t="s">
        <v>139</v>
      </c>
      <c r="H1253" s="24">
        <v>47483</v>
      </c>
      <c r="I1253" s="24">
        <v>47483</v>
      </c>
      <c r="J1253" s="23" t="s">
        <v>802</v>
      </c>
      <c r="K1253" s="23" t="s">
        <v>802</v>
      </c>
      <c r="L1253" s="23">
        <v>1</v>
      </c>
      <c r="M1253" s="23" t="s">
        <v>78</v>
      </c>
      <c r="N1253" s="23" t="s">
        <v>78</v>
      </c>
      <c r="O1253" s="23">
        <v>0.01</v>
      </c>
      <c r="P1253" s="23" t="s">
        <v>79</v>
      </c>
      <c r="Q1253" s="23" t="s">
        <v>83</v>
      </c>
      <c r="R1253" s="23">
        <v>11100189</v>
      </c>
      <c r="S1253" s="24" t="s">
        <v>80</v>
      </c>
      <c r="T1253" s="24">
        <v>45875</v>
      </c>
      <c r="U1253" s="24">
        <v>46021</v>
      </c>
      <c r="V1253" s="23">
        <v>5</v>
      </c>
      <c r="X1253" s="24">
        <v>45855</v>
      </c>
      <c r="Y1253" s="23">
        <v>1111</v>
      </c>
      <c r="Z1253" s="23">
        <v>11100319</v>
      </c>
      <c r="AA1253" s="23">
        <v>394903</v>
      </c>
      <c r="AB1253" s="24">
        <v>45875</v>
      </c>
    </row>
    <row r="1254" spans="2:28" x14ac:dyDescent="0.2">
      <c r="B1254" s="23" t="s">
        <v>81</v>
      </c>
      <c r="C1254" s="23">
        <v>1100558843</v>
      </c>
      <c r="H1254" s="24">
        <v>47483</v>
      </c>
      <c r="O1254" s="23">
        <v>0.01</v>
      </c>
      <c r="P1254" s="23" t="s">
        <v>79</v>
      </c>
    </row>
    <row r="1255" spans="2:28" x14ac:dyDescent="0.2">
      <c r="C1255" s="23">
        <v>1100560402</v>
      </c>
      <c r="E1255" s="23">
        <v>80</v>
      </c>
      <c r="F1255" s="23" t="s">
        <v>293</v>
      </c>
      <c r="G1255" s="23" t="s">
        <v>294</v>
      </c>
      <c r="H1255" s="24">
        <v>47483</v>
      </c>
      <c r="I1255" s="24">
        <v>47483</v>
      </c>
      <c r="J1255" s="23" t="s">
        <v>650</v>
      </c>
      <c r="K1255" s="23" t="s">
        <v>650</v>
      </c>
      <c r="L1255" s="23">
        <v>1</v>
      </c>
      <c r="M1255" s="23" t="s">
        <v>78</v>
      </c>
      <c r="N1255" s="23" t="s">
        <v>78</v>
      </c>
      <c r="O1255" s="23">
        <v>8102</v>
      </c>
      <c r="P1255" s="23" t="s">
        <v>79</v>
      </c>
      <c r="Q1255" s="23" t="s">
        <v>83</v>
      </c>
      <c r="R1255" s="23">
        <v>11100008</v>
      </c>
      <c r="S1255" s="24" t="s">
        <v>80</v>
      </c>
      <c r="T1255" s="24">
        <v>45890</v>
      </c>
      <c r="U1255" s="24">
        <v>46752</v>
      </c>
      <c r="X1255" s="24">
        <v>45863</v>
      </c>
      <c r="Y1255" s="23">
        <v>1111</v>
      </c>
      <c r="Z1255" s="23">
        <v>11100002</v>
      </c>
      <c r="AA1255" s="23">
        <v>5101</v>
      </c>
      <c r="AB1255" s="24">
        <v>45890</v>
      </c>
    </row>
    <row r="1256" spans="2:28" x14ac:dyDescent="0.2">
      <c r="B1256" s="23" t="s">
        <v>81</v>
      </c>
      <c r="C1256" s="23">
        <v>1100560402</v>
      </c>
      <c r="H1256" s="24">
        <v>47483</v>
      </c>
      <c r="O1256" s="23">
        <v>8102</v>
      </c>
      <c r="P1256" s="23" t="s">
        <v>79</v>
      </c>
    </row>
    <row r="1257" spans="2:28" x14ac:dyDescent="0.2">
      <c r="C1257" s="23">
        <v>1100561175</v>
      </c>
      <c r="E1257" s="23">
        <v>10</v>
      </c>
      <c r="F1257" s="23" t="s">
        <v>1722</v>
      </c>
      <c r="G1257" s="23" t="s">
        <v>1723</v>
      </c>
      <c r="H1257" s="24">
        <v>47483</v>
      </c>
      <c r="I1257" s="24">
        <v>47483</v>
      </c>
      <c r="J1257" s="23" t="s">
        <v>315</v>
      </c>
      <c r="K1257" s="23" t="s">
        <v>315</v>
      </c>
      <c r="L1257" s="23">
        <v>1</v>
      </c>
      <c r="M1257" s="23" t="s">
        <v>78</v>
      </c>
      <c r="N1257" s="23" t="s">
        <v>78</v>
      </c>
      <c r="O1257" s="23">
        <v>19605</v>
      </c>
      <c r="P1257" s="23" t="s">
        <v>79</v>
      </c>
      <c r="Q1257" s="23" t="s">
        <v>83</v>
      </c>
      <c r="R1257" s="23">
        <v>11100299</v>
      </c>
      <c r="S1257" s="24">
        <v>46006</v>
      </c>
      <c r="T1257" s="24">
        <v>45897</v>
      </c>
      <c r="U1257" s="24">
        <v>46009</v>
      </c>
      <c r="X1257" s="24">
        <v>45897</v>
      </c>
      <c r="Y1257" s="23">
        <v>1111</v>
      </c>
      <c r="Z1257" s="23">
        <v>11100305</v>
      </c>
      <c r="AA1257" s="23">
        <v>310103</v>
      </c>
      <c r="AB1257" s="24">
        <v>45897</v>
      </c>
    </row>
    <row r="1258" spans="2:28" x14ac:dyDescent="0.2">
      <c r="C1258" s="23">
        <v>1100561175</v>
      </c>
      <c r="E1258" s="23">
        <v>20</v>
      </c>
      <c r="F1258" s="23" t="s">
        <v>84</v>
      </c>
      <c r="G1258" s="23" t="s">
        <v>123</v>
      </c>
      <c r="H1258" s="24">
        <v>47483</v>
      </c>
      <c r="I1258" s="24">
        <v>47483</v>
      </c>
      <c r="J1258" s="23" t="s">
        <v>315</v>
      </c>
      <c r="K1258" s="23" t="s">
        <v>315</v>
      </c>
      <c r="L1258" s="23">
        <v>1</v>
      </c>
      <c r="M1258" s="23" t="s">
        <v>78</v>
      </c>
      <c r="N1258" s="23" t="s">
        <v>78</v>
      </c>
      <c r="O1258" s="23">
        <v>0.01</v>
      </c>
      <c r="P1258" s="23" t="s">
        <v>79</v>
      </c>
      <c r="Q1258" s="23" t="s">
        <v>83</v>
      </c>
      <c r="R1258" s="23">
        <v>11100299</v>
      </c>
      <c r="S1258" s="24">
        <v>46006</v>
      </c>
      <c r="T1258" s="24">
        <v>45897</v>
      </c>
      <c r="U1258" s="24">
        <v>46009</v>
      </c>
      <c r="X1258" s="24">
        <v>45897</v>
      </c>
      <c r="Y1258" s="23">
        <v>1111</v>
      </c>
      <c r="Z1258" s="23">
        <v>11100305</v>
      </c>
      <c r="AA1258" s="23">
        <v>310103</v>
      </c>
      <c r="AB1258" s="24">
        <v>45897</v>
      </c>
    </row>
    <row r="1259" spans="2:28" x14ac:dyDescent="0.2">
      <c r="B1259" s="23" t="s">
        <v>81</v>
      </c>
      <c r="C1259" s="23">
        <v>1100561175</v>
      </c>
      <c r="H1259" s="24">
        <v>47483</v>
      </c>
      <c r="O1259" s="23">
        <v>19605.009999999998</v>
      </c>
      <c r="P1259" s="23" t="s">
        <v>79</v>
      </c>
    </row>
    <row r="1260" spans="2:28" x14ac:dyDescent="0.2">
      <c r="C1260" s="23">
        <v>1100102299</v>
      </c>
      <c r="E1260" s="23">
        <v>4100</v>
      </c>
      <c r="F1260" s="23" t="s">
        <v>356</v>
      </c>
      <c r="G1260" s="23" t="s">
        <v>357</v>
      </c>
      <c r="H1260" s="24">
        <v>47848</v>
      </c>
      <c r="I1260" s="24">
        <v>46387</v>
      </c>
      <c r="J1260" s="23" t="s">
        <v>304</v>
      </c>
      <c r="K1260" s="23" t="s">
        <v>304</v>
      </c>
      <c r="L1260" s="23">
        <v>1</v>
      </c>
      <c r="M1260" s="23" t="s">
        <v>78</v>
      </c>
      <c r="N1260" s="23" t="s">
        <v>78</v>
      </c>
      <c r="O1260" s="23">
        <v>0</v>
      </c>
      <c r="P1260" s="23" t="s">
        <v>79</v>
      </c>
      <c r="Q1260" s="23" t="s">
        <v>119</v>
      </c>
      <c r="R1260" s="23">
        <v>11100189</v>
      </c>
      <c r="S1260" s="24">
        <v>45233</v>
      </c>
      <c r="T1260" s="24">
        <v>44977</v>
      </c>
      <c r="U1260" s="24">
        <v>46022</v>
      </c>
      <c r="X1260" s="24">
        <v>44977</v>
      </c>
      <c r="Y1260" s="23">
        <v>1111</v>
      </c>
      <c r="Z1260" s="23">
        <v>11400129</v>
      </c>
      <c r="AA1260" s="23">
        <v>3401</v>
      </c>
      <c r="AB1260" s="24">
        <v>44977</v>
      </c>
    </row>
    <row r="1261" spans="2:28" x14ac:dyDescent="0.2">
      <c r="C1261" s="23">
        <v>1100102299</v>
      </c>
      <c r="E1261" s="23">
        <v>4400</v>
      </c>
      <c r="F1261" s="23" t="s">
        <v>358</v>
      </c>
      <c r="G1261" s="23" t="s">
        <v>359</v>
      </c>
      <c r="H1261" s="24">
        <v>47848</v>
      </c>
      <c r="I1261" s="24">
        <v>46387</v>
      </c>
      <c r="J1261" s="23" t="s">
        <v>304</v>
      </c>
      <c r="K1261" s="23" t="s">
        <v>304</v>
      </c>
      <c r="L1261" s="23">
        <v>1</v>
      </c>
      <c r="M1261" s="23" t="s">
        <v>78</v>
      </c>
      <c r="N1261" s="23" t="s">
        <v>78</v>
      </c>
      <c r="O1261" s="23">
        <v>10903</v>
      </c>
      <c r="P1261" s="23" t="s">
        <v>79</v>
      </c>
      <c r="Q1261" s="23" t="s">
        <v>119</v>
      </c>
      <c r="R1261" s="23">
        <v>11100189</v>
      </c>
      <c r="S1261" s="24">
        <v>45233</v>
      </c>
      <c r="T1261" s="24">
        <v>44977</v>
      </c>
      <c r="U1261" s="24">
        <v>46022</v>
      </c>
      <c r="X1261" s="24">
        <v>44977</v>
      </c>
      <c r="Y1261" s="23">
        <v>1111</v>
      </c>
      <c r="Z1261" s="23">
        <v>11400129</v>
      </c>
      <c r="AA1261" s="23">
        <v>3401</v>
      </c>
      <c r="AB1261" s="24">
        <v>44977</v>
      </c>
    </row>
    <row r="1262" spans="2:28" x14ac:dyDescent="0.2">
      <c r="B1262" s="23" t="s">
        <v>81</v>
      </c>
      <c r="C1262" s="23">
        <v>1100102299</v>
      </c>
      <c r="H1262" s="24">
        <v>47848</v>
      </c>
      <c r="O1262" s="23">
        <v>10903</v>
      </c>
      <c r="P1262" s="23" t="s">
        <v>79</v>
      </c>
    </row>
    <row r="1263" spans="2:28" x14ac:dyDescent="0.2">
      <c r="C1263" s="23">
        <v>1100548622</v>
      </c>
      <c r="E1263" s="23">
        <v>50</v>
      </c>
      <c r="F1263" s="23" t="s">
        <v>209</v>
      </c>
      <c r="G1263" s="23" t="s">
        <v>210</v>
      </c>
      <c r="H1263" s="24">
        <v>47848</v>
      </c>
      <c r="I1263" s="24">
        <v>47848</v>
      </c>
      <c r="J1263" s="23" t="s">
        <v>369</v>
      </c>
      <c r="K1263" s="23" t="s">
        <v>369</v>
      </c>
      <c r="L1263" s="23">
        <v>1</v>
      </c>
      <c r="M1263" s="23" t="s">
        <v>78</v>
      </c>
      <c r="N1263" s="23" t="s">
        <v>78</v>
      </c>
      <c r="O1263" s="23">
        <v>0</v>
      </c>
      <c r="P1263" s="23" t="s">
        <v>79</v>
      </c>
      <c r="Q1263" s="23" t="s">
        <v>83</v>
      </c>
      <c r="R1263" s="23">
        <v>11100008</v>
      </c>
      <c r="S1263" s="24" t="s">
        <v>80</v>
      </c>
      <c r="T1263" s="24">
        <v>45768</v>
      </c>
      <c r="U1263" s="24">
        <v>45922</v>
      </c>
      <c r="X1263" s="24">
        <v>45768</v>
      </c>
      <c r="Y1263" s="23">
        <v>1111</v>
      </c>
      <c r="Z1263" s="23">
        <v>11100002</v>
      </c>
      <c r="AA1263" s="23">
        <v>3301</v>
      </c>
      <c r="AB1263" s="24">
        <v>45768</v>
      </c>
    </row>
    <row r="1264" spans="2:28" x14ac:dyDescent="0.2">
      <c r="B1264" s="23" t="s">
        <v>81</v>
      </c>
      <c r="C1264" s="23">
        <v>1100548622</v>
      </c>
      <c r="H1264" s="24">
        <v>47848</v>
      </c>
      <c r="O1264" s="23">
        <v>0</v>
      </c>
      <c r="P1264" s="23" t="s">
        <v>79</v>
      </c>
    </row>
    <row r="1265" spans="2:28" x14ac:dyDescent="0.2">
      <c r="C1265" s="23">
        <v>1100553469</v>
      </c>
      <c r="E1265" s="23">
        <v>210</v>
      </c>
      <c r="F1265" s="23" t="s">
        <v>82</v>
      </c>
      <c r="G1265" s="23" t="s">
        <v>139</v>
      </c>
      <c r="H1265" s="24">
        <v>47848</v>
      </c>
      <c r="I1265" s="24">
        <v>47848</v>
      </c>
      <c r="J1265" s="23" t="s">
        <v>165</v>
      </c>
      <c r="K1265" s="23" t="s">
        <v>165</v>
      </c>
      <c r="L1265" s="23">
        <v>1</v>
      </c>
      <c r="M1265" s="23" t="s">
        <v>78</v>
      </c>
      <c r="N1265" s="23" t="s">
        <v>78</v>
      </c>
      <c r="O1265" s="23">
        <v>0.01</v>
      </c>
      <c r="P1265" s="23" t="s">
        <v>79</v>
      </c>
      <c r="Q1265" s="23" t="s">
        <v>83</v>
      </c>
      <c r="R1265" s="23">
        <v>11100189</v>
      </c>
      <c r="S1265" s="24">
        <v>46031</v>
      </c>
      <c r="T1265" s="24">
        <v>45819</v>
      </c>
      <c r="U1265" s="24">
        <v>46752</v>
      </c>
      <c r="X1265" s="24">
        <v>45786</v>
      </c>
      <c r="Y1265" s="23">
        <v>1111</v>
      </c>
      <c r="Z1265" s="23">
        <v>11100303</v>
      </c>
      <c r="AA1265" s="23">
        <v>334903</v>
      </c>
      <c r="AB1265" s="24">
        <v>45819</v>
      </c>
    </row>
    <row r="1266" spans="2:28" x14ac:dyDescent="0.2">
      <c r="B1266" s="23" t="s">
        <v>81</v>
      </c>
      <c r="C1266" s="23">
        <v>1100553469</v>
      </c>
      <c r="H1266" s="24">
        <v>47848</v>
      </c>
      <c r="O1266" s="23">
        <v>0.01</v>
      </c>
      <c r="P1266" s="23" t="s">
        <v>79</v>
      </c>
    </row>
    <row r="1267" spans="2:28" x14ac:dyDescent="0.2">
      <c r="C1267" s="23">
        <v>1100556553</v>
      </c>
      <c r="E1267" s="23">
        <v>20</v>
      </c>
      <c r="F1267" s="23" t="s">
        <v>82</v>
      </c>
      <c r="G1267" s="23" t="s">
        <v>139</v>
      </c>
      <c r="H1267" s="24">
        <v>47848</v>
      </c>
      <c r="I1267" s="24">
        <v>47848</v>
      </c>
      <c r="J1267" s="23" t="s">
        <v>974</v>
      </c>
      <c r="K1267" s="23" t="s">
        <v>974</v>
      </c>
      <c r="L1267" s="23">
        <v>1</v>
      </c>
      <c r="M1267" s="23" t="s">
        <v>78</v>
      </c>
      <c r="N1267" s="23" t="s">
        <v>78</v>
      </c>
      <c r="O1267" s="23">
        <v>0.01</v>
      </c>
      <c r="P1267" s="23" t="s">
        <v>79</v>
      </c>
      <c r="Q1267" s="23" t="s">
        <v>83</v>
      </c>
      <c r="R1267" s="23">
        <v>11100189</v>
      </c>
      <c r="S1267" s="24" t="s">
        <v>80</v>
      </c>
      <c r="T1267" s="24">
        <v>45854</v>
      </c>
      <c r="U1267" s="24">
        <v>45987</v>
      </c>
      <c r="X1267" s="24">
        <v>45776</v>
      </c>
      <c r="Y1267" s="23">
        <v>1111</v>
      </c>
      <c r="Z1267" s="23">
        <v>11100319</v>
      </c>
      <c r="AA1267" s="23">
        <v>334903</v>
      </c>
      <c r="AB1267" s="24">
        <v>45854</v>
      </c>
    </row>
    <row r="1268" spans="2:28" x14ac:dyDescent="0.2">
      <c r="B1268" s="23" t="s">
        <v>81</v>
      </c>
      <c r="C1268" s="23">
        <v>1100556553</v>
      </c>
      <c r="H1268" s="24">
        <v>47848</v>
      </c>
      <c r="O1268" s="23">
        <v>0.01</v>
      </c>
      <c r="P1268" s="23" t="s">
        <v>79</v>
      </c>
    </row>
    <row r="1269" spans="2:28" x14ac:dyDescent="0.2">
      <c r="C1269" s="23">
        <v>1100557491</v>
      </c>
      <c r="E1269" s="23">
        <v>30</v>
      </c>
      <c r="F1269" s="23" t="s">
        <v>82</v>
      </c>
      <c r="G1269" s="23" t="s">
        <v>139</v>
      </c>
      <c r="H1269" s="24">
        <v>47848</v>
      </c>
      <c r="I1269" s="24">
        <v>47848</v>
      </c>
      <c r="J1269" s="23" t="s">
        <v>637</v>
      </c>
      <c r="K1269" s="23" t="s">
        <v>637</v>
      </c>
      <c r="L1269" s="23">
        <v>1</v>
      </c>
      <c r="M1269" s="23" t="s">
        <v>78</v>
      </c>
      <c r="N1269" s="23" t="s">
        <v>78</v>
      </c>
      <c r="O1269" s="23">
        <v>0.01</v>
      </c>
      <c r="P1269" s="23" t="s">
        <v>79</v>
      </c>
      <c r="Q1269" s="23" t="s">
        <v>83</v>
      </c>
      <c r="R1269" s="23">
        <v>11100018</v>
      </c>
      <c r="S1269" s="24" t="s">
        <v>80</v>
      </c>
      <c r="T1269" s="24">
        <v>45862</v>
      </c>
      <c r="U1269" s="24">
        <v>46013</v>
      </c>
      <c r="X1269" s="24">
        <v>45862</v>
      </c>
      <c r="Y1269" s="23">
        <v>1111</v>
      </c>
      <c r="Z1269" s="23">
        <v>11100002</v>
      </c>
      <c r="AA1269" s="23">
        <v>3312</v>
      </c>
      <c r="AB1269" s="24">
        <v>45862</v>
      </c>
    </row>
    <row r="1270" spans="2:28" x14ac:dyDescent="0.2">
      <c r="B1270" s="23" t="s">
        <v>81</v>
      </c>
      <c r="C1270" s="23">
        <v>1100557491</v>
      </c>
      <c r="H1270" s="24">
        <v>47848</v>
      </c>
      <c r="O1270" s="23">
        <v>0.01</v>
      </c>
      <c r="P1270" s="23" t="s">
        <v>79</v>
      </c>
    </row>
    <row r="1271" spans="2:28" x14ac:dyDescent="0.2">
      <c r="C1271" s="23">
        <v>1100558817</v>
      </c>
      <c r="E1271" s="23">
        <v>30</v>
      </c>
      <c r="F1271" s="23" t="s">
        <v>82</v>
      </c>
      <c r="G1271" s="23" t="s">
        <v>139</v>
      </c>
      <c r="H1271" s="24">
        <v>47848</v>
      </c>
      <c r="I1271" s="24">
        <v>47848</v>
      </c>
      <c r="J1271" s="23" t="s">
        <v>968</v>
      </c>
      <c r="K1271" s="23" t="s">
        <v>968</v>
      </c>
      <c r="L1271" s="23">
        <v>1</v>
      </c>
      <c r="M1271" s="23" t="s">
        <v>78</v>
      </c>
      <c r="N1271" s="23" t="s">
        <v>78</v>
      </c>
      <c r="O1271" s="23">
        <v>0.01</v>
      </c>
      <c r="P1271" s="23" t="s">
        <v>79</v>
      </c>
      <c r="Q1271" s="23" t="s">
        <v>83</v>
      </c>
      <c r="R1271" s="23">
        <v>11100189</v>
      </c>
      <c r="S1271" s="24" t="s">
        <v>80</v>
      </c>
      <c r="T1271" s="24">
        <v>45875</v>
      </c>
      <c r="U1271" s="24">
        <v>45926</v>
      </c>
      <c r="X1271" s="24">
        <v>45686</v>
      </c>
      <c r="Y1271" s="23">
        <v>1111</v>
      </c>
      <c r="Z1271" s="23">
        <v>11100002</v>
      </c>
      <c r="AA1271" s="23">
        <v>331203</v>
      </c>
      <c r="AB1271" s="24">
        <v>45875</v>
      </c>
    </row>
    <row r="1272" spans="2:28" x14ac:dyDescent="0.2">
      <c r="B1272" s="23" t="s">
        <v>81</v>
      </c>
      <c r="C1272" s="23">
        <v>1100558817</v>
      </c>
      <c r="H1272" s="24">
        <v>47848</v>
      </c>
      <c r="O1272" s="23">
        <v>0.01</v>
      </c>
      <c r="P1272" s="23" t="s">
        <v>79</v>
      </c>
    </row>
    <row r="1273" spans="2:28" x14ac:dyDescent="0.2">
      <c r="C1273" s="23">
        <v>1100558924</v>
      </c>
      <c r="E1273" s="23">
        <v>50</v>
      </c>
      <c r="F1273" s="23" t="s">
        <v>82</v>
      </c>
      <c r="G1273" s="23" t="s">
        <v>139</v>
      </c>
      <c r="H1273" s="24">
        <v>47848</v>
      </c>
      <c r="I1273" s="24">
        <v>47848</v>
      </c>
      <c r="J1273" s="23" t="s">
        <v>975</v>
      </c>
      <c r="K1273" s="23" t="s">
        <v>975</v>
      </c>
      <c r="L1273" s="23">
        <v>1</v>
      </c>
      <c r="M1273" s="23" t="s">
        <v>78</v>
      </c>
      <c r="N1273" s="23" t="s">
        <v>78</v>
      </c>
      <c r="O1273" s="23">
        <v>0.01</v>
      </c>
      <c r="P1273" s="23" t="s">
        <v>79</v>
      </c>
      <c r="Q1273" s="23" t="s">
        <v>83</v>
      </c>
      <c r="R1273" s="23">
        <v>11100189</v>
      </c>
      <c r="S1273" s="24" t="s">
        <v>80</v>
      </c>
      <c r="T1273" s="24">
        <v>45876</v>
      </c>
      <c r="U1273" s="24">
        <v>45961</v>
      </c>
      <c r="X1273" s="24">
        <v>45707</v>
      </c>
      <c r="Y1273" s="23">
        <v>1111</v>
      </c>
      <c r="Z1273" s="23">
        <v>11100319</v>
      </c>
      <c r="AA1273" s="23">
        <v>500103</v>
      </c>
      <c r="AB1273" s="24">
        <v>45876</v>
      </c>
    </row>
    <row r="1274" spans="2:28" x14ac:dyDescent="0.2">
      <c r="B1274" s="23" t="s">
        <v>81</v>
      </c>
      <c r="C1274" s="23">
        <v>1100558924</v>
      </c>
      <c r="H1274" s="24">
        <v>47848</v>
      </c>
      <c r="O1274" s="23">
        <v>0.01</v>
      </c>
      <c r="P1274" s="23" t="s">
        <v>79</v>
      </c>
    </row>
    <row r="1275" spans="2:28" x14ac:dyDescent="0.2">
      <c r="C1275" s="23">
        <v>1100558952</v>
      </c>
      <c r="E1275" s="23">
        <v>40</v>
      </c>
      <c r="F1275" s="23" t="s">
        <v>82</v>
      </c>
      <c r="G1275" s="23" t="s">
        <v>139</v>
      </c>
      <c r="H1275" s="24">
        <v>47848</v>
      </c>
      <c r="I1275" s="24">
        <v>47848</v>
      </c>
      <c r="J1275" s="23" t="s">
        <v>165</v>
      </c>
      <c r="K1275" s="23" t="s">
        <v>165</v>
      </c>
      <c r="L1275" s="23">
        <v>1</v>
      </c>
      <c r="M1275" s="23" t="s">
        <v>78</v>
      </c>
      <c r="N1275" s="23" t="s">
        <v>78</v>
      </c>
      <c r="O1275" s="23">
        <v>0.01</v>
      </c>
      <c r="P1275" s="23" t="s">
        <v>79</v>
      </c>
      <c r="Q1275" s="23" t="s">
        <v>83</v>
      </c>
      <c r="R1275" s="23">
        <v>11100189</v>
      </c>
      <c r="S1275" s="24" t="s">
        <v>80</v>
      </c>
      <c r="T1275" s="24">
        <v>45876</v>
      </c>
      <c r="U1275" s="24">
        <v>46042</v>
      </c>
      <c r="X1275" s="24">
        <v>45870</v>
      </c>
      <c r="Y1275" s="23">
        <v>1111</v>
      </c>
      <c r="Z1275" s="23">
        <v>11100303</v>
      </c>
      <c r="AA1275" s="23">
        <v>330103</v>
      </c>
      <c r="AB1275" s="24">
        <v>45876</v>
      </c>
    </row>
    <row r="1276" spans="2:28" x14ac:dyDescent="0.2">
      <c r="B1276" s="23" t="s">
        <v>81</v>
      </c>
      <c r="C1276" s="23">
        <v>1100558952</v>
      </c>
      <c r="H1276" s="24">
        <v>47848</v>
      </c>
      <c r="O1276" s="23">
        <v>0.01</v>
      </c>
      <c r="P1276" s="23" t="s">
        <v>79</v>
      </c>
    </row>
    <row r="1277" spans="2:28" x14ac:dyDescent="0.2">
      <c r="C1277" s="23">
        <v>1100560723</v>
      </c>
      <c r="E1277" s="23">
        <v>60</v>
      </c>
      <c r="F1277" s="23" t="s">
        <v>82</v>
      </c>
      <c r="G1277" s="23" t="s">
        <v>2660</v>
      </c>
      <c r="H1277" s="24">
        <v>47848</v>
      </c>
      <c r="I1277" s="24">
        <v>47848</v>
      </c>
      <c r="J1277" s="23" t="s">
        <v>671</v>
      </c>
      <c r="K1277" s="23" t="s">
        <v>671</v>
      </c>
      <c r="L1277" s="23">
        <v>1</v>
      </c>
      <c r="M1277" s="23" t="s">
        <v>78</v>
      </c>
      <c r="N1277" s="23" t="s">
        <v>78</v>
      </c>
      <c r="O1277" s="23">
        <v>404.32</v>
      </c>
      <c r="P1277" s="23" t="s">
        <v>79</v>
      </c>
      <c r="Q1277" s="23" t="s">
        <v>83</v>
      </c>
      <c r="R1277" s="23">
        <v>11100189</v>
      </c>
      <c r="S1277" s="24" t="s">
        <v>80</v>
      </c>
      <c r="T1277" s="24">
        <v>45894</v>
      </c>
      <c r="U1277" s="24">
        <v>46085</v>
      </c>
      <c r="X1277" s="24">
        <v>45888</v>
      </c>
      <c r="Y1277" s="23">
        <v>1111</v>
      </c>
      <c r="Z1277" s="23">
        <v>11100303</v>
      </c>
      <c r="AA1277" s="23">
        <v>334903</v>
      </c>
      <c r="AB1277" s="24">
        <v>45894</v>
      </c>
    </row>
    <row r="1278" spans="2:28" x14ac:dyDescent="0.2">
      <c r="B1278" s="23" t="s">
        <v>81</v>
      </c>
      <c r="C1278" s="23">
        <v>1100560723</v>
      </c>
      <c r="H1278" s="24">
        <v>47848</v>
      </c>
      <c r="O1278" s="23">
        <v>404.32</v>
      </c>
      <c r="P1278" s="23" t="s">
        <v>79</v>
      </c>
    </row>
    <row r="1279" spans="2:28" x14ac:dyDescent="0.2">
      <c r="C1279" s="23">
        <v>1100561394</v>
      </c>
      <c r="E1279" s="23">
        <v>60</v>
      </c>
      <c r="F1279" s="23" t="s">
        <v>82</v>
      </c>
      <c r="G1279" s="23" t="s">
        <v>139</v>
      </c>
      <c r="H1279" s="24">
        <v>47848</v>
      </c>
      <c r="I1279" s="24">
        <v>47848</v>
      </c>
      <c r="J1279" s="23" t="s">
        <v>1724</v>
      </c>
      <c r="K1279" s="23" t="s">
        <v>1724</v>
      </c>
      <c r="L1279" s="23">
        <v>1</v>
      </c>
      <c r="M1279" s="23" t="s">
        <v>78</v>
      </c>
      <c r="N1279" s="23" t="s">
        <v>78</v>
      </c>
      <c r="O1279" s="23">
        <v>0.01</v>
      </c>
      <c r="P1279" s="23" t="s">
        <v>79</v>
      </c>
      <c r="Q1279" s="23" t="s">
        <v>83</v>
      </c>
      <c r="R1279" s="23">
        <v>11100018</v>
      </c>
      <c r="S1279" s="24" t="s">
        <v>80</v>
      </c>
      <c r="T1279" s="24">
        <v>45898</v>
      </c>
      <c r="U1279" s="24">
        <v>46014</v>
      </c>
      <c r="X1279" s="24">
        <v>45883</v>
      </c>
      <c r="Y1279" s="23">
        <v>1111</v>
      </c>
      <c r="Z1279" s="23">
        <v>11100303</v>
      </c>
      <c r="AA1279" s="23">
        <v>334903</v>
      </c>
      <c r="AB1279" s="24">
        <v>45898</v>
      </c>
    </row>
    <row r="1280" spans="2:28" x14ac:dyDescent="0.2">
      <c r="B1280" s="23" t="s">
        <v>81</v>
      </c>
      <c r="C1280" s="23">
        <v>1100561394</v>
      </c>
      <c r="H1280" s="24">
        <v>47848</v>
      </c>
      <c r="O1280" s="23">
        <v>0.01</v>
      </c>
      <c r="P1280" s="23" t="s">
        <v>79</v>
      </c>
    </row>
    <row r="1281" spans="2:28" x14ac:dyDescent="0.2">
      <c r="C1281" s="23">
        <v>1100564457</v>
      </c>
      <c r="E1281" s="23">
        <v>30</v>
      </c>
      <c r="F1281" s="23" t="s">
        <v>82</v>
      </c>
      <c r="G1281" s="23" t="s">
        <v>139</v>
      </c>
      <c r="H1281" s="24">
        <v>47848</v>
      </c>
      <c r="I1281" s="24">
        <v>47848</v>
      </c>
      <c r="J1281" s="23" t="s">
        <v>2661</v>
      </c>
      <c r="K1281" s="23" t="s">
        <v>2661</v>
      </c>
      <c r="L1281" s="23">
        <v>1</v>
      </c>
      <c r="M1281" s="23" t="s">
        <v>78</v>
      </c>
      <c r="N1281" s="23" t="s">
        <v>78</v>
      </c>
      <c r="O1281" s="23">
        <v>0.01</v>
      </c>
      <c r="P1281" s="23" t="s">
        <v>79</v>
      </c>
      <c r="Q1281" s="23" t="s">
        <v>83</v>
      </c>
      <c r="R1281" s="23">
        <v>11100018</v>
      </c>
      <c r="S1281" s="24" t="s">
        <v>80</v>
      </c>
      <c r="T1281" s="24">
        <v>45926</v>
      </c>
      <c r="U1281" s="24">
        <v>46091</v>
      </c>
      <c r="X1281" s="24">
        <v>45917</v>
      </c>
      <c r="Y1281" s="23">
        <v>1111</v>
      </c>
      <c r="Z1281" s="23">
        <v>11100316</v>
      </c>
      <c r="AA1281" s="23">
        <v>334903</v>
      </c>
      <c r="AB1281" s="24">
        <v>45926</v>
      </c>
    </row>
    <row r="1282" spans="2:28" x14ac:dyDescent="0.2">
      <c r="B1282" s="23" t="s">
        <v>81</v>
      </c>
      <c r="C1282" s="23">
        <v>1100564457</v>
      </c>
      <c r="H1282" s="24">
        <v>47848</v>
      </c>
      <c r="O1282" s="23">
        <v>0.01</v>
      </c>
      <c r="P1282" s="23" t="s">
        <v>79</v>
      </c>
    </row>
    <row r="1283" spans="2:28" x14ac:dyDescent="0.2">
      <c r="C1283" s="23">
        <v>1100565641</v>
      </c>
      <c r="E1283" s="23">
        <v>30</v>
      </c>
      <c r="F1283" s="23" t="s">
        <v>82</v>
      </c>
      <c r="G1283" s="23" t="s">
        <v>2662</v>
      </c>
      <c r="H1283" s="24">
        <v>47848</v>
      </c>
      <c r="I1283" s="24">
        <v>47848</v>
      </c>
      <c r="J1283" s="23" t="s">
        <v>668</v>
      </c>
      <c r="K1283" s="23" t="s">
        <v>668</v>
      </c>
      <c r="L1283" s="23">
        <v>1</v>
      </c>
      <c r="M1283" s="23" t="s">
        <v>78</v>
      </c>
      <c r="N1283" s="23" t="s">
        <v>78</v>
      </c>
      <c r="O1283" s="23">
        <v>251.5</v>
      </c>
      <c r="P1283" s="23" t="s">
        <v>79</v>
      </c>
      <c r="Q1283" s="23" t="s">
        <v>83</v>
      </c>
      <c r="R1283" s="23">
        <v>11100018</v>
      </c>
      <c r="S1283" s="24" t="s">
        <v>80</v>
      </c>
      <c r="T1283" s="24">
        <v>45939</v>
      </c>
      <c r="U1283" s="24">
        <v>46097</v>
      </c>
      <c r="X1283" s="24">
        <v>45917</v>
      </c>
      <c r="Y1283" s="23">
        <v>1111</v>
      </c>
      <c r="Z1283" s="23">
        <v>11100303</v>
      </c>
      <c r="AA1283" s="23">
        <v>331203</v>
      </c>
      <c r="AB1283" s="24">
        <v>45939</v>
      </c>
    </row>
    <row r="1284" spans="2:28" x14ac:dyDescent="0.2">
      <c r="B1284" s="23" t="s">
        <v>81</v>
      </c>
      <c r="C1284" s="23">
        <v>1100565641</v>
      </c>
      <c r="H1284" s="24">
        <v>47848</v>
      </c>
      <c r="O1284" s="23">
        <v>251.5</v>
      </c>
      <c r="P1284" s="23" t="s">
        <v>79</v>
      </c>
    </row>
    <row r="1286" spans="2:28" x14ac:dyDescent="0.2">
      <c r="B1286" s="23" t="s">
        <v>93</v>
      </c>
      <c r="O1286" s="23">
        <v>23111193.149999999</v>
      </c>
      <c r="P1286" s="23" t="s">
        <v>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Open_PartsWS"/>
  <dimension ref="A2:AC3513"/>
  <sheetViews>
    <sheetView workbookViewId="0">
      <selection activeCell="A2" sqref="A2:AC3513"/>
    </sheetView>
  </sheetViews>
  <sheetFormatPr defaultColWidth="9.140625" defaultRowHeight="11.25" x14ac:dyDescent="0.2"/>
  <cols>
    <col min="1" max="1" width="9.7109375" style="23" customWidth="1"/>
    <col min="2" max="2" width="2.7109375" style="23" customWidth="1"/>
    <col min="3" max="3" width="11.7109375" style="23" customWidth="1"/>
    <col min="4" max="4" width="4.5703125" style="23" customWidth="1"/>
    <col min="5" max="5" width="5.7109375" style="23" customWidth="1"/>
    <col min="6" max="6" width="11.7109375" style="23" customWidth="1"/>
    <col min="7" max="7" width="35.7109375" style="23" customWidth="1"/>
    <col min="8" max="9" width="9.7109375" style="24" customWidth="1"/>
    <col min="10" max="11" width="32.7109375" style="23" customWidth="1"/>
    <col min="12" max="12" width="8.7109375" style="23" customWidth="1"/>
    <col min="13" max="14" width="4.7109375" style="23" customWidth="1"/>
    <col min="15" max="15" width="9.140625" style="23"/>
    <col min="16" max="16" width="4.7109375" style="23" customWidth="1"/>
    <col min="17" max="18" width="9.140625" style="23"/>
    <col min="19" max="21" width="9.7109375" style="24" customWidth="1"/>
    <col min="22" max="23" width="4.7109375" style="23" customWidth="1"/>
    <col min="24" max="24" width="9.7109375" style="24" customWidth="1"/>
    <col min="25" max="27" width="9.140625" style="23"/>
    <col min="28" max="28" width="9.7109375" style="24" customWidth="1"/>
    <col min="29" max="16384" width="9.140625" style="23"/>
  </cols>
  <sheetData>
    <row r="2" spans="1:29" x14ac:dyDescent="0.2">
      <c r="A2" s="24">
        <v>46087</v>
      </c>
      <c r="D2" s="23" t="s">
        <v>286</v>
      </c>
      <c r="AC2" s="23">
        <v>1</v>
      </c>
    </row>
    <row r="4" spans="1:29" x14ac:dyDescent="0.2">
      <c r="A4" s="23" t="s">
        <v>54</v>
      </c>
    </row>
    <row r="6" spans="1:29" x14ac:dyDescent="0.2">
      <c r="C6" s="23" t="s">
        <v>55</v>
      </c>
      <c r="E6" s="23" t="s">
        <v>56</v>
      </c>
      <c r="F6" s="23" t="s">
        <v>57</v>
      </c>
      <c r="G6" s="23" t="s">
        <v>11</v>
      </c>
      <c r="H6" s="24" t="s">
        <v>58</v>
      </c>
      <c r="I6" s="24" t="s">
        <v>59</v>
      </c>
      <c r="J6" s="23" t="s">
        <v>60</v>
      </c>
      <c r="K6" s="23" t="s">
        <v>61</v>
      </c>
      <c r="L6" s="23" t="s">
        <v>62</v>
      </c>
      <c r="M6" s="23" t="s">
        <v>63</v>
      </c>
      <c r="N6" s="23" t="s">
        <v>64</v>
      </c>
      <c r="O6" s="23" t="s">
        <v>65</v>
      </c>
      <c r="P6" s="23" t="s">
        <v>66</v>
      </c>
      <c r="Q6" s="23" t="s">
        <v>67</v>
      </c>
      <c r="R6" s="23" t="s">
        <v>68</v>
      </c>
      <c r="S6" s="24" t="s">
        <v>69</v>
      </c>
      <c r="T6" s="24" t="s">
        <v>70</v>
      </c>
      <c r="U6" s="24" t="s">
        <v>71</v>
      </c>
      <c r="V6" s="23" t="s">
        <v>72</v>
      </c>
      <c r="W6" s="23" t="s">
        <v>73</v>
      </c>
      <c r="X6" s="24" t="s">
        <v>69</v>
      </c>
      <c r="Y6" s="23" t="s">
        <v>74</v>
      </c>
      <c r="Z6" s="23" t="s">
        <v>75</v>
      </c>
      <c r="AA6" s="23" t="s">
        <v>76</v>
      </c>
      <c r="AB6" s="24" t="s">
        <v>77</v>
      </c>
    </row>
    <row r="8" spans="1:29" x14ac:dyDescent="0.2">
      <c r="C8" s="23">
        <v>1100559292</v>
      </c>
      <c r="E8" s="23">
        <v>10</v>
      </c>
      <c r="F8" s="23" t="s">
        <v>1725</v>
      </c>
      <c r="G8" s="23" t="s">
        <v>1726</v>
      </c>
      <c r="H8" s="24">
        <v>46064</v>
      </c>
      <c r="I8" s="24">
        <v>46064</v>
      </c>
      <c r="J8" s="23" t="s">
        <v>2663</v>
      </c>
      <c r="K8" s="23" t="s">
        <v>2663</v>
      </c>
      <c r="L8" s="23">
        <v>3</v>
      </c>
      <c r="M8" s="23" t="s">
        <v>78</v>
      </c>
      <c r="N8" s="23" t="s">
        <v>78</v>
      </c>
      <c r="O8" s="23">
        <v>3092.04</v>
      </c>
      <c r="P8" s="23" t="s">
        <v>79</v>
      </c>
      <c r="Q8" s="23" t="s">
        <v>119</v>
      </c>
      <c r="R8" s="23">
        <v>11100189</v>
      </c>
      <c r="S8" s="24">
        <v>45909</v>
      </c>
      <c r="T8" s="24">
        <v>45881</v>
      </c>
      <c r="U8" s="24">
        <v>46752</v>
      </c>
      <c r="X8" s="24">
        <v>45876</v>
      </c>
      <c r="Y8" s="23">
        <v>1111</v>
      </c>
      <c r="Z8" s="23">
        <v>11400797</v>
      </c>
      <c r="AA8" s="23">
        <v>3351</v>
      </c>
      <c r="AB8" s="24">
        <v>45875</v>
      </c>
    </row>
    <row r="9" spans="1:29" x14ac:dyDescent="0.2">
      <c r="B9" s="23" t="s">
        <v>81</v>
      </c>
      <c r="C9" s="23">
        <v>1100559292</v>
      </c>
      <c r="H9" s="24">
        <v>46064</v>
      </c>
      <c r="O9" s="23">
        <v>3092.04</v>
      </c>
      <c r="P9" s="23" t="s">
        <v>79</v>
      </c>
    </row>
    <row r="10" spans="1:29" x14ac:dyDescent="0.2">
      <c r="C10" s="23">
        <v>1100555011</v>
      </c>
      <c r="E10" s="23">
        <v>60</v>
      </c>
      <c r="F10" s="23" t="s">
        <v>1829</v>
      </c>
      <c r="G10" s="23" t="s">
        <v>1830</v>
      </c>
      <c r="H10" s="24">
        <v>46080</v>
      </c>
      <c r="I10" s="24">
        <v>46080</v>
      </c>
      <c r="J10" s="23" t="s">
        <v>973</v>
      </c>
      <c r="K10" s="23" t="s">
        <v>973</v>
      </c>
      <c r="L10" s="23">
        <v>1</v>
      </c>
      <c r="M10" s="23" t="s">
        <v>78</v>
      </c>
      <c r="N10" s="23" t="s">
        <v>78</v>
      </c>
      <c r="O10" s="23">
        <v>0</v>
      </c>
      <c r="P10" s="23" t="s">
        <v>79</v>
      </c>
      <c r="Q10" s="23" t="s">
        <v>83</v>
      </c>
      <c r="R10" s="23">
        <v>11100008</v>
      </c>
      <c r="S10" s="24">
        <v>45966</v>
      </c>
      <c r="T10" s="24">
        <v>45835</v>
      </c>
      <c r="U10" s="24">
        <v>45966</v>
      </c>
      <c r="X10" s="24">
        <v>45835</v>
      </c>
      <c r="Y10" s="23">
        <v>1111</v>
      </c>
      <c r="Z10" s="23">
        <v>11400797</v>
      </c>
      <c r="AA10" s="23">
        <v>5022</v>
      </c>
      <c r="AB10" s="24">
        <v>45835</v>
      </c>
    </row>
    <row r="11" spans="1:29" x14ac:dyDescent="0.2">
      <c r="C11" s="23">
        <v>1100555011</v>
      </c>
      <c r="E11" s="23">
        <v>70</v>
      </c>
      <c r="F11" s="23" t="s">
        <v>1831</v>
      </c>
      <c r="G11" s="23" t="s">
        <v>1832</v>
      </c>
      <c r="H11" s="24">
        <v>46080</v>
      </c>
      <c r="I11" s="24">
        <v>46080</v>
      </c>
      <c r="J11" s="23" t="s">
        <v>973</v>
      </c>
      <c r="K11" s="23" t="s">
        <v>973</v>
      </c>
      <c r="L11" s="23">
        <v>1</v>
      </c>
      <c r="M11" s="23" t="s">
        <v>78</v>
      </c>
      <c r="N11" s="23" t="s">
        <v>78</v>
      </c>
      <c r="O11" s="23">
        <v>0</v>
      </c>
      <c r="P11" s="23" t="s">
        <v>79</v>
      </c>
      <c r="Q11" s="23" t="s">
        <v>83</v>
      </c>
      <c r="R11" s="23">
        <v>11100008</v>
      </c>
      <c r="S11" s="24">
        <v>45966</v>
      </c>
      <c r="T11" s="24">
        <v>45835</v>
      </c>
      <c r="U11" s="24">
        <v>45966</v>
      </c>
      <c r="X11" s="24">
        <v>45835</v>
      </c>
      <c r="Y11" s="23">
        <v>1111</v>
      </c>
      <c r="Z11" s="23">
        <v>11400797</v>
      </c>
      <c r="AA11" s="23">
        <v>5022</v>
      </c>
      <c r="AB11" s="24">
        <v>45835</v>
      </c>
    </row>
    <row r="12" spans="1:29" x14ac:dyDescent="0.2">
      <c r="C12" s="23">
        <v>1100555011</v>
      </c>
      <c r="E12" s="23">
        <v>80</v>
      </c>
      <c r="F12" s="23" t="s">
        <v>84</v>
      </c>
      <c r="G12" s="23" t="s">
        <v>123</v>
      </c>
      <c r="H12" s="24">
        <v>46080</v>
      </c>
      <c r="I12" s="24">
        <v>46080</v>
      </c>
      <c r="J12" s="23" t="s">
        <v>973</v>
      </c>
      <c r="K12" s="23" t="s">
        <v>973</v>
      </c>
      <c r="L12" s="23">
        <v>1</v>
      </c>
      <c r="M12" s="23" t="s">
        <v>78</v>
      </c>
      <c r="N12" s="23" t="s">
        <v>78</v>
      </c>
      <c r="O12" s="23">
        <v>0</v>
      </c>
      <c r="P12" s="23" t="s">
        <v>79</v>
      </c>
      <c r="Q12" s="23" t="s">
        <v>83</v>
      </c>
      <c r="R12" s="23">
        <v>11100008</v>
      </c>
      <c r="S12" s="24" t="s">
        <v>80</v>
      </c>
      <c r="T12" s="24">
        <v>45835</v>
      </c>
      <c r="U12" s="24">
        <v>46752</v>
      </c>
      <c r="X12" s="24">
        <v>45835</v>
      </c>
      <c r="Y12" s="23">
        <v>1111</v>
      </c>
      <c r="Z12" s="23">
        <v>11400797</v>
      </c>
      <c r="AA12" s="23">
        <v>5022</v>
      </c>
      <c r="AB12" s="24">
        <v>45835</v>
      </c>
    </row>
    <row r="13" spans="1:29" x14ac:dyDescent="0.2">
      <c r="B13" s="23" t="s">
        <v>81</v>
      </c>
      <c r="C13" s="23">
        <v>1100555011</v>
      </c>
      <c r="H13" s="24">
        <v>46080</v>
      </c>
      <c r="O13" s="23">
        <v>0</v>
      </c>
      <c r="P13" s="23" t="s">
        <v>79</v>
      </c>
    </row>
    <row r="14" spans="1:29" x14ac:dyDescent="0.2">
      <c r="C14" s="23">
        <v>1100570601</v>
      </c>
      <c r="E14" s="23">
        <v>40</v>
      </c>
      <c r="F14" s="23" t="s">
        <v>2067</v>
      </c>
      <c r="G14" s="23" t="s">
        <v>2068</v>
      </c>
      <c r="H14" s="24">
        <v>46080</v>
      </c>
      <c r="I14" s="24">
        <v>46080</v>
      </c>
      <c r="J14" s="23" t="s">
        <v>2064</v>
      </c>
      <c r="K14" s="23" t="s">
        <v>2064</v>
      </c>
      <c r="L14" s="23">
        <v>1</v>
      </c>
      <c r="M14" s="23" t="s">
        <v>78</v>
      </c>
      <c r="N14" s="23" t="s">
        <v>78</v>
      </c>
      <c r="O14" s="23">
        <v>595.4</v>
      </c>
      <c r="P14" s="23" t="s">
        <v>79</v>
      </c>
      <c r="Q14" s="23" t="s">
        <v>83</v>
      </c>
      <c r="R14" s="23">
        <v>11100299</v>
      </c>
      <c r="S14" s="24">
        <v>46066</v>
      </c>
      <c r="T14" s="24">
        <v>45996</v>
      </c>
      <c r="U14" s="24">
        <v>46080</v>
      </c>
      <c r="X14" s="24">
        <v>45985</v>
      </c>
      <c r="Y14" s="23">
        <v>1111</v>
      </c>
      <c r="Z14" s="23">
        <v>11400124</v>
      </c>
      <c r="AA14" s="23">
        <v>335803</v>
      </c>
      <c r="AB14" s="24">
        <v>46752</v>
      </c>
    </row>
    <row r="15" spans="1:29" x14ac:dyDescent="0.2">
      <c r="B15" s="23" t="s">
        <v>81</v>
      </c>
      <c r="C15" s="23">
        <v>1100570601</v>
      </c>
      <c r="H15" s="24">
        <v>46080</v>
      </c>
      <c r="O15" s="23">
        <v>595.4</v>
      </c>
      <c r="P15" s="23" t="s">
        <v>79</v>
      </c>
    </row>
    <row r="16" spans="1:29" x14ac:dyDescent="0.2">
      <c r="C16" s="23">
        <v>1100572581</v>
      </c>
      <c r="E16" s="23">
        <v>10</v>
      </c>
      <c r="F16" s="23" t="s">
        <v>2071</v>
      </c>
      <c r="G16" s="23" t="s">
        <v>2072</v>
      </c>
      <c r="H16" s="24">
        <v>46080</v>
      </c>
      <c r="I16" s="24">
        <v>46080</v>
      </c>
      <c r="J16" s="23" t="s">
        <v>718</v>
      </c>
      <c r="K16" s="23" t="s">
        <v>718</v>
      </c>
      <c r="L16" s="23">
        <v>2</v>
      </c>
      <c r="M16" s="23" t="s">
        <v>78</v>
      </c>
      <c r="N16" s="23" t="s">
        <v>78</v>
      </c>
      <c r="O16" s="23">
        <v>2405.7199999999998</v>
      </c>
      <c r="P16" s="23" t="s">
        <v>79</v>
      </c>
      <c r="Q16" s="23" t="s">
        <v>83</v>
      </c>
      <c r="R16" s="23">
        <v>11100008</v>
      </c>
      <c r="S16" s="24">
        <v>46080</v>
      </c>
      <c r="T16" s="24">
        <v>46021</v>
      </c>
      <c r="U16" s="24" t="s">
        <v>80</v>
      </c>
      <c r="X16" s="24">
        <v>46021</v>
      </c>
      <c r="Y16" s="23">
        <v>1111</v>
      </c>
      <c r="Z16" s="23">
        <v>11400937</v>
      </c>
      <c r="AA16" s="23">
        <v>335103</v>
      </c>
      <c r="AB16" s="24">
        <v>46003</v>
      </c>
    </row>
    <row r="17" spans="2:28" x14ac:dyDescent="0.2">
      <c r="B17" s="23" t="s">
        <v>81</v>
      </c>
      <c r="C17" s="23">
        <v>1100572581</v>
      </c>
      <c r="H17" s="24">
        <v>46080</v>
      </c>
      <c r="O17" s="23">
        <v>2405.7199999999998</v>
      </c>
      <c r="P17" s="23" t="s">
        <v>79</v>
      </c>
    </row>
    <row r="18" spans="2:28" x14ac:dyDescent="0.2">
      <c r="C18" s="23">
        <v>1100575394</v>
      </c>
      <c r="E18" s="23">
        <v>10</v>
      </c>
      <c r="F18" s="23" t="s">
        <v>2664</v>
      </c>
      <c r="G18" s="23" t="s">
        <v>2665</v>
      </c>
      <c r="H18" s="24">
        <v>46080</v>
      </c>
      <c r="I18" s="24">
        <v>46080</v>
      </c>
      <c r="J18" s="23" t="s">
        <v>191</v>
      </c>
      <c r="K18" s="23" t="s">
        <v>191</v>
      </c>
      <c r="L18" s="23">
        <v>1</v>
      </c>
      <c r="M18" s="23" t="s">
        <v>78</v>
      </c>
      <c r="N18" s="23" t="s">
        <v>78</v>
      </c>
      <c r="O18" s="23">
        <v>2004.6</v>
      </c>
      <c r="P18" s="23" t="s">
        <v>79</v>
      </c>
      <c r="Q18" s="23" t="s">
        <v>83</v>
      </c>
      <c r="R18" s="23">
        <v>11100189</v>
      </c>
      <c r="S18" s="24">
        <v>46080</v>
      </c>
      <c r="T18" s="24">
        <v>46051</v>
      </c>
      <c r="U18" s="24" t="s">
        <v>80</v>
      </c>
      <c r="X18" s="24">
        <v>46050</v>
      </c>
      <c r="Y18" s="23">
        <v>1111</v>
      </c>
      <c r="Z18" s="23">
        <v>11600003</v>
      </c>
      <c r="AA18" s="23">
        <v>3951</v>
      </c>
      <c r="AB18" s="24">
        <v>46050</v>
      </c>
    </row>
    <row r="19" spans="2:28" x14ac:dyDescent="0.2">
      <c r="C19" s="23">
        <v>1100575394</v>
      </c>
      <c r="E19" s="23">
        <v>20</v>
      </c>
      <c r="F19" s="23" t="s">
        <v>209</v>
      </c>
      <c r="G19" s="23" t="s">
        <v>210</v>
      </c>
      <c r="H19" s="24">
        <v>46080</v>
      </c>
      <c r="I19" s="24">
        <v>46080</v>
      </c>
      <c r="J19" s="23" t="s">
        <v>191</v>
      </c>
      <c r="K19" s="23" t="s">
        <v>191</v>
      </c>
      <c r="L19" s="23">
        <v>1</v>
      </c>
      <c r="M19" s="23" t="s">
        <v>78</v>
      </c>
      <c r="N19" s="23" t="s">
        <v>78</v>
      </c>
      <c r="O19" s="23">
        <v>0.01</v>
      </c>
      <c r="P19" s="23" t="s">
        <v>79</v>
      </c>
      <c r="Q19" s="23" t="s">
        <v>83</v>
      </c>
      <c r="R19" s="23">
        <v>11100189</v>
      </c>
      <c r="S19" s="24">
        <v>46080</v>
      </c>
      <c r="T19" s="24">
        <v>46051</v>
      </c>
      <c r="U19" s="24" t="s">
        <v>80</v>
      </c>
      <c r="X19" s="24">
        <v>46050</v>
      </c>
      <c r="Y19" s="23">
        <v>1111</v>
      </c>
      <c r="Z19" s="23">
        <v>11600003</v>
      </c>
      <c r="AA19" s="23">
        <v>3951</v>
      </c>
      <c r="AB19" s="24">
        <v>46050</v>
      </c>
    </row>
    <row r="20" spans="2:28" x14ac:dyDescent="0.2">
      <c r="B20" s="23" t="s">
        <v>81</v>
      </c>
      <c r="C20" s="23">
        <v>1100575394</v>
      </c>
      <c r="H20" s="24">
        <v>46080</v>
      </c>
      <c r="O20" s="23">
        <v>2004.61</v>
      </c>
      <c r="P20" s="23" t="s">
        <v>79</v>
      </c>
    </row>
    <row r="21" spans="2:28" x14ac:dyDescent="0.2">
      <c r="C21" s="23">
        <v>1100563823</v>
      </c>
      <c r="E21" s="23">
        <v>10</v>
      </c>
      <c r="F21" s="23" t="s">
        <v>1833</v>
      </c>
      <c r="G21" s="23" t="s">
        <v>1834</v>
      </c>
      <c r="H21" s="24">
        <v>46085</v>
      </c>
      <c r="I21" s="24">
        <v>46085</v>
      </c>
      <c r="J21" s="23" t="s">
        <v>1757</v>
      </c>
      <c r="K21" s="23" t="s">
        <v>1757</v>
      </c>
      <c r="L21" s="23">
        <v>1</v>
      </c>
      <c r="M21" s="23" t="s">
        <v>78</v>
      </c>
      <c r="N21" s="23" t="s">
        <v>78</v>
      </c>
      <c r="O21" s="23">
        <v>5635.5</v>
      </c>
      <c r="P21" s="23" t="s">
        <v>79</v>
      </c>
      <c r="Q21" s="23" t="s">
        <v>83</v>
      </c>
      <c r="R21" s="23">
        <v>11100008</v>
      </c>
      <c r="S21" s="24">
        <v>46027</v>
      </c>
      <c r="T21" s="24">
        <v>45922</v>
      </c>
      <c r="U21" s="24" t="s">
        <v>80</v>
      </c>
      <c r="X21" s="24">
        <v>45918</v>
      </c>
      <c r="Y21" s="23">
        <v>1111</v>
      </c>
      <c r="Z21" s="23">
        <v>11400895</v>
      </c>
      <c r="AA21" s="23">
        <v>375103</v>
      </c>
      <c r="AB21" s="24">
        <v>45919</v>
      </c>
    </row>
    <row r="22" spans="2:28" x14ac:dyDescent="0.2">
      <c r="C22" s="23">
        <v>1100563823</v>
      </c>
      <c r="E22" s="23">
        <v>20</v>
      </c>
      <c r="F22" s="23" t="s">
        <v>1835</v>
      </c>
      <c r="G22" s="23" t="s">
        <v>1836</v>
      </c>
      <c r="H22" s="24">
        <v>46085</v>
      </c>
      <c r="I22" s="24">
        <v>46085</v>
      </c>
      <c r="J22" s="23" t="s">
        <v>1757</v>
      </c>
      <c r="K22" s="23" t="s">
        <v>1757</v>
      </c>
      <c r="L22" s="23">
        <v>1</v>
      </c>
      <c r="M22" s="23" t="s">
        <v>78</v>
      </c>
      <c r="N22" s="23" t="s">
        <v>78</v>
      </c>
      <c r="O22" s="23">
        <v>3882.12</v>
      </c>
      <c r="P22" s="23" t="s">
        <v>79</v>
      </c>
      <c r="Q22" s="23" t="s">
        <v>83</v>
      </c>
      <c r="R22" s="23">
        <v>11100008</v>
      </c>
      <c r="S22" s="24">
        <v>46027</v>
      </c>
      <c r="T22" s="24">
        <v>45922</v>
      </c>
      <c r="U22" s="24" t="s">
        <v>80</v>
      </c>
      <c r="X22" s="24">
        <v>45918</v>
      </c>
      <c r="Y22" s="23">
        <v>1111</v>
      </c>
      <c r="Z22" s="23">
        <v>11400895</v>
      </c>
      <c r="AA22" s="23">
        <v>375103</v>
      </c>
      <c r="AB22" s="24">
        <v>45919</v>
      </c>
    </row>
    <row r="23" spans="2:28" x14ac:dyDescent="0.2">
      <c r="C23" s="23">
        <v>1100563823</v>
      </c>
      <c r="E23" s="23">
        <v>30</v>
      </c>
      <c r="F23" s="23" t="s">
        <v>82</v>
      </c>
      <c r="G23" s="23" t="s">
        <v>139</v>
      </c>
      <c r="H23" s="24">
        <v>46085</v>
      </c>
      <c r="I23" s="24">
        <v>46085</v>
      </c>
      <c r="J23" s="23" t="s">
        <v>1757</v>
      </c>
      <c r="K23" s="23" t="s">
        <v>1757</v>
      </c>
      <c r="L23" s="23">
        <v>1</v>
      </c>
      <c r="M23" s="23" t="s">
        <v>78</v>
      </c>
      <c r="N23" s="23" t="s">
        <v>78</v>
      </c>
      <c r="O23" s="23">
        <v>0.01</v>
      </c>
      <c r="P23" s="23" t="s">
        <v>79</v>
      </c>
      <c r="Q23" s="23" t="s">
        <v>83</v>
      </c>
      <c r="R23" s="23">
        <v>11100008</v>
      </c>
      <c r="S23" s="24" t="s">
        <v>80</v>
      </c>
      <c r="T23" s="24">
        <v>45922</v>
      </c>
      <c r="U23" s="24" t="s">
        <v>80</v>
      </c>
      <c r="X23" s="24">
        <v>45918</v>
      </c>
      <c r="Y23" s="23">
        <v>1111</v>
      </c>
      <c r="Z23" s="23">
        <v>11400895</v>
      </c>
      <c r="AA23" s="23">
        <v>375103</v>
      </c>
      <c r="AB23" s="24">
        <v>45919</v>
      </c>
    </row>
    <row r="24" spans="2:28" x14ac:dyDescent="0.2">
      <c r="B24" s="23" t="s">
        <v>81</v>
      </c>
      <c r="C24" s="23">
        <v>1100563823</v>
      </c>
      <c r="H24" s="24">
        <v>46085</v>
      </c>
      <c r="O24" s="23">
        <v>9517.6299999999992</v>
      </c>
      <c r="P24" s="23" t="s">
        <v>79</v>
      </c>
    </row>
    <row r="25" spans="2:28" x14ac:dyDescent="0.2">
      <c r="C25" s="23">
        <v>1100572051</v>
      </c>
      <c r="E25" s="23">
        <v>10</v>
      </c>
      <c r="F25" s="23" t="s">
        <v>1775</v>
      </c>
      <c r="G25" s="23" t="s">
        <v>1776</v>
      </c>
      <c r="H25" s="24">
        <v>46086</v>
      </c>
      <c r="I25" s="24">
        <v>46086</v>
      </c>
      <c r="J25" s="23" t="s">
        <v>257</v>
      </c>
      <c r="K25" s="23" t="s">
        <v>257</v>
      </c>
      <c r="L25" s="23">
        <v>1</v>
      </c>
      <c r="M25" s="23" t="s">
        <v>78</v>
      </c>
      <c r="N25" s="23" t="s">
        <v>78</v>
      </c>
      <c r="O25" s="23">
        <v>262.92</v>
      </c>
      <c r="P25" s="23" t="s">
        <v>79</v>
      </c>
      <c r="Q25" s="23" t="s">
        <v>83</v>
      </c>
      <c r="R25" s="23">
        <v>11100018</v>
      </c>
      <c r="S25" s="24">
        <v>46087</v>
      </c>
      <c r="T25" s="24">
        <v>46010</v>
      </c>
      <c r="U25" s="24" t="s">
        <v>80</v>
      </c>
      <c r="X25" s="24">
        <v>46009</v>
      </c>
      <c r="Y25" s="23">
        <v>1111</v>
      </c>
      <c r="Z25" s="23">
        <v>11100137</v>
      </c>
      <c r="AA25" s="23">
        <v>5051</v>
      </c>
      <c r="AB25" s="24">
        <v>46009</v>
      </c>
    </row>
    <row r="26" spans="2:28" x14ac:dyDescent="0.2">
      <c r="B26" s="23" t="s">
        <v>81</v>
      </c>
      <c r="C26" s="23">
        <v>1100572051</v>
      </c>
      <c r="H26" s="24">
        <v>46086</v>
      </c>
      <c r="O26" s="23">
        <v>262.92</v>
      </c>
      <c r="P26" s="23" t="s">
        <v>79</v>
      </c>
    </row>
    <row r="27" spans="2:28" x14ac:dyDescent="0.2">
      <c r="C27" s="23">
        <v>1100578664</v>
      </c>
      <c r="E27" s="23">
        <v>10</v>
      </c>
      <c r="F27" s="23" t="s">
        <v>4191</v>
      </c>
      <c r="G27" s="23" t="s">
        <v>4192</v>
      </c>
      <c r="H27" s="24">
        <v>46086</v>
      </c>
      <c r="I27" s="24">
        <v>46094</v>
      </c>
      <c r="J27" s="23" t="s">
        <v>381</v>
      </c>
      <c r="K27" s="23" t="s">
        <v>381</v>
      </c>
      <c r="L27" s="23">
        <v>1</v>
      </c>
      <c r="M27" s="23" t="s">
        <v>78</v>
      </c>
      <c r="N27" s="23" t="s">
        <v>78</v>
      </c>
      <c r="O27" s="23">
        <v>1593.57</v>
      </c>
      <c r="P27" s="23" t="s">
        <v>79</v>
      </c>
      <c r="Q27" s="23" t="s">
        <v>83</v>
      </c>
      <c r="R27" s="23">
        <v>11100176</v>
      </c>
      <c r="S27" s="24">
        <v>46086</v>
      </c>
      <c r="T27" s="24">
        <v>46085</v>
      </c>
      <c r="U27" s="24">
        <v>47116</v>
      </c>
      <c r="X27" s="24">
        <v>46085</v>
      </c>
      <c r="Y27" s="23">
        <v>1111</v>
      </c>
      <c r="Z27" s="23">
        <v>11600003</v>
      </c>
      <c r="AA27" s="23">
        <v>5051</v>
      </c>
      <c r="AB27" s="24">
        <v>46085</v>
      </c>
    </row>
    <row r="28" spans="2:28" x14ac:dyDescent="0.2">
      <c r="C28" s="23">
        <v>1100578664</v>
      </c>
      <c r="E28" s="23">
        <v>20</v>
      </c>
      <c r="F28" s="23" t="s">
        <v>424</v>
      </c>
      <c r="G28" s="23" t="s">
        <v>425</v>
      </c>
      <c r="H28" s="24">
        <v>46086</v>
      </c>
      <c r="I28" s="24">
        <v>46086</v>
      </c>
      <c r="J28" s="23" t="s">
        <v>381</v>
      </c>
      <c r="K28" s="23" t="s">
        <v>381</v>
      </c>
      <c r="L28" s="23">
        <v>1</v>
      </c>
      <c r="M28" s="23" t="s">
        <v>78</v>
      </c>
      <c r="N28" s="23" t="s">
        <v>78</v>
      </c>
      <c r="O28" s="23">
        <v>372.8</v>
      </c>
      <c r="P28" s="23" t="s">
        <v>79</v>
      </c>
      <c r="Q28" s="23" t="s">
        <v>83</v>
      </c>
      <c r="R28" s="23">
        <v>11100176</v>
      </c>
      <c r="S28" s="24">
        <v>46086</v>
      </c>
      <c r="T28" s="24">
        <v>46085</v>
      </c>
      <c r="U28" s="24">
        <v>46090</v>
      </c>
      <c r="X28" s="24">
        <v>46085</v>
      </c>
      <c r="Y28" s="23">
        <v>1111</v>
      </c>
      <c r="Z28" s="23">
        <v>11600003</v>
      </c>
      <c r="AA28" s="23">
        <v>5051</v>
      </c>
      <c r="AB28" s="24">
        <v>46085</v>
      </c>
    </row>
    <row r="29" spans="2:28" x14ac:dyDescent="0.2">
      <c r="C29" s="23">
        <v>1100578664</v>
      </c>
      <c r="E29" s="23">
        <v>30</v>
      </c>
      <c r="F29" s="23" t="s">
        <v>273</v>
      </c>
      <c r="G29" s="23" t="s">
        <v>274</v>
      </c>
      <c r="H29" s="24">
        <v>46086</v>
      </c>
      <c r="I29" s="24">
        <v>46086</v>
      </c>
      <c r="J29" s="23" t="s">
        <v>381</v>
      </c>
      <c r="K29" s="23" t="s">
        <v>381</v>
      </c>
      <c r="L29" s="23">
        <v>1</v>
      </c>
      <c r="M29" s="23" t="s">
        <v>78</v>
      </c>
      <c r="N29" s="23" t="s">
        <v>78</v>
      </c>
      <c r="O29" s="23">
        <v>758.63</v>
      </c>
      <c r="P29" s="23" t="s">
        <v>79</v>
      </c>
      <c r="Q29" s="23" t="s">
        <v>83</v>
      </c>
      <c r="R29" s="23">
        <v>11100176</v>
      </c>
      <c r="S29" s="24">
        <v>46086</v>
      </c>
      <c r="T29" s="24">
        <v>46085</v>
      </c>
      <c r="U29" s="24">
        <v>46090</v>
      </c>
      <c r="X29" s="24">
        <v>46085</v>
      </c>
      <c r="Y29" s="23">
        <v>1111</v>
      </c>
      <c r="Z29" s="23">
        <v>11600003</v>
      </c>
      <c r="AA29" s="23">
        <v>5051</v>
      </c>
      <c r="AB29" s="24">
        <v>46085</v>
      </c>
    </row>
    <row r="30" spans="2:28" x14ac:dyDescent="0.2">
      <c r="C30" s="23">
        <v>1100578664</v>
      </c>
      <c r="E30" s="23">
        <v>40</v>
      </c>
      <c r="F30" s="23" t="s">
        <v>124</v>
      </c>
      <c r="G30" s="23" t="s">
        <v>125</v>
      </c>
      <c r="H30" s="24">
        <v>46086</v>
      </c>
      <c r="I30" s="24">
        <v>46094</v>
      </c>
      <c r="J30" s="23" t="s">
        <v>381</v>
      </c>
      <c r="K30" s="23" t="s">
        <v>381</v>
      </c>
      <c r="L30" s="23">
        <v>1</v>
      </c>
      <c r="M30" s="23" t="s">
        <v>78</v>
      </c>
      <c r="N30" s="23" t="s">
        <v>78</v>
      </c>
      <c r="O30" s="23">
        <v>1370.83</v>
      </c>
      <c r="P30" s="23" t="s">
        <v>79</v>
      </c>
      <c r="Q30" s="23" t="s">
        <v>83</v>
      </c>
      <c r="R30" s="23">
        <v>11100176</v>
      </c>
      <c r="S30" s="24">
        <v>46086</v>
      </c>
      <c r="T30" s="24">
        <v>46085</v>
      </c>
      <c r="U30" s="24">
        <v>47116</v>
      </c>
      <c r="X30" s="24">
        <v>46085</v>
      </c>
      <c r="Y30" s="23">
        <v>1111</v>
      </c>
      <c r="Z30" s="23">
        <v>11600003</v>
      </c>
      <c r="AA30" s="23">
        <v>5051</v>
      </c>
      <c r="AB30" s="24">
        <v>46085</v>
      </c>
    </row>
    <row r="31" spans="2:28" x14ac:dyDescent="0.2">
      <c r="C31" s="23">
        <v>1100578664</v>
      </c>
      <c r="E31" s="23">
        <v>50</v>
      </c>
      <c r="F31" s="23" t="s">
        <v>1076</v>
      </c>
      <c r="G31" s="23" t="s">
        <v>1077</v>
      </c>
      <c r="H31" s="24">
        <v>46086</v>
      </c>
      <c r="I31" s="24">
        <v>46086</v>
      </c>
      <c r="J31" s="23" t="s">
        <v>381</v>
      </c>
      <c r="K31" s="23" t="s">
        <v>381</v>
      </c>
      <c r="L31" s="23">
        <v>1</v>
      </c>
      <c r="M31" s="23" t="s">
        <v>78</v>
      </c>
      <c r="N31" s="23" t="s">
        <v>78</v>
      </c>
      <c r="O31" s="23">
        <v>819.17</v>
      </c>
      <c r="P31" s="23" t="s">
        <v>79</v>
      </c>
      <c r="Q31" s="23" t="s">
        <v>83</v>
      </c>
      <c r="R31" s="23">
        <v>11100176</v>
      </c>
      <c r="S31" s="24">
        <v>46086</v>
      </c>
      <c r="T31" s="24">
        <v>46085</v>
      </c>
      <c r="U31" s="24">
        <v>46090</v>
      </c>
      <c r="X31" s="24">
        <v>46085</v>
      </c>
      <c r="Y31" s="23">
        <v>1111</v>
      </c>
      <c r="Z31" s="23">
        <v>11600003</v>
      </c>
      <c r="AA31" s="23">
        <v>5051</v>
      </c>
      <c r="AB31" s="24">
        <v>46085</v>
      </c>
    </row>
    <row r="32" spans="2:28" x14ac:dyDescent="0.2">
      <c r="C32" s="23">
        <v>1100578664</v>
      </c>
      <c r="E32" s="23">
        <v>60</v>
      </c>
      <c r="F32" s="23" t="s">
        <v>4191</v>
      </c>
      <c r="G32" s="23" t="s">
        <v>4192</v>
      </c>
      <c r="H32" s="24">
        <v>46086</v>
      </c>
      <c r="I32" s="24">
        <v>46094</v>
      </c>
      <c r="J32" s="23" t="s">
        <v>381</v>
      </c>
      <c r="K32" s="23" t="s">
        <v>381</v>
      </c>
      <c r="L32" s="23">
        <v>1</v>
      </c>
      <c r="M32" s="23" t="s">
        <v>78</v>
      </c>
      <c r="N32" s="23" t="s">
        <v>78</v>
      </c>
      <c r="O32" s="23">
        <v>1434.21</v>
      </c>
      <c r="P32" s="23" t="s">
        <v>79</v>
      </c>
      <c r="Q32" s="23" t="s">
        <v>83</v>
      </c>
      <c r="R32" s="23">
        <v>11100176</v>
      </c>
      <c r="S32" s="24">
        <v>46086</v>
      </c>
      <c r="T32" s="24">
        <v>46085</v>
      </c>
      <c r="U32" s="24">
        <v>47116</v>
      </c>
      <c r="X32" s="24">
        <v>46085</v>
      </c>
      <c r="Y32" s="23">
        <v>1111</v>
      </c>
      <c r="Z32" s="23">
        <v>11600003</v>
      </c>
      <c r="AA32" s="23">
        <v>5051</v>
      </c>
      <c r="AB32" s="24">
        <v>46085</v>
      </c>
    </row>
    <row r="33" spans="2:28" x14ac:dyDescent="0.2">
      <c r="C33" s="23">
        <v>1100578664</v>
      </c>
      <c r="E33" s="23">
        <v>70</v>
      </c>
      <c r="F33" s="23" t="s">
        <v>424</v>
      </c>
      <c r="G33" s="23" t="s">
        <v>425</v>
      </c>
      <c r="H33" s="24">
        <v>46086</v>
      </c>
      <c r="I33" s="24">
        <v>46086</v>
      </c>
      <c r="J33" s="23" t="s">
        <v>381</v>
      </c>
      <c r="K33" s="23" t="s">
        <v>381</v>
      </c>
      <c r="L33" s="23">
        <v>1</v>
      </c>
      <c r="M33" s="23" t="s">
        <v>78</v>
      </c>
      <c r="N33" s="23" t="s">
        <v>78</v>
      </c>
      <c r="O33" s="23">
        <v>372.8</v>
      </c>
      <c r="P33" s="23" t="s">
        <v>79</v>
      </c>
      <c r="Q33" s="23" t="s">
        <v>83</v>
      </c>
      <c r="R33" s="23">
        <v>11100176</v>
      </c>
      <c r="S33" s="24">
        <v>46086</v>
      </c>
      <c r="T33" s="24">
        <v>46085</v>
      </c>
      <c r="U33" s="24">
        <v>46090</v>
      </c>
      <c r="X33" s="24">
        <v>46085</v>
      </c>
      <c r="Y33" s="23">
        <v>1111</v>
      </c>
      <c r="Z33" s="23">
        <v>11600003</v>
      </c>
      <c r="AA33" s="23">
        <v>5051</v>
      </c>
      <c r="AB33" s="24">
        <v>46085</v>
      </c>
    </row>
    <row r="34" spans="2:28" x14ac:dyDescent="0.2">
      <c r="C34" s="23">
        <v>1100578664</v>
      </c>
      <c r="E34" s="23">
        <v>80</v>
      </c>
      <c r="F34" s="23" t="s">
        <v>273</v>
      </c>
      <c r="G34" s="23" t="s">
        <v>274</v>
      </c>
      <c r="H34" s="24">
        <v>46086</v>
      </c>
      <c r="I34" s="24">
        <v>46086</v>
      </c>
      <c r="J34" s="23" t="s">
        <v>381</v>
      </c>
      <c r="K34" s="23" t="s">
        <v>381</v>
      </c>
      <c r="L34" s="23">
        <v>1</v>
      </c>
      <c r="M34" s="23" t="s">
        <v>78</v>
      </c>
      <c r="N34" s="23" t="s">
        <v>78</v>
      </c>
      <c r="O34" s="23">
        <v>758.63</v>
      </c>
      <c r="P34" s="23" t="s">
        <v>79</v>
      </c>
      <c r="Q34" s="23" t="s">
        <v>83</v>
      </c>
      <c r="R34" s="23">
        <v>11100176</v>
      </c>
      <c r="S34" s="24">
        <v>46086</v>
      </c>
      <c r="T34" s="24">
        <v>46085</v>
      </c>
      <c r="U34" s="24">
        <v>46090</v>
      </c>
      <c r="X34" s="24">
        <v>46085</v>
      </c>
      <c r="Y34" s="23">
        <v>1111</v>
      </c>
      <c r="Z34" s="23">
        <v>11600003</v>
      </c>
      <c r="AA34" s="23">
        <v>5051</v>
      </c>
      <c r="AB34" s="24">
        <v>46085</v>
      </c>
    </row>
    <row r="35" spans="2:28" x14ac:dyDescent="0.2">
      <c r="C35" s="23">
        <v>1100578664</v>
      </c>
      <c r="E35" s="23">
        <v>90</v>
      </c>
      <c r="F35" s="23" t="s">
        <v>124</v>
      </c>
      <c r="G35" s="23" t="s">
        <v>125</v>
      </c>
      <c r="H35" s="24">
        <v>46086</v>
      </c>
      <c r="I35" s="24">
        <v>46094</v>
      </c>
      <c r="J35" s="23" t="s">
        <v>381</v>
      </c>
      <c r="K35" s="23" t="s">
        <v>381</v>
      </c>
      <c r="L35" s="23">
        <v>1</v>
      </c>
      <c r="M35" s="23" t="s">
        <v>78</v>
      </c>
      <c r="N35" s="23" t="s">
        <v>78</v>
      </c>
      <c r="O35" s="23">
        <v>1370.83</v>
      </c>
      <c r="P35" s="23" t="s">
        <v>79</v>
      </c>
      <c r="Q35" s="23" t="s">
        <v>83</v>
      </c>
      <c r="R35" s="23">
        <v>11100176</v>
      </c>
      <c r="S35" s="24">
        <v>46086</v>
      </c>
      <c r="T35" s="24">
        <v>46085</v>
      </c>
      <c r="U35" s="24">
        <v>47116</v>
      </c>
      <c r="X35" s="24">
        <v>46085</v>
      </c>
      <c r="Y35" s="23">
        <v>1111</v>
      </c>
      <c r="Z35" s="23">
        <v>11600003</v>
      </c>
      <c r="AA35" s="23">
        <v>5051</v>
      </c>
      <c r="AB35" s="24">
        <v>46085</v>
      </c>
    </row>
    <row r="36" spans="2:28" x14ac:dyDescent="0.2">
      <c r="C36" s="23">
        <v>1100578664</v>
      </c>
      <c r="E36" s="23">
        <v>100</v>
      </c>
      <c r="F36" s="23" t="s">
        <v>82</v>
      </c>
      <c r="G36" s="23" t="s">
        <v>139</v>
      </c>
      <c r="H36" s="24">
        <v>46086</v>
      </c>
      <c r="I36" s="24">
        <v>46094</v>
      </c>
      <c r="J36" s="23" t="s">
        <v>381</v>
      </c>
      <c r="K36" s="23" t="s">
        <v>381</v>
      </c>
      <c r="L36" s="23">
        <v>1</v>
      </c>
      <c r="M36" s="23" t="s">
        <v>78</v>
      </c>
      <c r="N36" s="23" t="s">
        <v>78</v>
      </c>
      <c r="O36" s="23">
        <v>0.01</v>
      </c>
      <c r="P36" s="23" t="s">
        <v>79</v>
      </c>
      <c r="Q36" s="23" t="s">
        <v>83</v>
      </c>
      <c r="R36" s="23">
        <v>11100176</v>
      </c>
      <c r="S36" s="24">
        <v>46086</v>
      </c>
      <c r="T36" s="24">
        <v>46085</v>
      </c>
      <c r="U36" s="24">
        <v>47116</v>
      </c>
      <c r="X36" s="24">
        <v>46085</v>
      </c>
      <c r="Y36" s="23">
        <v>1111</v>
      </c>
      <c r="Z36" s="23">
        <v>11600003</v>
      </c>
      <c r="AA36" s="23">
        <v>5051</v>
      </c>
      <c r="AB36" s="24">
        <v>46085</v>
      </c>
    </row>
    <row r="37" spans="2:28" x14ac:dyDescent="0.2">
      <c r="B37" s="23" t="s">
        <v>81</v>
      </c>
      <c r="C37" s="23">
        <v>1100578664</v>
      </c>
      <c r="H37" s="24">
        <v>46086</v>
      </c>
      <c r="O37" s="23">
        <v>8851.48</v>
      </c>
      <c r="P37" s="23" t="s">
        <v>79</v>
      </c>
    </row>
    <row r="38" spans="2:28" x14ac:dyDescent="0.2">
      <c r="C38" s="23">
        <v>1100552892</v>
      </c>
      <c r="E38" s="23">
        <v>20</v>
      </c>
      <c r="F38" s="23" t="s">
        <v>1913</v>
      </c>
      <c r="G38" s="23" t="s">
        <v>1914</v>
      </c>
      <c r="H38" s="24">
        <v>46087</v>
      </c>
      <c r="I38" s="24">
        <v>46087</v>
      </c>
      <c r="J38" s="23" t="s">
        <v>805</v>
      </c>
      <c r="K38" s="23" t="s">
        <v>805</v>
      </c>
      <c r="L38" s="23">
        <v>3</v>
      </c>
      <c r="M38" s="23" t="s">
        <v>78</v>
      </c>
      <c r="N38" s="23" t="s">
        <v>78</v>
      </c>
      <c r="O38" s="23">
        <v>0</v>
      </c>
      <c r="P38" s="23" t="s">
        <v>79</v>
      </c>
      <c r="Q38" s="23" t="s">
        <v>83</v>
      </c>
      <c r="R38" s="23">
        <v>11100018</v>
      </c>
      <c r="S38" s="24" t="s">
        <v>80</v>
      </c>
      <c r="T38" s="24">
        <v>45813</v>
      </c>
      <c r="U38" s="24">
        <v>46752</v>
      </c>
      <c r="X38" s="24">
        <v>45813</v>
      </c>
      <c r="Y38" s="23">
        <v>1111</v>
      </c>
      <c r="Z38" s="23">
        <v>11200017</v>
      </c>
      <c r="AA38" s="23">
        <v>3955</v>
      </c>
      <c r="AB38" s="24">
        <v>45813</v>
      </c>
    </row>
    <row r="39" spans="2:28" x14ac:dyDescent="0.2">
      <c r="B39" s="23" t="s">
        <v>81</v>
      </c>
      <c r="C39" s="23">
        <v>1100552892</v>
      </c>
      <c r="H39" s="24">
        <v>46087</v>
      </c>
      <c r="O39" s="23">
        <v>0</v>
      </c>
      <c r="P39" s="23" t="s">
        <v>79</v>
      </c>
    </row>
    <row r="40" spans="2:28" x14ac:dyDescent="0.2">
      <c r="C40" s="23">
        <v>1100560754</v>
      </c>
      <c r="E40" s="23">
        <v>110</v>
      </c>
      <c r="F40" s="23" t="s">
        <v>1842</v>
      </c>
      <c r="G40" s="23" t="s">
        <v>1843</v>
      </c>
      <c r="H40" s="24">
        <v>46087</v>
      </c>
      <c r="I40" s="24">
        <v>46087</v>
      </c>
      <c r="J40" s="23" t="s">
        <v>1841</v>
      </c>
      <c r="K40" s="23" t="s">
        <v>1841</v>
      </c>
      <c r="L40" s="23">
        <v>1</v>
      </c>
      <c r="M40" s="23" t="s">
        <v>78</v>
      </c>
      <c r="N40" s="23" t="s">
        <v>78</v>
      </c>
      <c r="O40" s="23">
        <v>0.01</v>
      </c>
      <c r="P40" s="23" t="s">
        <v>79</v>
      </c>
      <c r="Q40" s="23" t="s">
        <v>83</v>
      </c>
      <c r="R40" s="23">
        <v>11100008</v>
      </c>
      <c r="S40" s="24">
        <v>45992</v>
      </c>
      <c r="T40" s="24">
        <v>45894</v>
      </c>
      <c r="U40" s="24">
        <v>47116</v>
      </c>
      <c r="X40" s="24">
        <v>45891</v>
      </c>
      <c r="Y40" s="23">
        <v>1111</v>
      </c>
      <c r="Z40" s="23">
        <v>11600007</v>
      </c>
      <c r="AA40" s="23">
        <v>335103</v>
      </c>
      <c r="AB40" s="24">
        <v>45883</v>
      </c>
    </row>
    <row r="41" spans="2:28" x14ac:dyDescent="0.2">
      <c r="B41" s="23" t="s">
        <v>81</v>
      </c>
      <c r="C41" s="23">
        <v>1100560754</v>
      </c>
      <c r="H41" s="24">
        <v>46087</v>
      </c>
      <c r="O41" s="23">
        <v>0.01</v>
      </c>
      <c r="P41" s="23" t="s">
        <v>79</v>
      </c>
    </row>
    <row r="42" spans="2:28" x14ac:dyDescent="0.2">
      <c r="C42" s="23">
        <v>1100563114</v>
      </c>
      <c r="E42" s="23">
        <v>10</v>
      </c>
      <c r="F42" s="23" t="s">
        <v>839</v>
      </c>
      <c r="G42" s="23" t="s">
        <v>840</v>
      </c>
      <c r="H42" s="24">
        <v>46087</v>
      </c>
      <c r="I42" s="24">
        <v>46087</v>
      </c>
      <c r="J42" s="23" t="s">
        <v>834</v>
      </c>
      <c r="K42" s="23" t="s">
        <v>834</v>
      </c>
      <c r="L42" s="23">
        <v>1</v>
      </c>
      <c r="M42" s="23" t="s">
        <v>78</v>
      </c>
      <c r="N42" s="23" t="s">
        <v>78</v>
      </c>
      <c r="O42" s="23">
        <v>11620</v>
      </c>
      <c r="P42" s="23" t="s">
        <v>79</v>
      </c>
      <c r="Q42" s="23" t="s">
        <v>83</v>
      </c>
      <c r="R42" s="23">
        <v>11100299</v>
      </c>
      <c r="S42" s="24">
        <v>45959</v>
      </c>
      <c r="T42" s="24">
        <v>45917</v>
      </c>
      <c r="U42" s="24">
        <v>46084</v>
      </c>
      <c r="X42" s="24">
        <v>45911</v>
      </c>
      <c r="Y42" s="23">
        <v>1111</v>
      </c>
      <c r="Z42" s="23">
        <v>11400797</v>
      </c>
      <c r="AA42" s="23">
        <v>335803</v>
      </c>
      <c r="AB42" s="24">
        <v>45912</v>
      </c>
    </row>
    <row r="43" spans="2:28" x14ac:dyDescent="0.2">
      <c r="C43" s="23">
        <v>1100563114</v>
      </c>
      <c r="E43" s="23">
        <v>20</v>
      </c>
      <c r="F43" s="23" t="s">
        <v>82</v>
      </c>
      <c r="G43" s="23" t="s">
        <v>139</v>
      </c>
      <c r="H43" s="24">
        <v>46087</v>
      </c>
      <c r="I43" s="24">
        <v>46087</v>
      </c>
      <c r="J43" s="23" t="s">
        <v>834</v>
      </c>
      <c r="K43" s="23" t="s">
        <v>834</v>
      </c>
      <c r="L43" s="23">
        <v>1</v>
      </c>
      <c r="M43" s="23" t="s">
        <v>78</v>
      </c>
      <c r="N43" s="23" t="s">
        <v>78</v>
      </c>
      <c r="O43" s="23">
        <v>0.01</v>
      </c>
      <c r="P43" s="23" t="s">
        <v>79</v>
      </c>
      <c r="Q43" s="23" t="s">
        <v>83</v>
      </c>
      <c r="R43" s="23">
        <v>11100299</v>
      </c>
      <c r="S43" s="24" t="s">
        <v>80</v>
      </c>
      <c r="T43" s="24">
        <v>45917</v>
      </c>
      <c r="U43" s="24">
        <v>46084</v>
      </c>
      <c r="X43" s="24">
        <v>45911</v>
      </c>
      <c r="Y43" s="23">
        <v>1111</v>
      </c>
      <c r="Z43" s="23">
        <v>11400797</v>
      </c>
      <c r="AA43" s="23">
        <v>335803</v>
      </c>
      <c r="AB43" s="24">
        <v>45912</v>
      </c>
    </row>
    <row r="44" spans="2:28" x14ac:dyDescent="0.2">
      <c r="B44" s="23" t="s">
        <v>81</v>
      </c>
      <c r="C44" s="23">
        <v>1100563114</v>
      </c>
      <c r="H44" s="24">
        <v>46087</v>
      </c>
      <c r="O44" s="23">
        <v>11620.01</v>
      </c>
      <c r="P44" s="23" t="s">
        <v>79</v>
      </c>
    </row>
    <row r="45" spans="2:28" x14ac:dyDescent="0.2">
      <c r="C45" s="23">
        <v>1100568824</v>
      </c>
      <c r="E45" s="23">
        <v>10</v>
      </c>
      <c r="F45" s="23" t="s">
        <v>2062</v>
      </c>
      <c r="G45" s="23" t="s">
        <v>2063</v>
      </c>
      <c r="H45" s="24">
        <v>46087</v>
      </c>
      <c r="I45" s="24">
        <v>46087</v>
      </c>
      <c r="J45" s="23" t="s">
        <v>1820</v>
      </c>
      <c r="K45" s="23" t="s">
        <v>1820</v>
      </c>
      <c r="L45" s="23">
        <v>6</v>
      </c>
      <c r="M45" s="23" t="s">
        <v>78</v>
      </c>
      <c r="N45" s="23" t="s">
        <v>78</v>
      </c>
      <c r="O45" s="23">
        <v>3008.46</v>
      </c>
      <c r="P45" s="23" t="s">
        <v>79</v>
      </c>
      <c r="Q45" s="23" t="s">
        <v>83</v>
      </c>
      <c r="R45" s="23">
        <v>11100008</v>
      </c>
      <c r="S45" s="24">
        <v>46009</v>
      </c>
      <c r="T45" s="24">
        <v>45974</v>
      </c>
      <c r="U45" s="24" t="s">
        <v>80</v>
      </c>
      <c r="X45" s="24">
        <v>45972</v>
      </c>
      <c r="Y45" s="23">
        <v>1111</v>
      </c>
      <c r="Z45" s="23">
        <v>11400937</v>
      </c>
      <c r="AA45" s="23">
        <v>3951</v>
      </c>
      <c r="AB45" s="24">
        <v>45971</v>
      </c>
    </row>
    <row r="46" spans="2:28" x14ac:dyDescent="0.2">
      <c r="C46" s="23">
        <v>1100568824</v>
      </c>
      <c r="E46" s="23">
        <v>20</v>
      </c>
      <c r="F46" s="23" t="s">
        <v>82</v>
      </c>
      <c r="G46" s="23" t="s">
        <v>139</v>
      </c>
      <c r="H46" s="24">
        <v>46087</v>
      </c>
      <c r="I46" s="24">
        <v>46087</v>
      </c>
      <c r="J46" s="23" t="s">
        <v>1820</v>
      </c>
      <c r="K46" s="23" t="s">
        <v>1820</v>
      </c>
      <c r="L46" s="23">
        <v>1</v>
      </c>
      <c r="M46" s="23" t="s">
        <v>78</v>
      </c>
      <c r="N46" s="23" t="s">
        <v>78</v>
      </c>
      <c r="O46" s="23">
        <v>0.01</v>
      </c>
      <c r="P46" s="23" t="s">
        <v>79</v>
      </c>
      <c r="Q46" s="23" t="s">
        <v>83</v>
      </c>
      <c r="R46" s="23">
        <v>11100008</v>
      </c>
      <c r="S46" s="24" t="s">
        <v>80</v>
      </c>
      <c r="T46" s="24">
        <v>45974</v>
      </c>
      <c r="U46" s="24" t="s">
        <v>80</v>
      </c>
      <c r="X46" s="24">
        <v>45972</v>
      </c>
      <c r="Y46" s="23">
        <v>1111</v>
      </c>
      <c r="Z46" s="23">
        <v>11400937</v>
      </c>
      <c r="AA46" s="23">
        <v>3951</v>
      </c>
      <c r="AB46" s="24">
        <v>45971</v>
      </c>
    </row>
    <row r="47" spans="2:28" x14ac:dyDescent="0.2">
      <c r="B47" s="23" t="s">
        <v>81</v>
      </c>
      <c r="C47" s="23">
        <v>1100568824</v>
      </c>
      <c r="H47" s="24">
        <v>46087</v>
      </c>
      <c r="O47" s="23">
        <v>3008.47</v>
      </c>
      <c r="P47" s="23" t="s">
        <v>79</v>
      </c>
    </row>
    <row r="48" spans="2:28" x14ac:dyDescent="0.2">
      <c r="C48" s="23">
        <v>1100569375</v>
      </c>
      <c r="E48" s="23">
        <v>20</v>
      </c>
      <c r="F48" s="23" t="s">
        <v>1916</v>
      </c>
      <c r="G48" s="23" t="s">
        <v>1917</v>
      </c>
      <c r="H48" s="24">
        <v>46087</v>
      </c>
      <c r="I48" s="24">
        <v>46087</v>
      </c>
      <c r="J48" s="23" t="s">
        <v>92</v>
      </c>
      <c r="K48" s="23" t="s">
        <v>92</v>
      </c>
      <c r="L48" s="23">
        <v>1</v>
      </c>
      <c r="M48" s="23" t="s">
        <v>78</v>
      </c>
      <c r="N48" s="23" t="s">
        <v>78</v>
      </c>
      <c r="O48" s="23">
        <v>764.82</v>
      </c>
      <c r="P48" s="23" t="s">
        <v>79</v>
      </c>
      <c r="Q48" s="23" t="s">
        <v>83</v>
      </c>
      <c r="R48" s="23">
        <v>11100299</v>
      </c>
      <c r="S48" s="24">
        <v>46021</v>
      </c>
      <c r="T48" s="24">
        <v>45980</v>
      </c>
      <c r="U48" s="24">
        <v>46752</v>
      </c>
      <c r="X48" s="24">
        <v>45975</v>
      </c>
      <c r="Y48" s="23">
        <v>1111</v>
      </c>
      <c r="Z48" s="23">
        <v>11400606</v>
      </c>
      <c r="AA48" s="23">
        <v>515103</v>
      </c>
      <c r="AB48" s="24">
        <v>45978</v>
      </c>
    </row>
    <row r="49" spans="2:28" x14ac:dyDescent="0.2">
      <c r="B49" s="23" t="s">
        <v>81</v>
      </c>
      <c r="C49" s="23">
        <v>1100569375</v>
      </c>
      <c r="H49" s="24">
        <v>46087</v>
      </c>
      <c r="O49" s="23">
        <v>764.82</v>
      </c>
      <c r="P49" s="23" t="s">
        <v>79</v>
      </c>
    </row>
    <row r="50" spans="2:28" x14ac:dyDescent="0.2">
      <c r="C50" s="23">
        <v>1100571963</v>
      </c>
      <c r="E50" s="23">
        <v>10</v>
      </c>
      <c r="F50" s="23" t="s">
        <v>2094</v>
      </c>
      <c r="G50" s="23" t="s">
        <v>2095</v>
      </c>
      <c r="H50" s="24">
        <v>46087</v>
      </c>
      <c r="I50" s="24">
        <v>46087</v>
      </c>
      <c r="J50" s="23" t="s">
        <v>1097</v>
      </c>
      <c r="K50" s="23" t="s">
        <v>1097</v>
      </c>
      <c r="L50" s="23">
        <v>1</v>
      </c>
      <c r="M50" s="23" t="s">
        <v>78</v>
      </c>
      <c r="N50" s="23" t="s">
        <v>78</v>
      </c>
      <c r="O50" s="23">
        <v>2523.73</v>
      </c>
      <c r="P50" s="23" t="s">
        <v>79</v>
      </c>
      <c r="Q50" s="23" t="s">
        <v>83</v>
      </c>
      <c r="R50" s="23">
        <v>11100008</v>
      </c>
      <c r="S50" s="24">
        <v>46087</v>
      </c>
      <c r="T50" s="24">
        <v>46009</v>
      </c>
      <c r="U50" s="24" t="s">
        <v>80</v>
      </c>
      <c r="X50" s="24">
        <v>46002</v>
      </c>
      <c r="Y50" s="23">
        <v>1111</v>
      </c>
      <c r="Z50" s="23">
        <v>11400937</v>
      </c>
      <c r="AA50" s="23">
        <v>5051</v>
      </c>
      <c r="AB50" s="24">
        <v>46003</v>
      </c>
    </row>
    <row r="51" spans="2:28" x14ac:dyDescent="0.2">
      <c r="C51" s="23">
        <v>1100571963</v>
      </c>
      <c r="E51" s="23">
        <v>20</v>
      </c>
      <c r="F51" s="23" t="s">
        <v>82</v>
      </c>
      <c r="G51" s="23" t="s">
        <v>139</v>
      </c>
      <c r="H51" s="24">
        <v>46087</v>
      </c>
      <c r="I51" s="24">
        <v>46087</v>
      </c>
      <c r="J51" s="23" t="s">
        <v>1097</v>
      </c>
      <c r="K51" s="23" t="s">
        <v>1097</v>
      </c>
      <c r="L51" s="23">
        <v>1</v>
      </c>
      <c r="M51" s="23" t="s">
        <v>78</v>
      </c>
      <c r="N51" s="23" t="s">
        <v>78</v>
      </c>
      <c r="O51" s="23">
        <v>0.01</v>
      </c>
      <c r="P51" s="23" t="s">
        <v>79</v>
      </c>
      <c r="Q51" s="23" t="s">
        <v>83</v>
      </c>
      <c r="R51" s="23">
        <v>11100008</v>
      </c>
      <c r="S51" s="24" t="s">
        <v>80</v>
      </c>
      <c r="T51" s="24">
        <v>46009</v>
      </c>
      <c r="U51" s="24" t="s">
        <v>80</v>
      </c>
      <c r="X51" s="24">
        <v>46002</v>
      </c>
      <c r="Y51" s="23">
        <v>1111</v>
      </c>
      <c r="Z51" s="23">
        <v>11400937</v>
      </c>
      <c r="AA51" s="23">
        <v>5051</v>
      </c>
      <c r="AB51" s="24">
        <v>46003</v>
      </c>
    </row>
    <row r="52" spans="2:28" x14ac:dyDescent="0.2">
      <c r="B52" s="23" t="s">
        <v>81</v>
      </c>
      <c r="C52" s="23">
        <v>1100571963</v>
      </c>
      <c r="H52" s="24">
        <v>46087</v>
      </c>
      <c r="O52" s="23">
        <v>2523.7399999999998</v>
      </c>
      <c r="P52" s="23" t="s">
        <v>79</v>
      </c>
    </row>
    <row r="53" spans="2:28" x14ac:dyDescent="0.2">
      <c r="C53" s="23">
        <v>1100571971</v>
      </c>
      <c r="E53" s="23">
        <v>10</v>
      </c>
      <c r="F53" s="23" t="s">
        <v>538</v>
      </c>
      <c r="G53" s="23" t="s">
        <v>539</v>
      </c>
      <c r="H53" s="24">
        <v>46087</v>
      </c>
      <c r="I53" s="24">
        <v>46087</v>
      </c>
      <c r="J53" s="23" t="s">
        <v>825</v>
      </c>
      <c r="K53" s="23" t="s">
        <v>825</v>
      </c>
      <c r="L53" s="23">
        <v>1</v>
      </c>
      <c r="M53" s="23" t="s">
        <v>78</v>
      </c>
      <c r="N53" s="23" t="s">
        <v>78</v>
      </c>
      <c r="O53" s="23">
        <v>1115.1400000000001</v>
      </c>
      <c r="P53" s="23" t="s">
        <v>79</v>
      </c>
      <c r="Q53" s="23" t="s">
        <v>83</v>
      </c>
      <c r="R53" s="23">
        <v>11100008</v>
      </c>
      <c r="S53" s="24">
        <v>46045</v>
      </c>
      <c r="T53" s="24">
        <v>46009</v>
      </c>
      <c r="U53" s="24" t="s">
        <v>80</v>
      </c>
      <c r="X53" s="24">
        <v>46009</v>
      </c>
      <c r="Y53" s="23">
        <v>1111</v>
      </c>
      <c r="Z53" s="23">
        <v>11400937</v>
      </c>
      <c r="AA53" s="23">
        <v>505103</v>
      </c>
      <c r="AB53" s="24">
        <v>46009</v>
      </c>
    </row>
    <row r="54" spans="2:28" x14ac:dyDescent="0.2">
      <c r="C54" s="23">
        <v>1100571971</v>
      </c>
      <c r="E54" s="23">
        <v>20</v>
      </c>
      <c r="F54" s="23" t="s">
        <v>82</v>
      </c>
      <c r="G54" s="23" t="s">
        <v>139</v>
      </c>
      <c r="H54" s="24">
        <v>46087</v>
      </c>
      <c r="I54" s="24">
        <v>46087</v>
      </c>
      <c r="J54" s="23" t="s">
        <v>825</v>
      </c>
      <c r="K54" s="23" t="s">
        <v>825</v>
      </c>
      <c r="L54" s="23">
        <v>1</v>
      </c>
      <c r="M54" s="23" t="s">
        <v>78</v>
      </c>
      <c r="N54" s="23" t="s">
        <v>78</v>
      </c>
      <c r="O54" s="23">
        <v>0.01</v>
      </c>
      <c r="P54" s="23" t="s">
        <v>79</v>
      </c>
      <c r="Q54" s="23" t="s">
        <v>83</v>
      </c>
      <c r="R54" s="23">
        <v>11100008</v>
      </c>
      <c r="S54" s="24" t="s">
        <v>80</v>
      </c>
      <c r="T54" s="24">
        <v>46009</v>
      </c>
      <c r="U54" s="24" t="s">
        <v>80</v>
      </c>
      <c r="X54" s="24">
        <v>46009</v>
      </c>
      <c r="Y54" s="23">
        <v>1111</v>
      </c>
      <c r="Z54" s="23">
        <v>11400937</v>
      </c>
      <c r="AA54" s="23">
        <v>505103</v>
      </c>
      <c r="AB54" s="24">
        <v>46009</v>
      </c>
    </row>
    <row r="55" spans="2:28" x14ac:dyDescent="0.2">
      <c r="B55" s="23" t="s">
        <v>81</v>
      </c>
      <c r="C55" s="23">
        <v>1100571971</v>
      </c>
      <c r="H55" s="24">
        <v>46087</v>
      </c>
      <c r="O55" s="23">
        <v>1115.1500000000001</v>
      </c>
      <c r="P55" s="23" t="s">
        <v>79</v>
      </c>
    </row>
    <row r="56" spans="2:28" x14ac:dyDescent="0.2">
      <c r="C56" s="23">
        <v>1100575067</v>
      </c>
      <c r="E56" s="23">
        <v>20</v>
      </c>
      <c r="F56" s="23" t="s">
        <v>82</v>
      </c>
      <c r="G56" s="23" t="s">
        <v>139</v>
      </c>
      <c r="H56" s="24">
        <v>46087</v>
      </c>
      <c r="I56" s="24">
        <v>46087</v>
      </c>
      <c r="J56" s="23" t="s">
        <v>2018</v>
      </c>
      <c r="K56" s="23" t="s">
        <v>2018</v>
      </c>
      <c r="L56" s="23">
        <v>1</v>
      </c>
      <c r="M56" s="23" t="s">
        <v>78</v>
      </c>
      <c r="N56" s="23" t="s">
        <v>78</v>
      </c>
      <c r="O56" s="23">
        <v>0.01</v>
      </c>
      <c r="P56" s="23" t="s">
        <v>79</v>
      </c>
      <c r="Q56" s="23" t="s">
        <v>83</v>
      </c>
      <c r="R56" s="23">
        <v>11100176</v>
      </c>
      <c r="S56" s="24">
        <v>46085</v>
      </c>
      <c r="T56" s="24">
        <v>46049</v>
      </c>
      <c r="U56" s="24">
        <v>46087</v>
      </c>
      <c r="X56" s="24">
        <v>46045</v>
      </c>
      <c r="Y56" s="23">
        <v>1111</v>
      </c>
      <c r="Z56" s="23">
        <v>11100320</v>
      </c>
      <c r="AA56" s="23">
        <v>3351</v>
      </c>
      <c r="AB56" s="24">
        <v>46048</v>
      </c>
    </row>
    <row r="57" spans="2:28" x14ac:dyDescent="0.2">
      <c r="B57" s="23" t="s">
        <v>81</v>
      </c>
      <c r="C57" s="23">
        <v>1100575067</v>
      </c>
      <c r="H57" s="24">
        <v>46087</v>
      </c>
      <c r="O57" s="23">
        <v>0.01</v>
      </c>
      <c r="P57" s="23" t="s">
        <v>79</v>
      </c>
    </row>
    <row r="58" spans="2:28" x14ac:dyDescent="0.2">
      <c r="C58" s="23">
        <v>1100577372</v>
      </c>
      <c r="E58" s="23">
        <v>10</v>
      </c>
      <c r="F58" s="23" t="s">
        <v>2666</v>
      </c>
      <c r="G58" s="23" t="s">
        <v>2667</v>
      </c>
      <c r="H58" s="24">
        <v>46087</v>
      </c>
      <c r="I58" s="24">
        <v>46087</v>
      </c>
      <c r="J58" s="23" t="s">
        <v>2668</v>
      </c>
      <c r="K58" s="23" t="s">
        <v>2668</v>
      </c>
      <c r="L58" s="23">
        <v>3</v>
      </c>
      <c r="M58" s="23" t="s">
        <v>78</v>
      </c>
      <c r="N58" s="23" t="s">
        <v>78</v>
      </c>
      <c r="O58" s="23">
        <v>1360.95</v>
      </c>
      <c r="P58" s="23" t="s">
        <v>79</v>
      </c>
      <c r="Q58" s="23" t="s">
        <v>83</v>
      </c>
      <c r="R58" s="23">
        <v>11100008</v>
      </c>
      <c r="S58" s="24">
        <v>46101</v>
      </c>
      <c r="T58" s="24">
        <v>46073</v>
      </c>
      <c r="U58" s="24">
        <v>46087</v>
      </c>
      <c r="X58" s="24">
        <v>46073</v>
      </c>
      <c r="Y58" s="23">
        <v>1111</v>
      </c>
      <c r="Z58" s="23">
        <v>11400789</v>
      </c>
      <c r="AA58" s="23">
        <v>5151</v>
      </c>
      <c r="AB58" s="24">
        <v>46071</v>
      </c>
    </row>
    <row r="59" spans="2:28" x14ac:dyDescent="0.2">
      <c r="C59" s="23">
        <v>1100577372</v>
      </c>
      <c r="E59" s="23">
        <v>20</v>
      </c>
      <c r="F59" s="23" t="s">
        <v>82</v>
      </c>
      <c r="G59" s="23" t="s">
        <v>139</v>
      </c>
      <c r="H59" s="24">
        <v>46087</v>
      </c>
      <c r="I59" s="24">
        <v>46087</v>
      </c>
      <c r="J59" s="23" t="s">
        <v>2668</v>
      </c>
      <c r="K59" s="23" t="s">
        <v>2668</v>
      </c>
      <c r="L59" s="23">
        <v>1</v>
      </c>
      <c r="M59" s="23" t="s">
        <v>78</v>
      </c>
      <c r="N59" s="23" t="s">
        <v>78</v>
      </c>
      <c r="O59" s="23">
        <v>0.01</v>
      </c>
      <c r="P59" s="23" t="s">
        <v>79</v>
      </c>
      <c r="Q59" s="23" t="s">
        <v>83</v>
      </c>
      <c r="R59" s="23">
        <v>11100008</v>
      </c>
      <c r="S59" s="24" t="s">
        <v>80</v>
      </c>
      <c r="T59" s="24">
        <v>46073</v>
      </c>
      <c r="U59" s="24">
        <v>46087</v>
      </c>
      <c r="X59" s="24">
        <v>46073</v>
      </c>
      <c r="Y59" s="23">
        <v>1111</v>
      </c>
      <c r="Z59" s="23">
        <v>11400789</v>
      </c>
      <c r="AA59" s="23">
        <v>5151</v>
      </c>
      <c r="AB59" s="24">
        <v>46071</v>
      </c>
    </row>
    <row r="60" spans="2:28" x14ac:dyDescent="0.2">
      <c r="B60" s="23" t="s">
        <v>81</v>
      </c>
      <c r="C60" s="23">
        <v>1100577372</v>
      </c>
      <c r="H60" s="24">
        <v>46087</v>
      </c>
      <c r="O60" s="23">
        <v>1360.96</v>
      </c>
      <c r="P60" s="23" t="s">
        <v>79</v>
      </c>
    </row>
    <row r="61" spans="2:28" x14ac:dyDescent="0.2">
      <c r="C61" s="23">
        <v>1100578194</v>
      </c>
      <c r="E61" s="23">
        <v>10</v>
      </c>
      <c r="F61" s="23" t="s">
        <v>769</v>
      </c>
      <c r="G61" s="23" t="s">
        <v>770</v>
      </c>
      <c r="H61" s="24">
        <v>46087</v>
      </c>
      <c r="I61" s="24">
        <v>46142</v>
      </c>
      <c r="J61" s="23" t="s">
        <v>670</v>
      </c>
      <c r="K61" s="23" t="s">
        <v>670</v>
      </c>
      <c r="L61" s="23">
        <v>2</v>
      </c>
      <c r="M61" s="23" t="s">
        <v>78</v>
      </c>
      <c r="N61" s="23" t="s">
        <v>78</v>
      </c>
      <c r="O61" s="23">
        <v>90.8</v>
      </c>
      <c r="P61" s="23" t="s">
        <v>79</v>
      </c>
      <c r="Q61" s="23" t="s">
        <v>83</v>
      </c>
      <c r="R61" s="23">
        <v>11100176</v>
      </c>
      <c r="S61" s="24">
        <v>46086</v>
      </c>
      <c r="T61" s="24">
        <v>46080</v>
      </c>
      <c r="U61" s="24">
        <v>46087</v>
      </c>
      <c r="X61" s="24">
        <v>46079</v>
      </c>
      <c r="Y61" s="23">
        <v>1111</v>
      </c>
      <c r="Z61" s="23">
        <v>11400937</v>
      </c>
      <c r="AA61" s="23">
        <v>335103</v>
      </c>
      <c r="AB61" s="24">
        <v>46079</v>
      </c>
    </row>
    <row r="62" spans="2:28" x14ac:dyDescent="0.2">
      <c r="C62" s="23">
        <v>1100578194</v>
      </c>
      <c r="E62" s="23">
        <v>30</v>
      </c>
      <c r="F62" s="23" t="s">
        <v>82</v>
      </c>
      <c r="G62" s="23" t="s">
        <v>139</v>
      </c>
      <c r="H62" s="24">
        <v>46087</v>
      </c>
      <c r="I62" s="24">
        <v>46087</v>
      </c>
      <c r="J62" s="23" t="s">
        <v>670</v>
      </c>
      <c r="K62" s="23" t="s">
        <v>670</v>
      </c>
      <c r="L62" s="23">
        <v>1</v>
      </c>
      <c r="M62" s="23" t="s">
        <v>78</v>
      </c>
      <c r="N62" s="23" t="s">
        <v>78</v>
      </c>
      <c r="O62" s="23">
        <v>0.01</v>
      </c>
      <c r="P62" s="23" t="s">
        <v>79</v>
      </c>
      <c r="Q62" s="23" t="s">
        <v>83</v>
      </c>
      <c r="R62" s="23">
        <v>11100176</v>
      </c>
      <c r="S62" s="24" t="s">
        <v>80</v>
      </c>
      <c r="T62" s="24">
        <v>46080</v>
      </c>
      <c r="U62" s="24">
        <v>46087</v>
      </c>
      <c r="X62" s="24">
        <v>46079</v>
      </c>
      <c r="Y62" s="23">
        <v>1111</v>
      </c>
      <c r="Z62" s="23">
        <v>11400937</v>
      </c>
      <c r="AA62" s="23">
        <v>335103</v>
      </c>
      <c r="AB62" s="24">
        <v>46079</v>
      </c>
    </row>
    <row r="63" spans="2:28" x14ac:dyDescent="0.2">
      <c r="B63" s="23" t="s">
        <v>81</v>
      </c>
      <c r="C63" s="23">
        <v>1100578194</v>
      </c>
      <c r="H63" s="24">
        <v>46087</v>
      </c>
      <c r="O63" s="23">
        <v>90.81</v>
      </c>
      <c r="P63" s="23" t="s">
        <v>79</v>
      </c>
    </row>
    <row r="64" spans="2:28" x14ac:dyDescent="0.2">
      <c r="C64" s="23">
        <v>1100578667</v>
      </c>
      <c r="E64" s="23">
        <v>10</v>
      </c>
      <c r="F64" s="23" t="s">
        <v>4193</v>
      </c>
      <c r="G64" s="23" t="s">
        <v>4194</v>
      </c>
      <c r="H64" s="24">
        <v>46087</v>
      </c>
      <c r="I64" s="24">
        <v>46087</v>
      </c>
      <c r="J64" s="23" t="s">
        <v>3532</v>
      </c>
      <c r="K64" s="23" t="s">
        <v>3532</v>
      </c>
      <c r="L64" s="23">
        <v>3</v>
      </c>
      <c r="M64" s="23" t="s">
        <v>78</v>
      </c>
      <c r="N64" s="23" t="s">
        <v>78</v>
      </c>
      <c r="O64" s="23">
        <v>1000.02</v>
      </c>
      <c r="P64" s="23" t="s">
        <v>79</v>
      </c>
      <c r="Q64" s="23" t="s">
        <v>83</v>
      </c>
      <c r="R64" s="23">
        <v>11100176</v>
      </c>
      <c r="S64" s="24">
        <v>46086</v>
      </c>
      <c r="T64" s="24">
        <v>46085</v>
      </c>
      <c r="U64" s="24">
        <v>46090</v>
      </c>
      <c r="X64" s="24">
        <v>46085</v>
      </c>
      <c r="Y64" s="23">
        <v>1111</v>
      </c>
      <c r="Z64" s="23">
        <v>11600003</v>
      </c>
      <c r="AA64" s="23">
        <v>525103</v>
      </c>
      <c r="AB64" s="24">
        <v>46085</v>
      </c>
    </row>
    <row r="65" spans="2:28" x14ac:dyDescent="0.2">
      <c r="C65" s="23">
        <v>1100578667</v>
      </c>
      <c r="E65" s="23">
        <v>20</v>
      </c>
      <c r="F65" s="23" t="s">
        <v>82</v>
      </c>
      <c r="G65" s="23" t="s">
        <v>139</v>
      </c>
      <c r="H65" s="24">
        <v>46087</v>
      </c>
      <c r="I65" s="24">
        <v>46087</v>
      </c>
      <c r="J65" s="23" t="s">
        <v>3532</v>
      </c>
      <c r="K65" s="23" t="s">
        <v>3532</v>
      </c>
      <c r="L65" s="23">
        <v>1</v>
      </c>
      <c r="M65" s="23" t="s">
        <v>78</v>
      </c>
      <c r="N65" s="23" t="s">
        <v>78</v>
      </c>
      <c r="O65" s="23">
        <v>0.01</v>
      </c>
      <c r="P65" s="23" t="s">
        <v>79</v>
      </c>
      <c r="Q65" s="23" t="s">
        <v>83</v>
      </c>
      <c r="R65" s="23">
        <v>11100176</v>
      </c>
      <c r="S65" s="24">
        <v>46086</v>
      </c>
      <c r="T65" s="24">
        <v>46085</v>
      </c>
      <c r="U65" s="24">
        <v>46090</v>
      </c>
      <c r="X65" s="24">
        <v>46085</v>
      </c>
      <c r="Y65" s="23">
        <v>1111</v>
      </c>
      <c r="Z65" s="23">
        <v>11600003</v>
      </c>
      <c r="AA65" s="23">
        <v>525103</v>
      </c>
      <c r="AB65" s="24">
        <v>46085</v>
      </c>
    </row>
    <row r="66" spans="2:28" x14ac:dyDescent="0.2">
      <c r="B66" s="23" t="s">
        <v>81</v>
      </c>
      <c r="C66" s="23">
        <v>1100578667</v>
      </c>
      <c r="H66" s="24">
        <v>46087</v>
      </c>
      <c r="O66" s="23">
        <v>1000.03</v>
      </c>
      <c r="P66" s="23" t="s">
        <v>79</v>
      </c>
    </row>
    <row r="67" spans="2:28" x14ac:dyDescent="0.2">
      <c r="C67" s="23">
        <v>1100578682</v>
      </c>
      <c r="E67" s="23">
        <v>10</v>
      </c>
      <c r="F67" s="23" t="s">
        <v>4231</v>
      </c>
      <c r="G67" s="23" t="s">
        <v>4232</v>
      </c>
      <c r="H67" s="24">
        <v>46087</v>
      </c>
      <c r="I67" s="24">
        <v>46087</v>
      </c>
      <c r="J67" s="23" t="s">
        <v>1690</v>
      </c>
      <c r="K67" s="23" t="s">
        <v>1690</v>
      </c>
      <c r="L67" s="23">
        <v>1</v>
      </c>
      <c r="M67" s="23" t="s">
        <v>78</v>
      </c>
      <c r="N67" s="23" t="s">
        <v>78</v>
      </c>
      <c r="O67" s="23">
        <v>3717.95</v>
      </c>
      <c r="P67" s="23" t="s">
        <v>79</v>
      </c>
      <c r="Q67" s="23" t="s">
        <v>83</v>
      </c>
      <c r="R67" s="23">
        <v>11100176</v>
      </c>
      <c r="S67" s="24">
        <v>46093</v>
      </c>
      <c r="T67" s="24">
        <v>46086</v>
      </c>
      <c r="U67" s="24">
        <v>46090</v>
      </c>
      <c r="X67" s="24">
        <v>46086</v>
      </c>
      <c r="Y67" s="23">
        <v>1111</v>
      </c>
      <c r="Z67" s="23">
        <v>11400789</v>
      </c>
      <c r="AA67" s="23">
        <v>5151</v>
      </c>
      <c r="AB67" s="24">
        <v>45868</v>
      </c>
    </row>
    <row r="68" spans="2:28" x14ac:dyDescent="0.2">
      <c r="C68" s="23">
        <v>1100578682</v>
      </c>
      <c r="E68" s="23">
        <v>20</v>
      </c>
      <c r="F68" s="23" t="s">
        <v>82</v>
      </c>
      <c r="G68" s="23" t="s">
        <v>139</v>
      </c>
      <c r="H68" s="24">
        <v>46087</v>
      </c>
      <c r="I68" s="24">
        <v>46087</v>
      </c>
      <c r="J68" s="23" t="s">
        <v>1690</v>
      </c>
      <c r="K68" s="23" t="s">
        <v>1690</v>
      </c>
      <c r="L68" s="23">
        <v>1</v>
      </c>
      <c r="M68" s="23" t="s">
        <v>78</v>
      </c>
      <c r="N68" s="23" t="s">
        <v>78</v>
      </c>
      <c r="O68" s="23">
        <v>0.01</v>
      </c>
      <c r="P68" s="23" t="s">
        <v>79</v>
      </c>
      <c r="Q68" s="23" t="s">
        <v>83</v>
      </c>
      <c r="R68" s="23">
        <v>11100176</v>
      </c>
      <c r="S68" s="24" t="s">
        <v>80</v>
      </c>
      <c r="T68" s="24">
        <v>46086</v>
      </c>
      <c r="U68" s="24">
        <v>46090</v>
      </c>
      <c r="X68" s="24">
        <v>46086</v>
      </c>
      <c r="Y68" s="23">
        <v>1111</v>
      </c>
      <c r="Z68" s="23">
        <v>11400789</v>
      </c>
      <c r="AA68" s="23">
        <v>5151</v>
      </c>
      <c r="AB68" s="24">
        <v>45868</v>
      </c>
    </row>
    <row r="69" spans="2:28" x14ac:dyDescent="0.2">
      <c r="B69" s="23" t="s">
        <v>81</v>
      </c>
      <c r="C69" s="23">
        <v>1100578682</v>
      </c>
      <c r="H69" s="24">
        <v>46087</v>
      </c>
      <c r="O69" s="23">
        <v>3717.96</v>
      </c>
      <c r="P69" s="23" t="s">
        <v>79</v>
      </c>
    </row>
    <row r="70" spans="2:28" x14ac:dyDescent="0.2">
      <c r="C70" s="23">
        <v>1100562714</v>
      </c>
      <c r="E70" s="23">
        <v>10</v>
      </c>
      <c r="F70" s="23" t="s">
        <v>1754</v>
      </c>
      <c r="G70" s="23" t="s">
        <v>1755</v>
      </c>
      <c r="H70" s="24">
        <v>46090</v>
      </c>
      <c r="I70" s="24">
        <v>46090</v>
      </c>
      <c r="J70" s="23" t="s">
        <v>561</v>
      </c>
      <c r="K70" s="23" t="s">
        <v>561</v>
      </c>
      <c r="L70" s="23">
        <v>1</v>
      </c>
      <c r="M70" s="23" t="s">
        <v>78</v>
      </c>
      <c r="N70" s="23" t="s">
        <v>78</v>
      </c>
      <c r="O70" s="23">
        <v>4483.46</v>
      </c>
      <c r="P70" s="23" t="s">
        <v>79</v>
      </c>
      <c r="Q70" s="23" t="s">
        <v>83</v>
      </c>
      <c r="R70" s="23">
        <v>11100299</v>
      </c>
      <c r="S70" s="24">
        <v>45999</v>
      </c>
      <c r="T70" s="24">
        <v>45913</v>
      </c>
      <c r="U70" s="24">
        <v>46010</v>
      </c>
      <c r="X70" s="24">
        <v>45873</v>
      </c>
      <c r="Y70" s="23">
        <v>1111</v>
      </c>
      <c r="Z70" s="23">
        <v>11400606</v>
      </c>
      <c r="AA70" s="23">
        <v>335103</v>
      </c>
      <c r="AB70" s="24">
        <v>45903</v>
      </c>
    </row>
    <row r="71" spans="2:28" x14ac:dyDescent="0.2">
      <c r="B71" s="23" t="s">
        <v>81</v>
      </c>
      <c r="C71" s="23">
        <v>1100562714</v>
      </c>
      <c r="H71" s="24">
        <v>46090</v>
      </c>
      <c r="O71" s="23">
        <v>4483.46</v>
      </c>
      <c r="P71" s="23" t="s">
        <v>79</v>
      </c>
    </row>
    <row r="72" spans="2:28" x14ac:dyDescent="0.2">
      <c r="C72" s="23">
        <v>1100568266</v>
      </c>
      <c r="E72" s="23">
        <v>10</v>
      </c>
      <c r="F72" s="23" t="s">
        <v>1955</v>
      </c>
      <c r="G72" s="23" t="s">
        <v>1956</v>
      </c>
      <c r="H72" s="24">
        <v>46090</v>
      </c>
      <c r="I72" s="24">
        <v>46090</v>
      </c>
      <c r="J72" s="23" t="s">
        <v>393</v>
      </c>
      <c r="K72" s="23" t="s">
        <v>393</v>
      </c>
      <c r="L72" s="23">
        <v>2</v>
      </c>
      <c r="M72" s="23" t="s">
        <v>78</v>
      </c>
      <c r="N72" s="23" t="s">
        <v>78</v>
      </c>
      <c r="O72" s="23">
        <v>0</v>
      </c>
      <c r="P72" s="23" t="s">
        <v>79</v>
      </c>
      <c r="Q72" s="23" t="s">
        <v>83</v>
      </c>
      <c r="R72" s="23">
        <v>11100008</v>
      </c>
      <c r="S72" s="24" t="s">
        <v>80</v>
      </c>
      <c r="T72" s="24">
        <v>45967</v>
      </c>
      <c r="U72" s="24" t="s">
        <v>80</v>
      </c>
      <c r="X72" s="24">
        <v>45967</v>
      </c>
      <c r="Y72" s="23">
        <v>1111</v>
      </c>
      <c r="Z72" s="23">
        <v>11400797</v>
      </c>
      <c r="AA72" s="23">
        <v>3320</v>
      </c>
      <c r="AB72" s="24">
        <v>45967</v>
      </c>
    </row>
    <row r="73" spans="2:28" x14ac:dyDescent="0.2">
      <c r="B73" s="23" t="s">
        <v>81</v>
      </c>
      <c r="C73" s="23">
        <v>1100568266</v>
      </c>
      <c r="H73" s="24">
        <v>46090</v>
      </c>
      <c r="O73" s="23">
        <v>0</v>
      </c>
      <c r="P73" s="23" t="s">
        <v>79</v>
      </c>
    </row>
    <row r="74" spans="2:28" x14ac:dyDescent="0.2">
      <c r="C74" s="23">
        <v>1100569707</v>
      </c>
      <c r="E74" s="23">
        <v>10</v>
      </c>
      <c r="F74" s="23" t="s">
        <v>1466</v>
      </c>
      <c r="G74" s="23" t="s">
        <v>1467</v>
      </c>
      <c r="H74" s="24">
        <v>46090</v>
      </c>
      <c r="I74" s="24">
        <v>46090</v>
      </c>
      <c r="J74" s="23" t="s">
        <v>650</v>
      </c>
      <c r="K74" s="23" t="s">
        <v>650</v>
      </c>
      <c r="L74" s="23">
        <v>1</v>
      </c>
      <c r="M74" s="23" t="s">
        <v>78</v>
      </c>
      <c r="N74" s="23" t="s">
        <v>78</v>
      </c>
      <c r="O74" s="23">
        <v>9680</v>
      </c>
      <c r="P74" s="23" t="s">
        <v>79</v>
      </c>
      <c r="Q74" s="23" t="s">
        <v>83</v>
      </c>
      <c r="R74" s="23">
        <v>11100189</v>
      </c>
      <c r="S74" s="24">
        <v>46080</v>
      </c>
      <c r="T74" s="24">
        <v>45982</v>
      </c>
      <c r="U74" s="24">
        <v>46090</v>
      </c>
      <c r="X74" s="24">
        <v>45982</v>
      </c>
      <c r="Y74" s="23">
        <v>1111</v>
      </c>
      <c r="Z74" s="23">
        <v>11400124</v>
      </c>
      <c r="AA74" s="23">
        <v>525803</v>
      </c>
      <c r="AB74" s="24">
        <v>46752</v>
      </c>
    </row>
    <row r="75" spans="2:28" x14ac:dyDescent="0.2">
      <c r="C75" s="23">
        <v>1100569707</v>
      </c>
      <c r="E75" s="23">
        <v>20</v>
      </c>
      <c r="F75" s="23" t="s">
        <v>84</v>
      </c>
      <c r="G75" s="23" t="s">
        <v>123</v>
      </c>
      <c r="H75" s="24">
        <v>46090</v>
      </c>
      <c r="I75" s="24">
        <v>46090</v>
      </c>
      <c r="J75" s="23" t="s">
        <v>650</v>
      </c>
      <c r="K75" s="23" t="s">
        <v>650</v>
      </c>
      <c r="L75" s="23">
        <v>1</v>
      </c>
      <c r="M75" s="23" t="s">
        <v>78</v>
      </c>
      <c r="N75" s="23" t="s">
        <v>78</v>
      </c>
      <c r="O75" s="23">
        <v>0.01</v>
      </c>
      <c r="P75" s="23" t="s">
        <v>79</v>
      </c>
      <c r="Q75" s="23" t="s">
        <v>83</v>
      </c>
      <c r="R75" s="23">
        <v>11100189</v>
      </c>
      <c r="S75" s="24">
        <v>46080</v>
      </c>
      <c r="T75" s="24">
        <v>45982</v>
      </c>
      <c r="U75" s="24">
        <v>46090</v>
      </c>
      <c r="X75" s="24">
        <v>45982</v>
      </c>
      <c r="Y75" s="23">
        <v>1111</v>
      </c>
      <c r="Z75" s="23">
        <v>11400124</v>
      </c>
      <c r="AA75" s="23">
        <v>525803</v>
      </c>
      <c r="AB75" s="24">
        <v>46752</v>
      </c>
    </row>
    <row r="76" spans="2:28" x14ac:dyDescent="0.2">
      <c r="C76" s="23">
        <v>1100569707</v>
      </c>
      <c r="E76" s="23">
        <v>30</v>
      </c>
      <c r="F76" s="23" t="s">
        <v>96</v>
      </c>
      <c r="G76" s="23" t="s">
        <v>97</v>
      </c>
      <c r="H76" s="24">
        <v>46090</v>
      </c>
      <c r="I76" s="24">
        <v>46090</v>
      </c>
      <c r="J76" s="23" t="s">
        <v>650</v>
      </c>
      <c r="K76" s="23" t="s">
        <v>650</v>
      </c>
      <c r="L76" s="23">
        <v>1</v>
      </c>
      <c r="M76" s="23" t="s">
        <v>78</v>
      </c>
      <c r="N76" s="23" t="s">
        <v>78</v>
      </c>
      <c r="O76" s="23">
        <v>0.01</v>
      </c>
      <c r="P76" s="23" t="s">
        <v>79</v>
      </c>
      <c r="Q76" s="23" t="s">
        <v>83</v>
      </c>
      <c r="R76" s="23">
        <v>11100189</v>
      </c>
      <c r="S76" s="24">
        <v>46080</v>
      </c>
      <c r="T76" s="24">
        <v>45982</v>
      </c>
      <c r="U76" s="24">
        <v>46090</v>
      </c>
      <c r="X76" s="24">
        <v>45982</v>
      </c>
      <c r="Y76" s="23">
        <v>1111</v>
      </c>
      <c r="Z76" s="23">
        <v>11400124</v>
      </c>
      <c r="AA76" s="23">
        <v>525803</v>
      </c>
      <c r="AB76" s="24">
        <v>46752</v>
      </c>
    </row>
    <row r="77" spans="2:28" x14ac:dyDescent="0.2">
      <c r="B77" s="23" t="s">
        <v>81</v>
      </c>
      <c r="C77" s="23">
        <v>1100569707</v>
      </c>
      <c r="H77" s="24">
        <v>46090</v>
      </c>
      <c r="O77" s="23">
        <v>9680.02</v>
      </c>
      <c r="P77" s="23" t="s">
        <v>79</v>
      </c>
    </row>
    <row r="78" spans="2:28" x14ac:dyDescent="0.2">
      <c r="C78" s="23">
        <v>1100574497</v>
      </c>
      <c r="E78" s="23">
        <v>10</v>
      </c>
      <c r="F78" s="23" t="s">
        <v>1054</v>
      </c>
      <c r="G78" s="23" t="s">
        <v>1055</v>
      </c>
      <c r="H78" s="24">
        <v>46090</v>
      </c>
      <c r="I78" s="24">
        <v>46090</v>
      </c>
      <c r="J78" s="23" t="s">
        <v>2688</v>
      </c>
      <c r="K78" s="23" t="s">
        <v>2688</v>
      </c>
      <c r="L78" s="23">
        <v>1</v>
      </c>
      <c r="M78" s="23" t="s">
        <v>78</v>
      </c>
      <c r="N78" s="23" t="s">
        <v>78</v>
      </c>
      <c r="O78" s="23">
        <v>692.24</v>
      </c>
      <c r="P78" s="23" t="s">
        <v>79</v>
      </c>
      <c r="Q78" s="23" t="s">
        <v>83</v>
      </c>
      <c r="R78" s="23">
        <v>11100176</v>
      </c>
      <c r="S78" s="24">
        <v>46086</v>
      </c>
      <c r="T78" s="24">
        <v>46044</v>
      </c>
      <c r="U78" s="24" t="s">
        <v>80</v>
      </c>
      <c r="X78" s="24">
        <v>46043</v>
      </c>
      <c r="Y78" s="23">
        <v>1111</v>
      </c>
      <c r="Z78" s="23">
        <v>11100137</v>
      </c>
      <c r="AA78" s="23">
        <v>3351</v>
      </c>
      <c r="AB78" s="24">
        <v>46037</v>
      </c>
    </row>
    <row r="79" spans="2:28" x14ac:dyDescent="0.2">
      <c r="C79" s="23">
        <v>1100574497</v>
      </c>
      <c r="E79" s="23">
        <v>20</v>
      </c>
      <c r="F79" s="23" t="s">
        <v>2689</v>
      </c>
      <c r="G79" s="23" t="s">
        <v>2690</v>
      </c>
      <c r="H79" s="24">
        <v>46090</v>
      </c>
      <c r="I79" s="24">
        <v>46090</v>
      </c>
      <c r="J79" s="23" t="s">
        <v>2688</v>
      </c>
      <c r="K79" s="23" t="s">
        <v>2688</v>
      </c>
      <c r="L79" s="23">
        <v>1</v>
      </c>
      <c r="M79" s="23" t="s">
        <v>78</v>
      </c>
      <c r="N79" s="23" t="s">
        <v>78</v>
      </c>
      <c r="O79" s="23">
        <v>663.1</v>
      </c>
      <c r="P79" s="23" t="s">
        <v>79</v>
      </c>
      <c r="Q79" s="23" t="s">
        <v>83</v>
      </c>
      <c r="R79" s="23">
        <v>11100176</v>
      </c>
      <c r="S79" s="24">
        <v>46086</v>
      </c>
      <c r="T79" s="24">
        <v>46044</v>
      </c>
      <c r="U79" s="24" t="s">
        <v>80</v>
      </c>
      <c r="X79" s="24">
        <v>46043</v>
      </c>
      <c r="Y79" s="23">
        <v>1111</v>
      </c>
      <c r="Z79" s="23">
        <v>11100137</v>
      </c>
      <c r="AA79" s="23">
        <v>3351</v>
      </c>
      <c r="AB79" s="24">
        <v>46037</v>
      </c>
    </row>
    <row r="80" spans="2:28" x14ac:dyDescent="0.2">
      <c r="C80" s="23">
        <v>1100574497</v>
      </c>
      <c r="E80" s="23">
        <v>30</v>
      </c>
      <c r="F80" s="23" t="s">
        <v>82</v>
      </c>
      <c r="G80" s="23" t="s">
        <v>139</v>
      </c>
      <c r="H80" s="24">
        <v>46090</v>
      </c>
      <c r="I80" s="24">
        <v>46090</v>
      </c>
      <c r="J80" s="23" t="s">
        <v>2688</v>
      </c>
      <c r="K80" s="23" t="s">
        <v>2688</v>
      </c>
      <c r="L80" s="23">
        <v>1</v>
      </c>
      <c r="M80" s="23" t="s">
        <v>78</v>
      </c>
      <c r="N80" s="23" t="s">
        <v>78</v>
      </c>
      <c r="O80" s="23">
        <v>0.01</v>
      </c>
      <c r="P80" s="23" t="s">
        <v>79</v>
      </c>
      <c r="Q80" s="23" t="s">
        <v>83</v>
      </c>
      <c r="R80" s="23">
        <v>11100176</v>
      </c>
      <c r="S80" s="24" t="s">
        <v>80</v>
      </c>
      <c r="T80" s="24">
        <v>46044</v>
      </c>
      <c r="U80" s="24" t="s">
        <v>80</v>
      </c>
      <c r="X80" s="24">
        <v>46043</v>
      </c>
      <c r="Y80" s="23">
        <v>1111</v>
      </c>
      <c r="Z80" s="23">
        <v>11100137</v>
      </c>
      <c r="AA80" s="23">
        <v>3351</v>
      </c>
      <c r="AB80" s="24">
        <v>46037</v>
      </c>
    </row>
    <row r="81" spans="2:28" x14ac:dyDescent="0.2">
      <c r="B81" s="23" t="s">
        <v>81</v>
      </c>
      <c r="C81" s="23">
        <v>1100574497</v>
      </c>
      <c r="H81" s="24">
        <v>46090</v>
      </c>
      <c r="O81" s="23">
        <v>1355.35</v>
      </c>
      <c r="P81" s="23" t="s">
        <v>79</v>
      </c>
    </row>
    <row r="82" spans="2:28" x14ac:dyDescent="0.2">
      <c r="C82" s="23">
        <v>1100577731</v>
      </c>
      <c r="E82" s="23">
        <v>10</v>
      </c>
      <c r="F82" s="23" t="s">
        <v>748</v>
      </c>
      <c r="G82" s="23" t="s">
        <v>749</v>
      </c>
      <c r="H82" s="24">
        <v>46090</v>
      </c>
      <c r="I82" s="24">
        <v>46090</v>
      </c>
      <c r="J82" s="23" t="s">
        <v>102</v>
      </c>
      <c r="K82" s="23" t="s">
        <v>102</v>
      </c>
      <c r="L82" s="23">
        <v>2</v>
      </c>
      <c r="M82" s="23" t="s">
        <v>78</v>
      </c>
      <c r="N82" s="23" t="s">
        <v>78</v>
      </c>
      <c r="O82" s="23">
        <v>311.39999999999998</v>
      </c>
      <c r="P82" s="23" t="s">
        <v>79</v>
      </c>
      <c r="Q82" s="23" t="s">
        <v>83</v>
      </c>
      <c r="R82" s="23">
        <v>11100176</v>
      </c>
      <c r="S82" s="24">
        <v>46079</v>
      </c>
      <c r="T82" s="24">
        <v>46076</v>
      </c>
      <c r="U82" s="24">
        <v>47116</v>
      </c>
      <c r="X82" s="24">
        <v>46065</v>
      </c>
      <c r="Y82" s="23">
        <v>1111</v>
      </c>
      <c r="Z82" s="23">
        <v>11600003</v>
      </c>
      <c r="AA82" s="23">
        <v>515103</v>
      </c>
      <c r="AB82" s="24">
        <v>46076</v>
      </c>
    </row>
    <row r="83" spans="2:28" x14ac:dyDescent="0.2">
      <c r="C83" s="23">
        <v>1100577731</v>
      </c>
      <c r="E83" s="23">
        <v>20</v>
      </c>
      <c r="F83" s="23" t="s">
        <v>3234</v>
      </c>
      <c r="G83" s="23" t="s">
        <v>3235</v>
      </c>
      <c r="H83" s="24">
        <v>46090</v>
      </c>
      <c r="I83" s="24">
        <v>46111</v>
      </c>
      <c r="J83" s="23" t="s">
        <v>102</v>
      </c>
      <c r="K83" s="23" t="s">
        <v>102</v>
      </c>
      <c r="L83" s="23">
        <v>2</v>
      </c>
      <c r="M83" s="23" t="s">
        <v>78</v>
      </c>
      <c r="N83" s="23" t="s">
        <v>78</v>
      </c>
      <c r="O83" s="23">
        <v>1703.96</v>
      </c>
      <c r="P83" s="23" t="s">
        <v>79</v>
      </c>
      <c r="Q83" s="23" t="s">
        <v>83</v>
      </c>
      <c r="R83" s="23">
        <v>11100176</v>
      </c>
      <c r="S83" s="24">
        <v>46101</v>
      </c>
      <c r="T83" s="24">
        <v>46076</v>
      </c>
      <c r="U83" s="24">
        <v>47116</v>
      </c>
      <c r="X83" s="24">
        <v>46065</v>
      </c>
      <c r="Y83" s="23">
        <v>1111</v>
      </c>
      <c r="Z83" s="23">
        <v>11600003</v>
      </c>
      <c r="AA83" s="23">
        <v>515103</v>
      </c>
      <c r="AB83" s="24">
        <v>46076</v>
      </c>
    </row>
    <row r="84" spans="2:28" x14ac:dyDescent="0.2">
      <c r="C84" s="23">
        <v>1100577731</v>
      </c>
      <c r="E84" s="23">
        <v>30</v>
      </c>
      <c r="F84" s="23" t="s">
        <v>1766</v>
      </c>
      <c r="G84" s="23" t="s">
        <v>1767</v>
      </c>
      <c r="H84" s="24">
        <v>46090</v>
      </c>
      <c r="I84" s="24">
        <v>46090</v>
      </c>
      <c r="J84" s="23" t="s">
        <v>102</v>
      </c>
      <c r="K84" s="23" t="s">
        <v>102</v>
      </c>
      <c r="L84" s="23">
        <v>2</v>
      </c>
      <c r="M84" s="23" t="s">
        <v>78</v>
      </c>
      <c r="N84" s="23" t="s">
        <v>78</v>
      </c>
      <c r="O84" s="23">
        <v>83.34</v>
      </c>
      <c r="P84" s="23" t="s">
        <v>79</v>
      </c>
      <c r="Q84" s="23" t="s">
        <v>83</v>
      </c>
      <c r="R84" s="23">
        <v>11100176</v>
      </c>
      <c r="S84" s="24">
        <v>46101</v>
      </c>
      <c r="T84" s="24">
        <v>46076</v>
      </c>
      <c r="U84" s="24">
        <v>47116</v>
      </c>
      <c r="X84" s="24">
        <v>46065</v>
      </c>
      <c r="Y84" s="23">
        <v>1111</v>
      </c>
      <c r="Z84" s="23">
        <v>11600003</v>
      </c>
      <c r="AA84" s="23">
        <v>515103</v>
      </c>
      <c r="AB84" s="24">
        <v>46076</v>
      </c>
    </row>
    <row r="85" spans="2:28" x14ac:dyDescent="0.2">
      <c r="C85" s="23">
        <v>1100577731</v>
      </c>
      <c r="E85" s="23">
        <v>40</v>
      </c>
      <c r="F85" s="23" t="s">
        <v>82</v>
      </c>
      <c r="G85" s="23" t="s">
        <v>139</v>
      </c>
      <c r="H85" s="24">
        <v>46090</v>
      </c>
      <c r="I85" s="24">
        <v>46111</v>
      </c>
      <c r="J85" s="23" t="s">
        <v>102</v>
      </c>
      <c r="K85" s="23" t="s">
        <v>102</v>
      </c>
      <c r="L85" s="23">
        <v>1</v>
      </c>
      <c r="M85" s="23" t="s">
        <v>78</v>
      </c>
      <c r="N85" s="23" t="s">
        <v>78</v>
      </c>
      <c r="O85" s="23">
        <v>0.01</v>
      </c>
      <c r="P85" s="23" t="s">
        <v>79</v>
      </c>
      <c r="Q85" s="23" t="s">
        <v>83</v>
      </c>
      <c r="R85" s="23">
        <v>11100176</v>
      </c>
      <c r="S85" s="24">
        <v>46101</v>
      </c>
      <c r="T85" s="24">
        <v>46076</v>
      </c>
      <c r="U85" s="24">
        <v>47116</v>
      </c>
      <c r="X85" s="24">
        <v>46065</v>
      </c>
      <c r="Y85" s="23">
        <v>1111</v>
      </c>
      <c r="Z85" s="23">
        <v>11600003</v>
      </c>
      <c r="AA85" s="23">
        <v>515103</v>
      </c>
      <c r="AB85" s="24">
        <v>46076</v>
      </c>
    </row>
    <row r="86" spans="2:28" x14ac:dyDescent="0.2">
      <c r="B86" s="23" t="s">
        <v>81</v>
      </c>
      <c r="C86" s="23">
        <v>1100577731</v>
      </c>
      <c r="H86" s="24">
        <v>46090</v>
      </c>
      <c r="O86" s="23">
        <v>2098.71</v>
      </c>
      <c r="P86" s="23" t="s">
        <v>79</v>
      </c>
    </row>
    <row r="87" spans="2:28" x14ac:dyDescent="0.2">
      <c r="C87" s="23">
        <v>1100567814</v>
      </c>
      <c r="E87" s="23">
        <v>10</v>
      </c>
      <c r="F87" s="23" t="s">
        <v>1892</v>
      </c>
      <c r="G87" s="23" t="s">
        <v>1893</v>
      </c>
      <c r="H87" s="24">
        <v>46091</v>
      </c>
      <c r="I87" s="24">
        <v>46091</v>
      </c>
      <c r="J87" s="23" t="s">
        <v>1052</v>
      </c>
      <c r="K87" s="23" t="s">
        <v>1052</v>
      </c>
      <c r="L87" s="23">
        <v>1</v>
      </c>
      <c r="M87" s="23" t="s">
        <v>78</v>
      </c>
      <c r="N87" s="23" t="s">
        <v>78</v>
      </c>
      <c r="O87" s="23">
        <v>22680.639999999999</v>
      </c>
      <c r="P87" s="23" t="s">
        <v>79</v>
      </c>
      <c r="Q87" s="23" t="s">
        <v>83</v>
      </c>
      <c r="R87" s="23">
        <v>11100018</v>
      </c>
      <c r="S87" s="24">
        <v>46031</v>
      </c>
      <c r="T87" s="24">
        <v>45961</v>
      </c>
      <c r="U87" s="24" t="s">
        <v>80</v>
      </c>
      <c r="X87" s="24">
        <v>45961</v>
      </c>
      <c r="Y87" s="23">
        <v>1111</v>
      </c>
      <c r="Z87" s="23">
        <v>11400742</v>
      </c>
      <c r="AA87" s="23">
        <v>3951</v>
      </c>
      <c r="AB87" s="24">
        <v>45952</v>
      </c>
    </row>
    <row r="88" spans="2:28" x14ac:dyDescent="0.2">
      <c r="C88" s="23">
        <v>1100567814</v>
      </c>
      <c r="E88" s="23">
        <v>20</v>
      </c>
      <c r="F88" s="23" t="s">
        <v>209</v>
      </c>
      <c r="G88" s="23" t="s">
        <v>210</v>
      </c>
      <c r="H88" s="24">
        <v>46091</v>
      </c>
      <c r="I88" s="24">
        <v>46091</v>
      </c>
      <c r="J88" s="23" t="s">
        <v>1052</v>
      </c>
      <c r="K88" s="23" t="s">
        <v>1052</v>
      </c>
      <c r="L88" s="23">
        <v>1</v>
      </c>
      <c r="M88" s="23" t="s">
        <v>78</v>
      </c>
      <c r="N88" s="23" t="s">
        <v>78</v>
      </c>
      <c r="O88" s="23">
        <v>0.01</v>
      </c>
      <c r="P88" s="23" t="s">
        <v>79</v>
      </c>
      <c r="Q88" s="23" t="s">
        <v>83</v>
      </c>
      <c r="R88" s="23">
        <v>11100018</v>
      </c>
      <c r="S88" s="24" t="s">
        <v>80</v>
      </c>
      <c r="T88" s="24">
        <v>45961</v>
      </c>
      <c r="U88" s="24" t="s">
        <v>80</v>
      </c>
      <c r="X88" s="24">
        <v>45961</v>
      </c>
      <c r="Y88" s="23">
        <v>1111</v>
      </c>
      <c r="Z88" s="23">
        <v>11400742</v>
      </c>
      <c r="AA88" s="23">
        <v>3951</v>
      </c>
      <c r="AB88" s="24">
        <v>45952</v>
      </c>
    </row>
    <row r="89" spans="2:28" x14ac:dyDescent="0.2">
      <c r="B89" s="23" t="s">
        <v>81</v>
      </c>
      <c r="C89" s="23">
        <v>1100567814</v>
      </c>
      <c r="H89" s="24">
        <v>46091</v>
      </c>
      <c r="O89" s="23">
        <v>22680.65</v>
      </c>
      <c r="P89" s="23" t="s">
        <v>79</v>
      </c>
    </row>
    <row r="90" spans="2:28" x14ac:dyDescent="0.2">
      <c r="C90" s="23">
        <v>1100570795</v>
      </c>
      <c r="E90" s="23">
        <v>10</v>
      </c>
      <c r="F90" s="23" t="s">
        <v>894</v>
      </c>
      <c r="G90" s="23" t="s">
        <v>895</v>
      </c>
      <c r="H90" s="24">
        <v>46091</v>
      </c>
      <c r="I90" s="24">
        <v>46091</v>
      </c>
      <c r="J90" s="23" t="s">
        <v>168</v>
      </c>
      <c r="K90" s="23" t="s">
        <v>168</v>
      </c>
      <c r="L90" s="23">
        <v>1</v>
      </c>
      <c r="M90" s="23" t="s">
        <v>78</v>
      </c>
      <c r="N90" s="23" t="s">
        <v>78</v>
      </c>
      <c r="O90" s="23">
        <v>5867.37</v>
      </c>
      <c r="P90" s="23" t="s">
        <v>79</v>
      </c>
      <c r="Q90" s="23" t="s">
        <v>83</v>
      </c>
      <c r="R90" s="23">
        <v>11100176</v>
      </c>
      <c r="S90" s="24">
        <v>46073</v>
      </c>
      <c r="T90" s="24">
        <v>45999</v>
      </c>
      <c r="U90" s="24" t="s">
        <v>80</v>
      </c>
      <c r="X90" s="24">
        <v>45996</v>
      </c>
      <c r="Y90" s="23">
        <v>1111</v>
      </c>
      <c r="Z90" s="23">
        <v>11400937</v>
      </c>
      <c r="AA90" s="23">
        <v>525103</v>
      </c>
      <c r="AB90" s="24">
        <v>45999</v>
      </c>
    </row>
    <row r="91" spans="2:28" x14ac:dyDescent="0.2">
      <c r="B91" s="23" t="s">
        <v>81</v>
      </c>
      <c r="C91" s="23">
        <v>1100570795</v>
      </c>
      <c r="H91" s="24">
        <v>46091</v>
      </c>
      <c r="O91" s="23">
        <v>5867.37</v>
      </c>
      <c r="P91" s="23" t="s">
        <v>79</v>
      </c>
    </row>
    <row r="92" spans="2:28" x14ac:dyDescent="0.2">
      <c r="C92" s="23">
        <v>1100570809</v>
      </c>
      <c r="E92" s="23">
        <v>10</v>
      </c>
      <c r="F92" s="23" t="s">
        <v>4233</v>
      </c>
      <c r="G92" s="23" t="s">
        <v>4234</v>
      </c>
      <c r="H92" s="24">
        <v>46091</v>
      </c>
      <c r="I92" s="24">
        <v>46091</v>
      </c>
      <c r="J92" s="23" t="s">
        <v>1808</v>
      </c>
      <c r="K92" s="23" t="s">
        <v>1808</v>
      </c>
      <c r="L92" s="23">
        <v>4</v>
      </c>
      <c r="M92" s="23" t="s">
        <v>78</v>
      </c>
      <c r="N92" s="23" t="s">
        <v>78</v>
      </c>
      <c r="O92" s="23">
        <v>3057.04</v>
      </c>
      <c r="P92" s="23" t="s">
        <v>79</v>
      </c>
      <c r="Q92" s="23" t="s">
        <v>83</v>
      </c>
      <c r="R92" s="23">
        <v>11100176</v>
      </c>
      <c r="S92" s="24">
        <v>46031</v>
      </c>
      <c r="T92" s="24">
        <v>45999</v>
      </c>
      <c r="U92" s="24">
        <v>46091</v>
      </c>
      <c r="X92" s="24">
        <v>45994</v>
      </c>
      <c r="Y92" s="23">
        <v>1111</v>
      </c>
      <c r="Z92" s="23">
        <v>11400704</v>
      </c>
      <c r="AA92" s="23">
        <v>515103</v>
      </c>
      <c r="AB92" s="24">
        <v>45996</v>
      </c>
    </row>
    <row r="93" spans="2:28" x14ac:dyDescent="0.2">
      <c r="B93" s="23" t="s">
        <v>81</v>
      </c>
      <c r="C93" s="23">
        <v>1100570809</v>
      </c>
      <c r="H93" s="24">
        <v>46091</v>
      </c>
      <c r="O93" s="23">
        <v>3057.04</v>
      </c>
      <c r="P93" s="23" t="s">
        <v>79</v>
      </c>
    </row>
    <row r="94" spans="2:28" x14ac:dyDescent="0.2">
      <c r="C94" s="23">
        <v>1100571075</v>
      </c>
      <c r="E94" s="23">
        <v>10</v>
      </c>
      <c r="F94" s="23" t="s">
        <v>2183</v>
      </c>
      <c r="G94" s="23" t="s">
        <v>2184</v>
      </c>
      <c r="H94" s="24">
        <v>46091</v>
      </c>
      <c r="I94" s="24">
        <v>46091</v>
      </c>
      <c r="J94" s="23" t="s">
        <v>798</v>
      </c>
      <c r="K94" s="23" t="s">
        <v>798</v>
      </c>
      <c r="L94" s="23">
        <v>3</v>
      </c>
      <c r="M94" s="23" t="s">
        <v>78</v>
      </c>
      <c r="N94" s="23" t="s">
        <v>78</v>
      </c>
      <c r="O94" s="23">
        <v>945</v>
      </c>
      <c r="P94" s="23" t="s">
        <v>79</v>
      </c>
      <c r="Q94" s="23" t="s">
        <v>83</v>
      </c>
      <c r="R94" s="23">
        <v>11100176</v>
      </c>
      <c r="S94" s="24">
        <v>46037</v>
      </c>
      <c r="T94" s="24">
        <v>46001</v>
      </c>
      <c r="U94" s="24">
        <v>46752</v>
      </c>
      <c r="X94" s="24">
        <v>46000</v>
      </c>
      <c r="Y94" s="23">
        <v>1111</v>
      </c>
      <c r="Z94" s="23">
        <v>11400742</v>
      </c>
      <c r="AA94" s="23">
        <v>3951</v>
      </c>
      <c r="AB94" s="24">
        <v>45980</v>
      </c>
    </row>
    <row r="95" spans="2:28" x14ac:dyDescent="0.2">
      <c r="C95" s="23">
        <v>1100571075</v>
      </c>
      <c r="E95" s="23">
        <v>20</v>
      </c>
      <c r="F95" s="23" t="s">
        <v>209</v>
      </c>
      <c r="G95" s="23" t="s">
        <v>210</v>
      </c>
      <c r="H95" s="24">
        <v>46091</v>
      </c>
      <c r="I95" s="24">
        <v>46091</v>
      </c>
      <c r="J95" s="23" t="s">
        <v>798</v>
      </c>
      <c r="K95" s="23" t="s">
        <v>798</v>
      </c>
      <c r="L95" s="23">
        <v>1</v>
      </c>
      <c r="M95" s="23" t="s">
        <v>78</v>
      </c>
      <c r="N95" s="23" t="s">
        <v>78</v>
      </c>
      <c r="O95" s="23">
        <v>167.06</v>
      </c>
      <c r="P95" s="23" t="s">
        <v>79</v>
      </c>
      <c r="Q95" s="23" t="s">
        <v>83</v>
      </c>
      <c r="R95" s="23">
        <v>11100176</v>
      </c>
      <c r="S95" s="24" t="s">
        <v>80</v>
      </c>
      <c r="T95" s="24">
        <v>46001</v>
      </c>
      <c r="U95" s="24">
        <v>46752</v>
      </c>
      <c r="X95" s="24">
        <v>46000</v>
      </c>
      <c r="Y95" s="23">
        <v>1111</v>
      </c>
      <c r="Z95" s="23">
        <v>11400742</v>
      </c>
      <c r="AA95" s="23">
        <v>3951</v>
      </c>
      <c r="AB95" s="24">
        <v>45980</v>
      </c>
    </row>
    <row r="96" spans="2:28" x14ac:dyDescent="0.2">
      <c r="B96" s="23" t="s">
        <v>81</v>
      </c>
      <c r="C96" s="23">
        <v>1100571075</v>
      </c>
      <c r="H96" s="24">
        <v>46091</v>
      </c>
      <c r="O96" s="23">
        <v>1112.06</v>
      </c>
      <c r="P96" s="23" t="s">
        <v>79</v>
      </c>
    </row>
    <row r="97" spans="2:28" x14ac:dyDescent="0.2">
      <c r="C97" s="23">
        <v>1100571162</v>
      </c>
      <c r="E97" s="23">
        <v>10</v>
      </c>
      <c r="F97" s="23" t="s">
        <v>2014</v>
      </c>
      <c r="G97" s="23" t="s">
        <v>2015</v>
      </c>
      <c r="H97" s="24">
        <v>46091</v>
      </c>
      <c r="I97" s="24">
        <v>46091</v>
      </c>
      <c r="J97" s="23" t="s">
        <v>437</v>
      </c>
      <c r="K97" s="23" t="s">
        <v>437</v>
      </c>
      <c r="L97" s="23">
        <v>1</v>
      </c>
      <c r="M97" s="23" t="s">
        <v>78</v>
      </c>
      <c r="N97" s="23" t="s">
        <v>78</v>
      </c>
      <c r="O97" s="23">
        <v>10053.74</v>
      </c>
      <c r="P97" s="23" t="s">
        <v>79</v>
      </c>
      <c r="Q97" s="23" t="s">
        <v>83</v>
      </c>
      <c r="R97" s="23">
        <v>11100176</v>
      </c>
      <c r="S97" s="24">
        <v>45701</v>
      </c>
      <c r="T97" s="24">
        <v>46002</v>
      </c>
      <c r="U97" s="24" t="s">
        <v>80</v>
      </c>
      <c r="X97" s="24">
        <v>46000</v>
      </c>
      <c r="Y97" s="23">
        <v>1111</v>
      </c>
      <c r="Z97" s="23">
        <v>11400704</v>
      </c>
      <c r="AA97" s="23">
        <v>3151</v>
      </c>
      <c r="AB97" s="24">
        <v>46000</v>
      </c>
    </row>
    <row r="98" spans="2:28" x14ac:dyDescent="0.2">
      <c r="C98" s="23">
        <v>1100571162</v>
      </c>
      <c r="E98" s="23">
        <v>20</v>
      </c>
      <c r="F98" s="23" t="s">
        <v>82</v>
      </c>
      <c r="G98" s="23" t="s">
        <v>139</v>
      </c>
      <c r="H98" s="24">
        <v>46091</v>
      </c>
      <c r="I98" s="24">
        <v>46091</v>
      </c>
      <c r="J98" s="23" t="s">
        <v>437</v>
      </c>
      <c r="K98" s="23" t="s">
        <v>437</v>
      </c>
      <c r="L98" s="23">
        <v>1</v>
      </c>
      <c r="M98" s="23" t="s">
        <v>78</v>
      </c>
      <c r="N98" s="23" t="s">
        <v>78</v>
      </c>
      <c r="O98" s="23">
        <v>0.01</v>
      </c>
      <c r="P98" s="23" t="s">
        <v>79</v>
      </c>
      <c r="Q98" s="23" t="s">
        <v>83</v>
      </c>
      <c r="R98" s="23">
        <v>11100176</v>
      </c>
      <c r="S98" s="24" t="s">
        <v>80</v>
      </c>
      <c r="T98" s="24">
        <v>46002</v>
      </c>
      <c r="U98" s="24" t="s">
        <v>80</v>
      </c>
      <c r="X98" s="24">
        <v>46000</v>
      </c>
      <c r="Y98" s="23">
        <v>1111</v>
      </c>
      <c r="Z98" s="23">
        <v>11400704</v>
      </c>
      <c r="AA98" s="23">
        <v>3151</v>
      </c>
      <c r="AB98" s="24">
        <v>46000</v>
      </c>
    </row>
    <row r="99" spans="2:28" x14ac:dyDescent="0.2">
      <c r="B99" s="23" t="s">
        <v>81</v>
      </c>
      <c r="C99" s="23">
        <v>1100571162</v>
      </c>
      <c r="H99" s="24">
        <v>46091</v>
      </c>
      <c r="O99" s="23">
        <v>10053.75</v>
      </c>
      <c r="P99" s="23" t="s">
        <v>79</v>
      </c>
    </row>
    <row r="100" spans="2:28" x14ac:dyDescent="0.2">
      <c r="C100" s="23">
        <v>1100572011</v>
      </c>
      <c r="E100" s="23">
        <v>10</v>
      </c>
      <c r="F100" s="23" t="s">
        <v>667</v>
      </c>
      <c r="G100" s="23" t="s">
        <v>1828</v>
      </c>
      <c r="H100" s="24">
        <v>46091</v>
      </c>
      <c r="I100" s="24">
        <v>46091</v>
      </c>
      <c r="J100" s="23" t="s">
        <v>844</v>
      </c>
      <c r="K100" s="23" t="s">
        <v>844</v>
      </c>
      <c r="L100" s="23">
        <v>10</v>
      </c>
      <c r="M100" s="23" t="s">
        <v>78</v>
      </c>
      <c r="N100" s="23" t="s">
        <v>78</v>
      </c>
      <c r="O100" s="23">
        <v>1513.2</v>
      </c>
      <c r="P100" s="23" t="s">
        <v>79</v>
      </c>
      <c r="Q100" s="23" t="s">
        <v>83</v>
      </c>
      <c r="R100" s="23">
        <v>11100176</v>
      </c>
      <c r="S100" s="24">
        <v>46079</v>
      </c>
      <c r="T100" s="24">
        <v>46010</v>
      </c>
      <c r="U100" s="24" t="s">
        <v>80</v>
      </c>
      <c r="X100" s="24">
        <v>46009</v>
      </c>
      <c r="Y100" s="23">
        <v>1111</v>
      </c>
      <c r="Z100" s="23">
        <v>11400745</v>
      </c>
      <c r="AA100" s="23">
        <v>505103</v>
      </c>
      <c r="AB100" s="24">
        <v>45986</v>
      </c>
    </row>
    <row r="101" spans="2:28" x14ac:dyDescent="0.2">
      <c r="B101" s="23" t="s">
        <v>81</v>
      </c>
      <c r="C101" s="23">
        <v>1100572011</v>
      </c>
      <c r="H101" s="24">
        <v>46091</v>
      </c>
      <c r="O101" s="23">
        <v>1513.2</v>
      </c>
      <c r="P101" s="23" t="s">
        <v>79</v>
      </c>
    </row>
    <row r="102" spans="2:28" x14ac:dyDescent="0.2">
      <c r="C102" s="23">
        <v>1100572064</v>
      </c>
      <c r="E102" s="23">
        <v>10</v>
      </c>
      <c r="F102" s="23" t="s">
        <v>2110</v>
      </c>
      <c r="G102" s="23" t="s">
        <v>2111</v>
      </c>
      <c r="H102" s="24">
        <v>46091</v>
      </c>
      <c r="I102" s="24">
        <v>46091</v>
      </c>
      <c r="J102" s="23" t="s">
        <v>501</v>
      </c>
      <c r="K102" s="23" t="s">
        <v>501</v>
      </c>
      <c r="L102" s="23">
        <v>1</v>
      </c>
      <c r="M102" s="23" t="s">
        <v>78</v>
      </c>
      <c r="N102" s="23" t="s">
        <v>78</v>
      </c>
      <c r="O102" s="23">
        <v>15540.08</v>
      </c>
      <c r="P102" s="23" t="s">
        <v>79</v>
      </c>
      <c r="Q102" s="23" t="s">
        <v>83</v>
      </c>
      <c r="R102" s="23">
        <v>11100176</v>
      </c>
      <c r="S102" s="24" t="s">
        <v>80</v>
      </c>
      <c r="T102" s="24">
        <v>46010</v>
      </c>
      <c r="U102" s="24" t="s">
        <v>80</v>
      </c>
      <c r="X102" s="24">
        <v>46007</v>
      </c>
      <c r="Y102" s="23">
        <v>1111</v>
      </c>
      <c r="Z102" s="23">
        <v>11400797</v>
      </c>
      <c r="AA102" s="23">
        <v>3351</v>
      </c>
      <c r="AB102" s="24">
        <v>46008</v>
      </c>
    </row>
    <row r="103" spans="2:28" x14ac:dyDescent="0.2">
      <c r="B103" s="23" t="s">
        <v>81</v>
      </c>
      <c r="C103" s="23">
        <v>1100572064</v>
      </c>
      <c r="H103" s="24">
        <v>46091</v>
      </c>
      <c r="O103" s="23">
        <v>15540.08</v>
      </c>
      <c r="P103" s="23" t="s">
        <v>79</v>
      </c>
    </row>
    <row r="104" spans="2:28" x14ac:dyDescent="0.2">
      <c r="C104" s="23">
        <v>1100573255</v>
      </c>
      <c r="E104" s="23">
        <v>10</v>
      </c>
      <c r="F104" s="23" t="s">
        <v>702</v>
      </c>
      <c r="G104" s="23" t="s">
        <v>1797</v>
      </c>
      <c r="H104" s="24">
        <v>46091</v>
      </c>
      <c r="I104" s="24">
        <v>46091</v>
      </c>
      <c r="J104" s="23" t="s">
        <v>1798</v>
      </c>
      <c r="K104" s="23" t="s">
        <v>1798</v>
      </c>
      <c r="L104" s="23">
        <v>2</v>
      </c>
      <c r="M104" s="23" t="s">
        <v>78</v>
      </c>
      <c r="N104" s="23" t="s">
        <v>78</v>
      </c>
      <c r="O104" s="23">
        <v>256.58</v>
      </c>
      <c r="P104" s="23" t="s">
        <v>79</v>
      </c>
      <c r="Q104" s="23" t="s">
        <v>119</v>
      </c>
      <c r="R104" s="23">
        <v>11100176</v>
      </c>
      <c r="S104" s="24">
        <v>46071</v>
      </c>
      <c r="T104" s="24">
        <v>46031</v>
      </c>
      <c r="U104" s="24">
        <v>47116</v>
      </c>
      <c r="X104" s="24">
        <v>46026</v>
      </c>
      <c r="Y104" s="23">
        <v>1111</v>
      </c>
      <c r="Z104" s="23">
        <v>11400937</v>
      </c>
      <c r="AA104" s="23">
        <v>335103</v>
      </c>
      <c r="AB104" s="24">
        <v>46029</v>
      </c>
    </row>
    <row r="105" spans="2:28" x14ac:dyDescent="0.2">
      <c r="B105" s="23" t="s">
        <v>81</v>
      </c>
      <c r="C105" s="23">
        <v>1100573255</v>
      </c>
      <c r="H105" s="24">
        <v>46091</v>
      </c>
      <c r="O105" s="23">
        <v>256.58</v>
      </c>
      <c r="P105" s="23" t="s">
        <v>79</v>
      </c>
    </row>
    <row r="106" spans="2:28" x14ac:dyDescent="0.2">
      <c r="C106" s="23">
        <v>1100573378</v>
      </c>
      <c r="E106" s="23">
        <v>10</v>
      </c>
      <c r="F106" s="23" t="s">
        <v>2261</v>
      </c>
      <c r="G106" s="23" t="s">
        <v>2262</v>
      </c>
      <c r="H106" s="24">
        <v>46091</v>
      </c>
      <c r="I106" s="24">
        <v>46091</v>
      </c>
      <c r="J106" s="23" t="s">
        <v>1056</v>
      </c>
      <c r="K106" s="23" t="s">
        <v>1056</v>
      </c>
      <c r="L106" s="23">
        <v>4</v>
      </c>
      <c r="M106" s="23" t="s">
        <v>78</v>
      </c>
      <c r="N106" s="23" t="s">
        <v>78</v>
      </c>
      <c r="O106" s="23">
        <v>530.72</v>
      </c>
      <c r="P106" s="23" t="s">
        <v>79</v>
      </c>
      <c r="Q106" s="23" t="s">
        <v>119</v>
      </c>
      <c r="R106" s="23">
        <v>11100176</v>
      </c>
      <c r="S106" s="24">
        <v>46080</v>
      </c>
      <c r="T106" s="24">
        <v>46032</v>
      </c>
      <c r="U106" s="24">
        <v>46091</v>
      </c>
      <c r="X106" s="24">
        <v>46020</v>
      </c>
      <c r="Y106" s="23">
        <v>1111</v>
      </c>
      <c r="Z106" s="23">
        <v>11400937</v>
      </c>
      <c r="AA106" s="23">
        <v>335103</v>
      </c>
      <c r="AB106" s="24">
        <v>46030</v>
      </c>
    </row>
    <row r="107" spans="2:28" x14ac:dyDescent="0.2">
      <c r="C107" s="23">
        <v>1100573378</v>
      </c>
      <c r="E107" s="23">
        <v>20</v>
      </c>
      <c r="F107" s="23" t="s">
        <v>82</v>
      </c>
      <c r="G107" s="23" t="s">
        <v>139</v>
      </c>
      <c r="H107" s="24">
        <v>46091</v>
      </c>
      <c r="I107" s="24">
        <v>46091</v>
      </c>
      <c r="J107" s="23" t="s">
        <v>1056</v>
      </c>
      <c r="K107" s="23" t="s">
        <v>1056</v>
      </c>
      <c r="L107" s="23">
        <v>1</v>
      </c>
      <c r="M107" s="23" t="s">
        <v>78</v>
      </c>
      <c r="N107" s="23" t="s">
        <v>78</v>
      </c>
      <c r="O107" s="23">
        <v>0.01</v>
      </c>
      <c r="P107" s="23" t="s">
        <v>79</v>
      </c>
      <c r="Q107" s="23" t="s">
        <v>83</v>
      </c>
      <c r="R107" s="23">
        <v>11100176</v>
      </c>
      <c r="S107" s="24" t="s">
        <v>80</v>
      </c>
      <c r="T107" s="24">
        <v>46032</v>
      </c>
      <c r="U107" s="24">
        <v>46091</v>
      </c>
      <c r="X107" s="24">
        <v>46020</v>
      </c>
      <c r="Y107" s="23">
        <v>1111</v>
      </c>
      <c r="Z107" s="23">
        <v>11400937</v>
      </c>
      <c r="AA107" s="23">
        <v>335103</v>
      </c>
      <c r="AB107" s="24">
        <v>46030</v>
      </c>
    </row>
    <row r="108" spans="2:28" x14ac:dyDescent="0.2">
      <c r="B108" s="23" t="s">
        <v>81</v>
      </c>
      <c r="C108" s="23">
        <v>1100573378</v>
      </c>
      <c r="H108" s="24">
        <v>46091</v>
      </c>
      <c r="O108" s="23">
        <v>530.73</v>
      </c>
      <c r="P108" s="23" t="s">
        <v>79</v>
      </c>
    </row>
    <row r="109" spans="2:28" x14ac:dyDescent="0.2">
      <c r="C109" s="23">
        <v>1100573544</v>
      </c>
      <c r="E109" s="23">
        <v>10</v>
      </c>
      <c r="F109" s="23" t="s">
        <v>702</v>
      </c>
      <c r="G109" s="23" t="s">
        <v>1797</v>
      </c>
      <c r="H109" s="24">
        <v>46091</v>
      </c>
      <c r="I109" s="24">
        <v>46091</v>
      </c>
      <c r="J109" s="23" t="s">
        <v>2695</v>
      </c>
      <c r="K109" s="23" t="s">
        <v>2695</v>
      </c>
      <c r="L109" s="23">
        <v>3</v>
      </c>
      <c r="M109" s="23" t="s">
        <v>78</v>
      </c>
      <c r="N109" s="23" t="s">
        <v>78</v>
      </c>
      <c r="O109" s="23">
        <v>384.87</v>
      </c>
      <c r="P109" s="23" t="s">
        <v>79</v>
      </c>
      <c r="Q109" s="23" t="s">
        <v>83</v>
      </c>
      <c r="R109" s="23">
        <v>11100176</v>
      </c>
      <c r="S109" s="24">
        <v>46063</v>
      </c>
      <c r="T109" s="24">
        <v>46034</v>
      </c>
      <c r="U109" s="24">
        <v>46084</v>
      </c>
      <c r="X109" s="24">
        <v>46029</v>
      </c>
      <c r="Y109" s="23">
        <v>1111</v>
      </c>
      <c r="Z109" s="23">
        <v>11400704</v>
      </c>
      <c r="AA109" s="23">
        <v>505103</v>
      </c>
      <c r="AB109" s="24">
        <v>46030</v>
      </c>
    </row>
    <row r="110" spans="2:28" x14ac:dyDescent="0.2">
      <c r="C110" s="23">
        <v>1100573544</v>
      </c>
      <c r="E110" s="23">
        <v>20</v>
      </c>
      <c r="F110" s="23" t="s">
        <v>658</v>
      </c>
      <c r="G110" s="23" t="s">
        <v>1735</v>
      </c>
      <c r="H110" s="24">
        <v>46091</v>
      </c>
      <c r="I110" s="24">
        <v>46091</v>
      </c>
      <c r="J110" s="23" t="s">
        <v>2695</v>
      </c>
      <c r="K110" s="23" t="s">
        <v>2695</v>
      </c>
      <c r="L110" s="23">
        <v>3</v>
      </c>
      <c r="M110" s="23" t="s">
        <v>78</v>
      </c>
      <c r="N110" s="23" t="s">
        <v>78</v>
      </c>
      <c r="O110" s="23">
        <v>470.4</v>
      </c>
      <c r="P110" s="23" t="s">
        <v>79</v>
      </c>
      <c r="Q110" s="23" t="s">
        <v>83</v>
      </c>
      <c r="R110" s="23">
        <v>11100176</v>
      </c>
      <c r="S110" s="24">
        <v>46063</v>
      </c>
      <c r="T110" s="24">
        <v>46034</v>
      </c>
      <c r="U110" s="24">
        <v>46099</v>
      </c>
      <c r="X110" s="24">
        <v>46029</v>
      </c>
      <c r="Y110" s="23">
        <v>1111</v>
      </c>
      <c r="Z110" s="23">
        <v>11400704</v>
      </c>
      <c r="AA110" s="23">
        <v>505103</v>
      </c>
      <c r="AB110" s="24">
        <v>46030</v>
      </c>
    </row>
    <row r="111" spans="2:28" x14ac:dyDescent="0.2">
      <c r="C111" s="23">
        <v>1100573544</v>
      </c>
      <c r="E111" s="23">
        <v>30</v>
      </c>
      <c r="F111" s="23" t="s">
        <v>701</v>
      </c>
      <c r="G111" s="23" t="s">
        <v>1799</v>
      </c>
      <c r="H111" s="24">
        <v>46091</v>
      </c>
      <c r="I111" s="24">
        <v>46091</v>
      </c>
      <c r="J111" s="23" t="s">
        <v>2695</v>
      </c>
      <c r="K111" s="23" t="s">
        <v>2695</v>
      </c>
      <c r="L111" s="23">
        <v>3</v>
      </c>
      <c r="M111" s="23" t="s">
        <v>78</v>
      </c>
      <c r="N111" s="23" t="s">
        <v>78</v>
      </c>
      <c r="O111" s="23">
        <v>384.87</v>
      </c>
      <c r="P111" s="23" t="s">
        <v>79</v>
      </c>
      <c r="Q111" s="23" t="s">
        <v>83</v>
      </c>
      <c r="R111" s="23">
        <v>11100176</v>
      </c>
      <c r="S111" s="24">
        <v>46063</v>
      </c>
      <c r="T111" s="24">
        <v>46034</v>
      </c>
      <c r="U111" s="24">
        <v>46099</v>
      </c>
      <c r="X111" s="24">
        <v>46029</v>
      </c>
      <c r="Y111" s="23">
        <v>1111</v>
      </c>
      <c r="Z111" s="23">
        <v>11400704</v>
      </c>
      <c r="AA111" s="23">
        <v>505103</v>
      </c>
      <c r="AB111" s="24">
        <v>46030</v>
      </c>
    </row>
    <row r="112" spans="2:28" x14ac:dyDescent="0.2">
      <c r="C112" s="23">
        <v>1100573544</v>
      </c>
      <c r="E112" s="23">
        <v>40</v>
      </c>
      <c r="F112" s="23" t="s">
        <v>209</v>
      </c>
      <c r="G112" s="23" t="s">
        <v>210</v>
      </c>
      <c r="H112" s="24">
        <v>46091</v>
      </c>
      <c r="I112" s="24">
        <v>46091</v>
      </c>
      <c r="J112" s="23" t="s">
        <v>2695</v>
      </c>
      <c r="K112" s="23" t="s">
        <v>2695</v>
      </c>
      <c r="L112" s="23">
        <v>1</v>
      </c>
      <c r="M112" s="23" t="s">
        <v>78</v>
      </c>
      <c r="N112" s="23" t="s">
        <v>78</v>
      </c>
      <c r="O112" s="23">
        <v>29</v>
      </c>
      <c r="P112" s="23" t="s">
        <v>79</v>
      </c>
      <c r="Q112" s="23" t="s">
        <v>83</v>
      </c>
      <c r="R112" s="23">
        <v>11100176</v>
      </c>
      <c r="S112" s="24" t="s">
        <v>80</v>
      </c>
      <c r="T112" s="24">
        <v>46034</v>
      </c>
      <c r="U112" s="24">
        <v>46099</v>
      </c>
      <c r="X112" s="24">
        <v>46029</v>
      </c>
      <c r="Y112" s="23">
        <v>1111</v>
      </c>
      <c r="Z112" s="23">
        <v>11400704</v>
      </c>
      <c r="AA112" s="23">
        <v>505103</v>
      </c>
      <c r="AB112" s="24">
        <v>46030</v>
      </c>
    </row>
    <row r="113" spans="2:28" x14ac:dyDescent="0.2">
      <c r="B113" s="23" t="s">
        <v>81</v>
      </c>
      <c r="C113" s="23">
        <v>1100573544</v>
      </c>
      <c r="H113" s="24">
        <v>46091</v>
      </c>
      <c r="O113" s="23">
        <v>1269.1400000000001</v>
      </c>
      <c r="P113" s="23" t="s">
        <v>79</v>
      </c>
    </row>
    <row r="114" spans="2:28" x14ac:dyDescent="0.2">
      <c r="C114" s="23">
        <v>1100573644</v>
      </c>
      <c r="E114" s="23">
        <v>10</v>
      </c>
      <c r="F114" s="23" t="s">
        <v>869</v>
      </c>
      <c r="G114" s="23" t="s">
        <v>870</v>
      </c>
      <c r="H114" s="24">
        <v>46091</v>
      </c>
      <c r="I114" s="24">
        <v>46091</v>
      </c>
      <c r="J114" s="23" t="s">
        <v>381</v>
      </c>
      <c r="K114" s="23" t="s">
        <v>381</v>
      </c>
      <c r="L114" s="23">
        <v>2</v>
      </c>
      <c r="M114" s="23" t="s">
        <v>78</v>
      </c>
      <c r="N114" s="23" t="s">
        <v>78</v>
      </c>
      <c r="O114" s="23">
        <v>2395.58</v>
      </c>
      <c r="P114" s="23" t="s">
        <v>79</v>
      </c>
      <c r="Q114" s="23" t="s">
        <v>83</v>
      </c>
      <c r="R114" s="23">
        <v>11100176</v>
      </c>
      <c r="S114" s="24">
        <v>46092</v>
      </c>
      <c r="T114" s="24">
        <v>46035</v>
      </c>
      <c r="U114" s="24" t="s">
        <v>80</v>
      </c>
      <c r="X114" s="24">
        <v>46034</v>
      </c>
      <c r="Y114" s="23">
        <v>1111</v>
      </c>
      <c r="Z114" s="23">
        <v>11100320</v>
      </c>
      <c r="AA114" s="23">
        <v>5051</v>
      </c>
      <c r="AB114" s="24">
        <v>46030</v>
      </c>
    </row>
    <row r="115" spans="2:28" x14ac:dyDescent="0.2">
      <c r="C115" s="23">
        <v>1100573644</v>
      </c>
      <c r="E115" s="23">
        <v>20</v>
      </c>
      <c r="F115" s="23" t="s">
        <v>82</v>
      </c>
      <c r="G115" s="23" t="s">
        <v>139</v>
      </c>
      <c r="H115" s="24">
        <v>46091</v>
      </c>
      <c r="I115" s="24">
        <v>46091</v>
      </c>
      <c r="J115" s="23" t="s">
        <v>381</v>
      </c>
      <c r="K115" s="23" t="s">
        <v>381</v>
      </c>
      <c r="L115" s="23">
        <v>1</v>
      </c>
      <c r="M115" s="23" t="s">
        <v>78</v>
      </c>
      <c r="N115" s="23" t="s">
        <v>78</v>
      </c>
      <c r="O115" s="23">
        <v>0</v>
      </c>
      <c r="P115" s="23" t="s">
        <v>79</v>
      </c>
      <c r="Q115" s="23" t="s">
        <v>83</v>
      </c>
      <c r="R115" s="23">
        <v>11100176</v>
      </c>
      <c r="S115" s="24">
        <v>46092</v>
      </c>
      <c r="T115" s="24">
        <v>46035</v>
      </c>
      <c r="U115" s="24" t="s">
        <v>80</v>
      </c>
      <c r="X115" s="24">
        <v>46034</v>
      </c>
      <c r="Y115" s="23">
        <v>1111</v>
      </c>
      <c r="Z115" s="23">
        <v>11100320</v>
      </c>
      <c r="AA115" s="23">
        <v>5051</v>
      </c>
      <c r="AB115" s="24">
        <v>46030</v>
      </c>
    </row>
    <row r="116" spans="2:28" x14ac:dyDescent="0.2">
      <c r="B116" s="23" t="s">
        <v>81</v>
      </c>
      <c r="C116" s="23">
        <v>1100573644</v>
      </c>
      <c r="H116" s="24">
        <v>46091</v>
      </c>
      <c r="O116" s="23">
        <v>2395.58</v>
      </c>
      <c r="P116" s="23" t="s">
        <v>79</v>
      </c>
    </row>
    <row r="117" spans="2:28" x14ac:dyDescent="0.2">
      <c r="C117" s="23">
        <v>1100574083</v>
      </c>
      <c r="E117" s="23">
        <v>20</v>
      </c>
      <c r="F117" s="23" t="s">
        <v>894</v>
      </c>
      <c r="G117" s="23" t="s">
        <v>895</v>
      </c>
      <c r="H117" s="24">
        <v>46091</v>
      </c>
      <c r="I117" s="24">
        <v>46091</v>
      </c>
      <c r="J117" s="23" t="s">
        <v>2696</v>
      </c>
      <c r="K117" s="23" t="s">
        <v>2696</v>
      </c>
      <c r="L117" s="23">
        <v>1</v>
      </c>
      <c r="M117" s="23" t="s">
        <v>78</v>
      </c>
      <c r="N117" s="23" t="s">
        <v>78</v>
      </c>
      <c r="O117" s="23">
        <v>5867</v>
      </c>
      <c r="P117" s="23" t="s">
        <v>79</v>
      </c>
      <c r="Q117" s="23" t="s">
        <v>83</v>
      </c>
      <c r="R117" s="23">
        <v>11100176</v>
      </c>
      <c r="S117" s="24">
        <v>46045</v>
      </c>
      <c r="T117" s="24">
        <v>46038</v>
      </c>
      <c r="U117" s="24">
        <v>47116</v>
      </c>
      <c r="V117" s="23">
        <v>6</v>
      </c>
      <c r="X117" s="24">
        <v>46038</v>
      </c>
      <c r="Y117" s="23">
        <v>1111</v>
      </c>
      <c r="Z117" s="23">
        <v>11400745</v>
      </c>
      <c r="AA117" s="23">
        <v>335103</v>
      </c>
      <c r="AB117" s="24">
        <v>46037</v>
      </c>
    </row>
    <row r="118" spans="2:28" x14ac:dyDescent="0.2">
      <c r="B118" s="23" t="s">
        <v>81</v>
      </c>
      <c r="C118" s="23">
        <v>1100574083</v>
      </c>
      <c r="H118" s="24">
        <v>46091</v>
      </c>
      <c r="O118" s="23">
        <v>5867</v>
      </c>
      <c r="P118" s="23" t="s">
        <v>79</v>
      </c>
    </row>
    <row r="119" spans="2:28" x14ac:dyDescent="0.2">
      <c r="C119" s="23">
        <v>1100574144</v>
      </c>
      <c r="E119" s="23">
        <v>10</v>
      </c>
      <c r="F119" s="23" t="s">
        <v>2697</v>
      </c>
      <c r="G119" s="23" t="s">
        <v>2698</v>
      </c>
      <c r="H119" s="24">
        <v>46091</v>
      </c>
      <c r="I119" s="24">
        <v>46091</v>
      </c>
      <c r="J119" s="23" t="s">
        <v>2699</v>
      </c>
      <c r="K119" s="23" t="s">
        <v>2699</v>
      </c>
      <c r="L119" s="23">
        <v>2</v>
      </c>
      <c r="M119" s="23" t="s">
        <v>78</v>
      </c>
      <c r="N119" s="23" t="s">
        <v>78</v>
      </c>
      <c r="O119" s="23">
        <v>2467.7199999999998</v>
      </c>
      <c r="P119" s="23" t="s">
        <v>79</v>
      </c>
      <c r="Q119" s="23" t="s">
        <v>83</v>
      </c>
      <c r="R119" s="23">
        <v>11100008</v>
      </c>
      <c r="S119" s="24">
        <v>46113</v>
      </c>
      <c r="T119" s="24">
        <v>46042</v>
      </c>
      <c r="U119" s="24" t="s">
        <v>80</v>
      </c>
      <c r="X119" s="24">
        <v>46037</v>
      </c>
      <c r="Y119" s="23">
        <v>1111</v>
      </c>
      <c r="Z119" s="23">
        <v>11100320</v>
      </c>
      <c r="AA119" s="23">
        <v>3951</v>
      </c>
      <c r="AB119" s="24">
        <v>46037</v>
      </c>
    </row>
    <row r="120" spans="2:28" x14ac:dyDescent="0.2">
      <c r="C120" s="23">
        <v>1100574144</v>
      </c>
      <c r="E120" s="23">
        <v>20</v>
      </c>
      <c r="F120" s="23" t="s">
        <v>82</v>
      </c>
      <c r="G120" s="23" t="s">
        <v>139</v>
      </c>
      <c r="H120" s="24">
        <v>46091</v>
      </c>
      <c r="I120" s="24">
        <v>46091</v>
      </c>
      <c r="J120" s="23" t="s">
        <v>2699</v>
      </c>
      <c r="K120" s="23" t="s">
        <v>2699</v>
      </c>
      <c r="L120" s="23">
        <v>1</v>
      </c>
      <c r="M120" s="23" t="s">
        <v>78</v>
      </c>
      <c r="N120" s="23" t="s">
        <v>78</v>
      </c>
      <c r="O120" s="23">
        <v>0.01</v>
      </c>
      <c r="P120" s="23" t="s">
        <v>79</v>
      </c>
      <c r="Q120" s="23" t="s">
        <v>83</v>
      </c>
      <c r="R120" s="23">
        <v>11100008</v>
      </c>
      <c r="S120" s="24">
        <v>46113</v>
      </c>
      <c r="T120" s="24">
        <v>46042</v>
      </c>
      <c r="U120" s="24" t="s">
        <v>80</v>
      </c>
      <c r="X120" s="24">
        <v>46037</v>
      </c>
      <c r="Y120" s="23">
        <v>1111</v>
      </c>
      <c r="Z120" s="23">
        <v>11100320</v>
      </c>
      <c r="AA120" s="23">
        <v>3951</v>
      </c>
      <c r="AB120" s="24">
        <v>46037</v>
      </c>
    </row>
    <row r="121" spans="2:28" x14ac:dyDescent="0.2">
      <c r="B121" s="23" t="s">
        <v>81</v>
      </c>
      <c r="C121" s="23">
        <v>1100574144</v>
      </c>
      <c r="H121" s="24">
        <v>46091</v>
      </c>
      <c r="O121" s="23">
        <v>2467.73</v>
      </c>
      <c r="P121" s="23" t="s">
        <v>79</v>
      </c>
    </row>
    <row r="122" spans="2:28" x14ac:dyDescent="0.2">
      <c r="C122" s="23">
        <v>1100574240</v>
      </c>
      <c r="E122" s="23">
        <v>10</v>
      </c>
      <c r="F122" s="23" t="s">
        <v>2700</v>
      </c>
      <c r="G122" s="23" t="s">
        <v>2701</v>
      </c>
      <c r="H122" s="24">
        <v>46091</v>
      </c>
      <c r="I122" s="24">
        <v>46091</v>
      </c>
      <c r="J122" s="23" t="s">
        <v>490</v>
      </c>
      <c r="K122" s="23" t="s">
        <v>490</v>
      </c>
      <c r="L122" s="23">
        <v>2</v>
      </c>
      <c r="M122" s="23" t="s">
        <v>78</v>
      </c>
      <c r="N122" s="23" t="s">
        <v>78</v>
      </c>
      <c r="O122" s="23">
        <v>3300</v>
      </c>
      <c r="P122" s="23" t="s">
        <v>79</v>
      </c>
      <c r="Q122" s="23" t="s">
        <v>83</v>
      </c>
      <c r="R122" s="23">
        <v>11100176</v>
      </c>
      <c r="S122" s="24">
        <v>46084</v>
      </c>
      <c r="T122" s="24">
        <v>46042</v>
      </c>
      <c r="U122" s="24">
        <v>46050</v>
      </c>
      <c r="X122" s="24">
        <v>46038</v>
      </c>
      <c r="Y122" s="23">
        <v>1111</v>
      </c>
      <c r="Z122" s="23">
        <v>11400606</v>
      </c>
      <c r="AA122" s="23">
        <v>5051</v>
      </c>
      <c r="AB122" s="24">
        <v>46037</v>
      </c>
    </row>
    <row r="123" spans="2:28" x14ac:dyDescent="0.2">
      <c r="C123" s="23">
        <v>1100574240</v>
      </c>
      <c r="E123" s="23">
        <v>20</v>
      </c>
      <c r="F123" s="23" t="s">
        <v>2702</v>
      </c>
      <c r="G123" s="23" t="s">
        <v>2703</v>
      </c>
      <c r="H123" s="24">
        <v>46091</v>
      </c>
      <c r="I123" s="24">
        <v>46091</v>
      </c>
      <c r="J123" s="23" t="s">
        <v>490</v>
      </c>
      <c r="K123" s="23" t="s">
        <v>490</v>
      </c>
      <c r="L123" s="23">
        <v>1</v>
      </c>
      <c r="M123" s="23" t="s">
        <v>78</v>
      </c>
      <c r="N123" s="23" t="s">
        <v>78</v>
      </c>
      <c r="O123" s="23">
        <v>2004.81</v>
      </c>
      <c r="P123" s="23" t="s">
        <v>79</v>
      </c>
      <c r="Q123" s="23" t="s">
        <v>83</v>
      </c>
      <c r="R123" s="23">
        <v>11100176</v>
      </c>
      <c r="S123" s="24">
        <v>46084</v>
      </c>
      <c r="T123" s="24">
        <v>46042</v>
      </c>
      <c r="U123" s="24">
        <v>47116</v>
      </c>
      <c r="X123" s="24">
        <v>46038</v>
      </c>
      <c r="Y123" s="23">
        <v>1111</v>
      </c>
      <c r="Z123" s="23">
        <v>11400606</v>
      </c>
      <c r="AA123" s="23">
        <v>5051</v>
      </c>
      <c r="AB123" s="24">
        <v>46037</v>
      </c>
    </row>
    <row r="124" spans="2:28" x14ac:dyDescent="0.2">
      <c r="C124" s="23">
        <v>1100574240</v>
      </c>
      <c r="E124" s="23">
        <v>30</v>
      </c>
      <c r="F124" s="23" t="s">
        <v>2700</v>
      </c>
      <c r="G124" s="23" t="s">
        <v>2701</v>
      </c>
      <c r="H124" s="24">
        <v>46091</v>
      </c>
      <c r="I124" s="24">
        <v>46091</v>
      </c>
      <c r="J124" s="23" t="s">
        <v>490</v>
      </c>
      <c r="K124" s="23" t="s">
        <v>490</v>
      </c>
      <c r="L124" s="23">
        <v>2</v>
      </c>
      <c r="M124" s="23" t="s">
        <v>78</v>
      </c>
      <c r="N124" s="23" t="s">
        <v>78</v>
      </c>
      <c r="O124" s="23">
        <v>3300</v>
      </c>
      <c r="P124" s="23" t="s">
        <v>79</v>
      </c>
      <c r="Q124" s="23" t="s">
        <v>83</v>
      </c>
      <c r="R124" s="23">
        <v>11100176</v>
      </c>
      <c r="S124" s="24">
        <v>46084</v>
      </c>
      <c r="T124" s="24">
        <v>46042</v>
      </c>
      <c r="U124" s="24">
        <v>46050</v>
      </c>
      <c r="X124" s="24">
        <v>46038</v>
      </c>
      <c r="Y124" s="23">
        <v>1111</v>
      </c>
      <c r="Z124" s="23">
        <v>11400606</v>
      </c>
      <c r="AA124" s="23">
        <v>5051</v>
      </c>
      <c r="AB124" s="24">
        <v>46037</v>
      </c>
    </row>
    <row r="125" spans="2:28" x14ac:dyDescent="0.2">
      <c r="C125" s="23">
        <v>1100574240</v>
      </c>
      <c r="E125" s="23">
        <v>40</v>
      </c>
      <c r="F125" s="23" t="s">
        <v>2702</v>
      </c>
      <c r="G125" s="23" t="s">
        <v>2703</v>
      </c>
      <c r="H125" s="24">
        <v>46091</v>
      </c>
      <c r="I125" s="24">
        <v>46091</v>
      </c>
      <c r="J125" s="23" t="s">
        <v>490</v>
      </c>
      <c r="K125" s="23" t="s">
        <v>490</v>
      </c>
      <c r="L125" s="23">
        <v>1</v>
      </c>
      <c r="M125" s="23" t="s">
        <v>78</v>
      </c>
      <c r="N125" s="23" t="s">
        <v>78</v>
      </c>
      <c r="O125" s="23">
        <v>2004.81</v>
      </c>
      <c r="P125" s="23" t="s">
        <v>79</v>
      </c>
      <c r="Q125" s="23" t="s">
        <v>83</v>
      </c>
      <c r="R125" s="23">
        <v>11100176</v>
      </c>
      <c r="S125" s="24">
        <v>46084</v>
      </c>
      <c r="T125" s="24">
        <v>46042</v>
      </c>
      <c r="U125" s="24">
        <v>47116</v>
      </c>
      <c r="X125" s="24">
        <v>46038</v>
      </c>
      <c r="Y125" s="23">
        <v>1111</v>
      </c>
      <c r="Z125" s="23">
        <v>11400606</v>
      </c>
      <c r="AA125" s="23">
        <v>5051</v>
      </c>
      <c r="AB125" s="24">
        <v>46037</v>
      </c>
    </row>
    <row r="126" spans="2:28" x14ac:dyDescent="0.2">
      <c r="C126" s="23">
        <v>1100574240</v>
      </c>
      <c r="E126" s="23">
        <v>50</v>
      </c>
      <c r="F126" s="23" t="s">
        <v>2700</v>
      </c>
      <c r="G126" s="23" t="s">
        <v>2701</v>
      </c>
      <c r="H126" s="24">
        <v>46091</v>
      </c>
      <c r="I126" s="24">
        <v>46091</v>
      </c>
      <c r="J126" s="23" t="s">
        <v>490</v>
      </c>
      <c r="K126" s="23" t="s">
        <v>490</v>
      </c>
      <c r="L126" s="23">
        <v>2</v>
      </c>
      <c r="M126" s="23" t="s">
        <v>78</v>
      </c>
      <c r="N126" s="23" t="s">
        <v>78</v>
      </c>
      <c r="O126" s="23">
        <v>3300</v>
      </c>
      <c r="P126" s="23" t="s">
        <v>79</v>
      </c>
      <c r="Q126" s="23" t="s">
        <v>83</v>
      </c>
      <c r="R126" s="23">
        <v>11100176</v>
      </c>
      <c r="S126" s="24">
        <v>46084</v>
      </c>
      <c r="T126" s="24">
        <v>46042</v>
      </c>
      <c r="U126" s="24">
        <v>46050</v>
      </c>
      <c r="X126" s="24">
        <v>46038</v>
      </c>
      <c r="Y126" s="23">
        <v>1111</v>
      </c>
      <c r="Z126" s="23">
        <v>11400606</v>
      </c>
      <c r="AA126" s="23">
        <v>5051</v>
      </c>
      <c r="AB126" s="24">
        <v>46037</v>
      </c>
    </row>
    <row r="127" spans="2:28" x14ac:dyDescent="0.2">
      <c r="C127" s="23">
        <v>1100574240</v>
      </c>
      <c r="E127" s="23">
        <v>60</v>
      </c>
      <c r="F127" s="23" t="s">
        <v>2702</v>
      </c>
      <c r="G127" s="23" t="s">
        <v>2703</v>
      </c>
      <c r="H127" s="24">
        <v>46091</v>
      </c>
      <c r="I127" s="24">
        <v>46091</v>
      </c>
      <c r="J127" s="23" t="s">
        <v>490</v>
      </c>
      <c r="K127" s="23" t="s">
        <v>490</v>
      </c>
      <c r="L127" s="23">
        <v>1</v>
      </c>
      <c r="M127" s="23" t="s">
        <v>78</v>
      </c>
      <c r="N127" s="23" t="s">
        <v>78</v>
      </c>
      <c r="O127" s="23">
        <v>2004.81</v>
      </c>
      <c r="P127" s="23" t="s">
        <v>79</v>
      </c>
      <c r="Q127" s="23" t="s">
        <v>83</v>
      </c>
      <c r="R127" s="23">
        <v>11100176</v>
      </c>
      <c r="S127" s="24">
        <v>46084</v>
      </c>
      <c r="T127" s="24">
        <v>46042</v>
      </c>
      <c r="U127" s="24">
        <v>47116</v>
      </c>
      <c r="X127" s="24">
        <v>46038</v>
      </c>
      <c r="Y127" s="23">
        <v>1111</v>
      </c>
      <c r="Z127" s="23">
        <v>11400606</v>
      </c>
      <c r="AA127" s="23">
        <v>5051</v>
      </c>
      <c r="AB127" s="24">
        <v>46037</v>
      </c>
    </row>
    <row r="128" spans="2:28" x14ac:dyDescent="0.2">
      <c r="C128" s="23">
        <v>1100574240</v>
      </c>
      <c r="E128" s="23">
        <v>70</v>
      </c>
      <c r="F128" s="23" t="s">
        <v>82</v>
      </c>
      <c r="G128" s="23" t="s">
        <v>139</v>
      </c>
      <c r="H128" s="24">
        <v>46091</v>
      </c>
      <c r="I128" s="24">
        <v>46091</v>
      </c>
      <c r="J128" s="23" t="s">
        <v>490</v>
      </c>
      <c r="K128" s="23" t="s">
        <v>490</v>
      </c>
      <c r="L128" s="23">
        <v>1</v>
      </c>
      <c r="M128" s="23" t="s">
        <v>78</v>
      </c>
      <c r="N128" s="23" t="s">
        <v>78</v>
      </c>
      <c r="O128" s="23">
        <v>0.01</v>
      </c>
      <c r="P128" s="23" t="s">
        <v>79</v>
      </c>
      <c r="Q128" s="23" t="s">
        <v>83</v>
      </c>
      <c r="R128" s="23">
        <v>11100176</v>
      </c>
      <c r="S128" s="24" t="s">
        <v>80</v>
      </c>
      <c r="T128" s="24">
        <v>46042</v>
      </c>
      <c r="U128" s="24">
        <v>46050</v>
      </c>
      <c r="X128" s="24">
        <v>46038</v>
      </c>
      <c r="Y128" s="23">
        <v>1111</v>
      </c>
      <c r="Z128" s="23">
        <v>11400606</v>
      </c>
      <c r="AA128" s="23">
        <v>5051</v>
      </c>
      <c r="AB128" s="24">
        <v>46037</v>
      </c>
    </row>
    <row r="129" spans="2:28" x14ac:dyDescent="0.2">
      <c r="B129" s="23" t="s">
        <v>81</v>
      </c>
      <c r="C129" s="23">
        <v>1100574240</v>
      </c>
      <c r="H129" s="24">
        <v>46091</v>
      </c>
      <c r="O129" s="23">
        <v>15914.44</v>
      </c>
      <c r="P129" s="23" t="s">
        <v>79</v>
      </c>
    </row>
    <row r="130" spans="2:28" x14ac:dyDescent="0.2">
      <c r="C130" s="23">
        <v>1100575078</v>
      </c>
      <c r="E130" s="23">
        <v>30</v>
      </c>
      <c r="F130" s="23" t="s">
        <v>2704</v>
      </c>
      <c r="G130" s="23" t="s">
        <v>2705</v>
      </c>
      <c r="H130" s="24">
        <v>46091</v>
      </c>
      <c r="I130" s="24">
        <v>46091</v>
      </c>
      <c r="J130" s="23" t="s">
        <v>237</v>
      </c>
      <c r="K130" s="23" t="s">
        <v>237</v>
      </c>
      <c r="L130" s="23">
        <v>108</v>
      </c>
      <c r="M130" s="23" t="s">
        <v>423</v>
      </c>
      <c r="N130" s="23" t="s">
        <v>423</v>
      </c>
      <c r="O130" s="23">
        <v>1927.8</v>
      </c>
      <c r="P130" s="23" t="s">
        <v>79</v>
      </c>
      <c r="Q130" s="23" t="s">
        <v>83</v>
      </c>
      <c r="R130" s="23">
        <v>11100176</v>
      </c>
      <c r="S130" s="24">
        <v>46070</v>
      </c>
      <c r="T130" s="24">
        <v>46049</v>
      </c>
      <c r="U130" s="24">
        <v>47116</v>
      </c>
      <c r="X130" s="24">
        <v>46048</v>
      </c>
      <c r="Y130" s="23">
        <v>1111</v>
      </c>
      <c r="Z130" s="23">
        <v>11400745</v>
      </c>
      <c r="AA130" s="23">
        <v>3351</v>
      </c>
      <c r="AB130" s="24">
        <v>46008</v>
      </c>
    </row>
    <row r="131" spans="2:28" x14ac:dyDescent="0.2">
      <c r="C131" s="23">
        <v>1100575078</v>
      </c>
      <c r="E131" s="23">
        <v>40</v>
      </c>
      <c r="F131" s="23" t="s">
        <v>82</v>
      </c>
      <c r="G131" s="23" t="s">
        <v>139</v>
      </c>
      <c r="H131" s="24">
        <v>46091</v>
      </c>
      <c r="I131" s="24">
        <v>46083</v>
      </c>
      <c r="J131" s="23" t="s">
        <v>237</v>
      </c>
      <c r="K131" s="23" t="s">
        <v>237</v>
      </c>
      <c r="L131" s="23">
        <v>1</v>
      </c>
      <c r="M131" s="23" t="s">
        <v>78</v>
      </c>
      <c r="N131" s="23" t="s">
        <v>78</v>
      </c>
      <c r="O131" s="23">
        <v>0.01</v>
      </c>
      <c r="P131" s="23" t="s">
        <v>79</v>
      </c>
      <c r="Q131" s="23" t="s">
        <v>83</v>
      </c>
      <c r="R131" s="23">
        <v>11100176</v>
      </c>
      <c r="S131" s="24" t="s">
        <v>80</v>
      </c>
      <c r="T131" s="24">
        <v>46049</v>
      </c>
      <c r="U131" s="24">
        <v>47116</v>
      </c>
      <c r="X131" s="24">
        <v>46048</v>
      </c>
      <c r="Y131" s="23">
        <v>1111</v>
      </c>
      <c r="Z131" s="23">
        <v>11400745</v>
      </c>
      <c r="AA131" s="23">
        <v>3351</v>
      </c>
      <c r="AB131" s="24">
        <v>46008</v>
      </c>
    </row>
    <row r="132" spans="2:28" x14ac:dyDescent="0.2">
      <c r="B132" s="23" t="s">
        <v>81</v>
      </c>
      <c r="C132" s="23">
        <v>1100575078</v>
      </c>
      <c r="H132" s="24">
        <v>46091</v>
      </c>
      <c r="O132" s="23">
        <v>1927.81</v>
      </c>
      <c r="P132" s="23" t="s">
        <v>79</v>
      </c>
    </row>
    <row r="133" spans="2:28" x14ac:dyDescent="0.2">
      <c r="C133" s="23">
        <v>1100575293</v>
      </c>
      <c r="E133" s="23">
        <v>10</v>
      </c>
      <c r="F133" s="23">
        <v>6460710</v>
      </c>
      <c r="G133" s="23" t="s">
        <v>2706</v>
      </c>
      <c r="H133" s="24">
        <v>46091</v>
      </c>
      <c r="I133" s="24">
        <v>46091</v>
      </c>
      <c r="J133" s="23" t="s">
        <v>2206</v>
      </c>
      <c r="K133" s="23" t="s">
        <v>2206</v>
      </c>
      <c r="L133" s="23">
        <v>1</v>
      </c>
      <c r="M133" s="23" t="s">
        <v>78</v>
      </c>
      <c r="N133" s="23" t="s">
        <v>78</v>
      </c>
      <c r="O133" s="23">
        <v>426</v>
      </c>
      <c r="P133" s="23" t="s">
        <v>79</v>
      </c>
      <c r="Q133" s="23" t="s">
        <v>83</v>
      </c>
      <c r="R133" s="23">
        <v>11100176</v>
      </c>
      <c r="S133" s="24">
        <v>46079</v>
      </c>
      <c r="T133" s="24">
        <v>46051</v>
      </c>
      <c r="U133" s="24" t="s">
        <v>80</v>
      </c>
      <c r="X133" s="24">
        <v>46050</v>
      </c>
      <c r="Y133" s="23">
        <v>1111</v>
      </c>
      <c r="Z133" s="23">
        <v>11100137</v>
      </c>
      <c r="AA133" s="23">
        <v>3951</v>
      </c>
      <c r="AB133" s="24">
        <v>46049</v>
      </c>
    </row>
    <row r="134" spans="2:28" x14ac:dyDescent="0.2">
      <c r="C134" s="23">
        <v>1100575293</v>
      </c>
      <c r="E134" s="23">
        <v>20</v>
      </c>
      <c r="F134" s="23" t="s">
        <v>82</v>
      </c>
      <c r="G134" s="23" t="s">
        <v>139</v>
      </c>
      <c r="H134" s="24">
        <v>46091</v>
      </c>
      <c r="I134" s="24">
        <v>46091</v>
      </c>
      <c r="J134" s="23" t="s">
        <v>2206</v>
      </c>
      <c r="K134" s="23" t="s">
        <v>2206</v>
      </c>
      <c r="L134" s="23">
        <v>1</v>
      </c>
      <c r="M134" s="23" t="s">
        <v>78</v>
      </c>
      <c r="N134" s="23" t="s">
        <v>78</v>
      </c>
      <c r="O134" s="23">
        <v>0.01</v>
      </c>
      <c r="P134" s="23" t="s">
        <v>79</v>
      </c>
      <c r="Q134" s="23" t="s">
        <v>83</v>
      </c>
      <c r="R134" s="23">
        <v>11100176</v>
      </c>
      <c r="S134" s="24" t="s">
        <v>80</v>
      </c>
      <c r="T134" s="24">
        <v>46051</v>
      </c>
      <c r="U134" s="24" t="s">
        <v>80</v>
      </c>
      <c r="X134" s="24">
        <v>46050</v>
      </c>
      <c r="Y134" s="23">
        <v>1111</v>
      </c>
      <c r="Z134" s="23">
        <v>11100137</v>
      </c>
      <c r="AA134" s="23">
        <v>3951</v>
      </c>
      <c r="AB134" s="24">
        <v>46049</v>
      </c>
    </row>
    <row r="135" spans="2:28" x14ac:dyDescent="0.2">
      <c r="B135" s="23" t="s">
        <v>81</v>
      </c>
      <c r="C135" s="23">
        <v>1100575293</v>
      </c>
      <c r="H135" s="24">
        <v>46091</v>
      </c>
      <c r="O135" s="23">
        <v>426.01</v>
      </c>
      <c r="P135" s="23" t="s">
        <v>79</v>
      </c>
    </row>
    <row r="136" spans="2:28" x14ac:dyDescent="0.2">
      <c r="C136" s="23">
        <v>1100575310</v>
      </c>
      <c r="E136" s="23">
        <v>10</v>
      </c>
      <c r="F136" s="23" t="s">
        <v>702</v>
      </c>
      <c r="G136" s="23" t="s">
        <v>1797</v>
      </c>
      <c r="H136" s="24">
        <v>46091</v>
      </c>
      <c r="I136" s="24">
        <v>46091</v>
      </c>
      <c r="J136" s="23" t="s">
        <v>2707</v>
      </c>
      <c r="K136" s="23" t="s">
        <v>2707</v>
      </c>
      <c r="L136" s="23">
        <v>6</v>
      </c>
      <c r="M136" s="23" t="s">
        <v>78</v>
      </c>
      <c r="N136" s="23" t="s">
        <v>78</v>
      </c>
      <c r="O136" s="23">
        <v>769.74</v>
      </c>
      <c r="P136" s="23" t="s">
        <v>79</v>
      </c>
      <c r="Q136" s="23" t="s">
        <v>83</v>
      </c>
      <c r="R136" s="23">
        <v>11100176</v>
      </c>
      <c r="S136" s="24">
        <v>46079</v>
      </c>
      <c r="T136" s="24">
        <v>46051</v>
      </c>
      <c r="U136" s="24" t="s">
        <v>80</v>
      </c>
      <c r="X136" s="24">
        <v>46050</v>
      </c>
      <c r="Y136" s="23">
        <v>1111</v>
      </c>
      <c r="Z136" s="23">
        <v>11600001</v>
      </c>
      <c r="AA136" s="23">
        <v>395103</v>
      </c>
      <c r="AB136" s="24">
        <v>46050</v>
      </c>
    </row>
    <row r="137" spans="2:28" x14ac:dyDescent="0.2">
      <c r="B137" s="23" t="s">
        <v>81</v>
      </c>
      <c r="C137" s="23">
        <v>1100575310</v>
      </c>
      <c r="H137" s="24">
        <v>46091</v>
      </c>
      <c r="O137" s="23">
        <v>769.74</v>
      </c>
      <c r="P137" s="23" t="s">
        <v>79</v>
      </c>
    </row>
    <row r="138" spans="2:28" x14ac:dyDescent="0.2">
      <c r="C138" s="23">
        <v>1100575529</v>
      </c>
      <c r="E138" s="23">
        <v>10</v>
      </c>
      <c r="F138" s="23" t="s">
        <v>859</v>
      </c>
      <c r="G138" s="23" t="s">
        <v>860</v>
      </c>
      <c r="H138" s="24">
        <v>46091</v>
      </c>
      <c r="I138" s="24">
        <v>46091</v>
      </c>
      <c r="J138" s="23" t="s">
        <v>686</v>
      </c>
      <c r="K138" s="23" t="s">
        <v>686</v>
      </c>
      <c r="L138" s="23">
        <v>2</v>
      </c>
      <c r="M138" s="23" t="s">
        <v>78</v>
      </c>
      <c r="N138" s="23" t="s">
        <v>78</v>
      </c>
      <c r="O138" s="23">
        <v>97.12</v>
      </c>
      <c r="P138" s="23" t="s">
        <v>79</v>
      </c>
      <c r="Q138" s="23" t="s">
        <v>83</v>
      </c>
      <c r="R138" s="23">
        <v>11100176</v>
      </c>
      <c r="S138" s="24">
        <v>46080</v>
      </c>
      <c r="T138" s="24">
        <v>46052</v>
      </c>
      <c r="U138" s="24" t="s">
        <v>80</v>
      </c>
      <c r="X138" s="24">
        <v>46052</v>
      </c>
      <c r="Y138" s="23">
        <v>1111</v>
      </c>
      <c r="Z138" s="23">
        <v>11400745</v>
      </c>
      <c r="AA138" s="23">
        <v>335103</v>
      </c>
      <c r="AB138" s="24">
        <v>46051</v>
      </c>
    </row>
    <row r="139" spans="2:28" x14ac:dyDescent="0.2">
      <c r="C139" s="23">
        <v>1100575529</v>
      </c>
      <c r="E139" s="23">
        <v>20</v>
      </c>
      <c r="F139" s="23" t="s">
        <v>702</v>
      </c>
      <c r="G139" s="23" t="s">
        <v>1797</v>
      </c>
      <c r="H139" s="24">
        <v>46091</v>
      </c>
      <c r="I139" s="24">
        <v>46091</v>
      </c>
      <c r="J139" s="23" t="s">
        <v>686</v>
      </c>
      <c r="K139" s="23" t="s">
        <v>686</v>
      </c>
      <c r="L139" s="23">
        <v>1</v>
      </c>
      <c r="M139" s="23" t="s">
        <v>78</v>
      </c>
      <c r="N139" s="23" t="s">
        <v>78</v>
      </c>
      <c r="O139" s="23">
        <v>128.29</v>
      </c>
      <c r="P139" s="23" t="s">
        <v>79</v>
      </c>
      <c r="Q139" s="23" t="s">
        <v>83</v>
      </c>
      <c r="R139" s="23">
        <v>11100176</v>
      </c>
      <c r="S139" s="24">
        <v>46080</v>
      </c>
      <c r="T139" s="24">
        <v>46052</v>
      </c>
      <c r="U139" s="24" t="s">
        <v>80</v>
      </c>
      <c r="X139" s="24">
        <v>46052</v>
      </c>
      <c r="Y139" s="23">
        <v>1111</v>
      </c>
      <c r="Z139" s="23">
        <v>11400745</v>
      </c>
      <c r="AA139" s="23">
        <v>335103</v>
      </c>
      <c r="AB139" s="24">
        <v>46051</v>
      </c>
    </row>
    <row r="140" spans="2:28" x14ac:dyDescent="0.2">
      <c r="C140" s="23">
        <v>1100575529</v>
      </c>
      <c r="E140" s="23">
        <v>30</v>
      </c>
      <c r="F140" s="23" t="s">
        <v>82</v>
      </c>
      <c r="G140" s="23" t="s">
        <v>139</v>
      </c>
      <c r="H140" s="24">
        <v>46091</v>
      </c>
      <c r="I140" s="24">
        <v>46091</v>
      </c>
      <c r="J140" s="23" t="s">
        <v>686</v>
      </c>
      <c r="K140" s="23" t="s">
        <v>686</v>
      </c>
      <c r="L140" s="23">
        <v>1</v>
      </c>
      <c r="M140" s="23" t="s">
        <v>78</v>
      </c>
      <c r="N140" s="23" t="s">
        <v>78</v>
      </c>
      <c r="O140" s="23">
        <v>0.01</v>
      </c>
      <c r="P140" s="23" t="s">
        <v>79</v>
      </c>
      <c r="Q140" s="23" t="s">
        <v>83</v>
      </c>
      <c r="R140" s="23">
        <v>11100176</v>
      </c>
      <c r="S140" s="24" t="s">
        <v>80</v>
      </c>
      <c r="T140" s="24">
        <v>46052</v>
      </c>
      <c r="U140" s="24" t="s">
        <v>80</v>
      </c>
      <c r="X140" s="24">
        <v>46052</v>
      </c>
      <c r="Y140" s="23">
        <v>1111</v>
      </c>
      <c r="Z140" s="23">
        <v>11400745</v>
      </c>
      <c r="AA140" s="23">
        <v>335103</v>
      </c>
      <c r="AB140" s="24">
        <v>46051</v>
      </c>
    </row>
    <row r="141" spans="2:28" x14ac:dyDescent="0.2">
      <c r="B141" s="23" t="s">
        <v>81</v>
      </c>
      <c r="C141" s="23">
        <v>1100575529</v>
      </c>
      <c r="H141" s="24">
        <v>46091</v>
      </c>
      <c r="O141" s="23">
        <v>225.42</v>
      </c>
      <c r="P141" s="23" t="s">
        <v>79</v>
      </c>
    </row>
    <row r="142" spans="2:28" x14ac:dyDescent="0.2">
      <c r="C142" s="23">
        <v>1100575617</v>
      </c>
      <c r="E142" s="23">
        <v>10</v>
      </c>
      <c r="F142" s="23" t="s">
        <v>1818</v>
      </c>
      <c r="G142" s="23" t="s">
        <v>1819</v>
      </c>
      <c r="H142" s="24">
        <v>46091</v>
      </c>
      <c r="I142" s="24">
        <v>46091</v>
      </c>
      <c r="J142" s="23" t="s">
        <v>2708</v>
      </c>
      <c r="K142" s="23" t="s">
        <v>2708</v>
      </c>
      <c r="L142" s="23">
        <v>5</v>
      </c>
      <c r="M142" s="23" t="s">
        <v>78</v>
      </c>
      <c r="N142" s="23" t="s">
        <v>78</v>
      </c>
      <c r="O142" s="23">
        <v>1414.5</v>
      </c>
      <c r="P142" s="23" t="s">
        <v>79</v>
      </c>
      <c r="Q142" s="23" t="s">
        <v>83</v>
      </c>
      <c r="R142" s="23">
        <v>11100176</v>
      </c>
      <c r="S142" s="24">
        <v>46091</v>
      </c>
      <c r="T142" s="24">
        <v>46055</v>
      </c>
      <c r="U142" s="24" t="s">
        <v>80</v>
      </c>
      <c r="X142" s="24">
        <v>46050</v>
      </c>
      <c r="Y142" s="23">
        <v>1111</v>
      </c>
      <c r="Z142" s="23">
        <v>11600001</v>
      </c>
      <c r="AA142" s="23">
        <v>335103</v>
      </c>
      <c r="AB142" s="24">
        <v>46052</v>
      </c>
    </row>
    <row r="143" spans="2:28" x14ac:dyDescent="0.2">
      <c r="B143" s="23" t="s">
        <v>81</v>
      </c>
      <c r="C143" s="23">
        <v>1100575617</v>
      </c>
      <c r="H143" s="24">
        <v>46091</v>
      </c>
      <c r="O143" s="23">
        <v>1414.5</v>
      </c>
      <c r="P143" s="23" t="s">
        <v>79</v>
      </c>
    </row>
    <row r="144" spans="2:28" x14ac:dyDescent="0.2">
      <c r="C144" s="23">
        <v>1100575915</v>
      </c>
      <c r="E144" s="23">
        <v>20</v>
      </c>
      <c r="F144" s="23" t="s">
        <v>702</v>
      </c>
      <c r="G144" s="23" t="s">
        <v>1797</v>
      </c>
      <c r="H144" s="24">
        <v>46091</v>
      </c>
      <c r="I144" s="24">
        <v>46091</v>
      </c>
      <c r="J144" s="23" t="s">
        <v>664</v>
      </c>
      <c r="K144" s="23" t="s">
        <v>664</v>
      </c>
      <c r="L144" s="23">
        <v>1</v>
      </c>
      <c r="M144" s="23" t="s">
        <v>78</v>
      </c>
      <c r="N144" s="23" t="s">
        <v>78</v>
      </c>
      <c r="O144" s="23">
        <v>128.29</v>
      </c>
      <c r="P144" s="23" t="s">
        <v>79</v>
      </c>
      <c r="Q144" s="23" t="s">
        <v>83</v>
      </c>
      <c r="R144" s="23">
        <v>11100176</v>
      </c>
      <c r="S144" s="24">
        <v>46078</v>
      </c>
      <c r="T144" s="24">
        <v>46057</v>
      </c>
      <c r="U144" s="24">
        <v>46387</v>
      </c>
      <c r="X144" s="24">
        <v>46055</v>
      </c>
      <c r="Y144" s="23">
        <v>1111</v>
      </c>
      <c r="Z144" s="23">
        <v>11400895</v>
      </c>
      <c r="AA144" s="23">
        <v>395103</v>
      </c>
      <c r="AB144" s="24">
        <v>46056</v>
      </c>
    </row>
    <row r="145" spans="2:28" x14ac:dyDescent="0.2">
      <c r="B145" s="23" t="s">
        <v>81</v>
      </c>
      <c r="C145" s="23">
        <v>1100575915</v>
      </c>
      <c r="H145" s="24">
        <v>46091</v>
      </c>
      <c r="O145" s="23">
        <v>128.29</v>
      </c>
      <c r="P145" s="23" t="s">
        <v>79</v>
      </c>
    </row>
    <row r="146" spans="2:28" x14ac:dyDescent="0.2">
      <c r="C146" s="23">
        <v>1100576409</v>
      </c>
      <c r="E146" s="23">
        <v>10</v>
      </c>
      <c r="F146" s="23" t="s">
        <v>702</v>
      </c>
      <c r="G146" s="23" t="s">
        <v>1797</v>
      </c>
      <c r="H146" s="24">
        <v>46091</v>
      </c>
      <c r="I146" s="24">
        <v>46091</v>
      </c>
      <c r="J146" s="23" t="s">
        <v>2709</v>
      </c>
      <c r="K146" s="23" t="s">
        <v>2709</v>
      </c>
      <c r="L146" s="23">
        <v>6</v>
      </c>
      <c r="M146" s="23" t="s">
        <v>78</v>
      </c>
      <c r="N146" s="23" t="s">
        <v>78</v>
      </c>
      <c r="O146" s="23">
        <v>769.74</v>
      </c>
      <c r="P146" s="23" t="s">
        <v>79</v>
      </c>
      <c r="Q146" s="23" t="s">
        <v>83</v>
      </c>
      <c r="R146" s="23">
        <v>11100176</v>
      </c>
      <c r="S146" s="24">
        <v>46087</v>
      </c>
      <c r="T146" s="24">
        <v>46063</v>
      </c>
      <c r="U146" s="24" t="s">
        <v>80</v>
      </c>
      <c r="X146" s="24">
        <v>46063</v>
      </c>
      <c r="Y146" s="23">
        <v>1111</v>
      </c>
      <c r="Z146" s="23">
        <v>11600003</v>
      </c>
      <c r="AA146" s="23">
        <v>335103</v>
      </c>
      <c r="AB146" s="24">
        <v>46063</v>
      </c>
    </row>
    <row r="147" spans="2:28" x14ac:dyDescent="0.2">
      <c r="C147" s="23">
        <v>1100576409</v>
      </c>
      <c r="E147" s="23">
        <v>20</v>
      </c>
      <c r="F147" s="23" t="s">
        <v>82</v>
      </c>
      <c r="G147" s="23" t="s">
        <v>139</v>
      </c>
      <c r="H147" s="24">
        <v>46091</v>
      </c>
      <c r="I147" s="24">
        <v>46091</v>
      </c>
      <c r="J147" s="23" t="s">
        <v>2709</v>
      </c>
      <c r="K147" s="23" t="s">
        <v>2709</v>
      </c>
      <c r="L147" s="23">
        <v>1</v>
      </c>
      <c r="M147" s="23" t="s">
        <v>78</v>
      </c>
      <c r="N147" s="23" t="s">
        <v>78</v>
      </c>
      <c r="O147" s="23">
        <v>0.01</v>
      </c>
      <c r="P147" s="23" t="s">
        <v>79</v>
      </c>
      <c r="Q147" s="23" t="s">
        <v>83</v>
      </c>
      <c r="R147" s="23">
        <v>11100176</v>
      </c>
      <c r="S147" s="24">
        <v>46087</v>
      </c>
      <c r="T147" s="24">
        <v>46063</v>
      </c>
      <c r="U147" s="24" t="s">
        <v>80</v>
      </c>
      <c r="X147" s="24">
        <v>46063</v>
      </c>
      <c r="Y147" s="23">
        <v>1111</v>
      </c>
      <c r="Z147" s="23">
        <v>11600003</v>
      </c>
      <c r="AA147" s="23">
        <v>335103</v>
      </c>
      <c r="AB147" s="24">
        <v>46063</v>
      </c>
    </row>
    <row r="148" spans="2:28" x14ac:dyDescent="0.2">
      <c r="B148" s="23" t="s">
        <v>81</v>
      </c>
      <c r="C148" s="23">
        <v>1100576409</v>
      </c>
      <c r="H148" s="24">
        <v>46091</v>
      </c>
      <c r="O148" s="23">
        <v>769.75</v>
      </c>
      <c r="P148" s="23" t="s">
        <v>79</v>
      </c>
    </row>
    <row r="149" spans="2:28" x14ac:dyDescent="0.2">
      <c r="C149" s="23">
        <v>1100576893</v>
      </c>
      <c r="E149" s="23">
        <v>10</v>
      </c>
      <c r="F149" s="23" t="s">
        <v>491</v>
      </c>
      <c r="G149" s="23" t="s">
        <v>492</v>
      </c>
      <c r="H149" s="24">
        <v>46091</v>
      </c>
      <c r="I149" s="24">
        <v>46091</v>
      </c>
      <c r="J149" s="23" t="s">
        <v>113</v>
      </c>
      <c r="K149" s="23" t="s">
        <v>113</v>
      </c>
      <c r="L149" s="23">
        <v>1</v>
      </c>
      <c r="M149" s="23" t="s">
        <v>78</v>
      </c>
      <c r="N149" s="23" t="s">
        <v>78</v>
      </c>
      <c r="O149" s="23">
        <v>1724.46</v>
      </c>
      <c r="P149" s="23" t="s">
        <v>79</v>
      </c>
      <c r="Q149" s="23" t="s">
        <v>83</v>
      </c>
      <c r="R149" s="23">
        <v>11100299</v>
      </c>
      <c r="S149" s="24">
        <v>46091</v>
      </c>
      <c r="T149" s="24">
        <v>46069</v>
      </c>
      <c r="U149" s="24">
        <v>47116</v>
      </c>
      <c r="X149" s="24">
        <v>46065</v>
      </c>
      <c r="Y149" s="23">
        <v>1111</v>
      </c>
      <c r="Z149" s="23">
        <v>11100320</v>
      </c>
      <c r="AA149" s="23">
        <v>3351</v>
      </c>
      <c r="AB149" s="24">
        <v>46055</v>
      </c>
    </row>
    <row r="150" spans="2:28" x14ac:dyDescent="0.2">
      <c r="C150" s="23">
        <v>1100576893</v>
      </c>
      <c r="E150" s="23">
        <v>20</v>
      </c>
      <c r="F150" s="23" t="s">
        <v>82</v>
      </c>
      <c r="G150" s="23" t="s">
        <v>139</v>
      </c>
      <c r="H150" s="24">
        <v>46091</v>
      </c>
      <c r="I150" s="24">
        <v>46091</v>
      </c>
      <c r="J150" s="23" t="s">
        <v>113</v>
      </c>
      <c r="K150" s="23" t="s">
        <v>113</v>
      </c>
      <c r="L150" s="23">
        <v>1</v>
      </c>
      <c r="M150" s="23" t="s">
        <v>78</v>
      </c>
      <c r="N150" s="23" t="s">
        <v>78</v>
      </c>
      <c r="O150" s="23">
        <v>0.01</v>
      </c>
      <c r="P150" s="23" t="s">
        <v>79</v>
      </c>
      <c r="Q150" s="23" t="s">
        <v>83</v>
      </c>
      <c r="R150" s="23">
        <v>11100299</v>
      </c>
      <c r="S150" s="24">
        <v>46091</v>
      </c>
      <c r="T150" s="24">
        <v>46069</v>
      </c>
      <c r="U150" s="24">
        <v>46091</v>
      </c>
      <c r="X150" s="24">
        <v>46065</v>
      </c>
      <c r="Y150" s="23">
        <v>1111</v>
      </c>
      <c r="Z150" s="23">
        <v>11100320</v>
      </c>
      <c r="AA150" s="23">
        <v>3351</v>
      </c>
      <c r="AB150" s="24">
        <v>46055</v>
      </c>
    </row>
    <row r="151" spans="2:28" x14ac:dyDescent="0.2">
      <c r="B151" s="23" t="s">
        <v>81</v>
      </c>
      <c r="C151" s="23">
        <v>1100576893</v>
      </c>
      <c r="H151" s="24">
        <v>46091</v>
      </c>
      <c r="O151" s="23">
        <v>1724.47</v>
      </c>
      <c r="P151" s="23" t="s">
        <v>79</v>
      </c>
    </row>
    <row r="152" spans="2:28" x14ac:dyDescent="0.2">
      <c r="C152" s="23">
        <v>1100568968</v>
      </c>
      <c r="E152" s="23">
        <v>10</v>
      </c>
      <c r="F152" s="23" t="s">
        <v>1816</v>
      </c>
      <c r="G152" s="23" t="s">
        <v>1817</v>
      </c>
      <c r="H152" s="24">
        <v>46092</v>
      </c>
      <c r="I152" s="24">
        <v>46092</v>
      </c>
      <c r="J152" s="23" t="s">
        <v>1084</v>
      </c>
      <c r="K152" s="23" t="s">
        <v>1084</v>
      </c>
      <c r="L152" s="23">
        <v>1</v>
      </c>
      <c r="M152" s="23" t="s">
        <v>78</v>
      </c>
      <c r="N152" s="23" t="s">
        <v>78</v>
      </c>
      <c r="O152" s="23">
        <v>2735.77</v>
      </c>
      <c r="P152" s="23" t="s">
        <v>79</v>
      </c>
      <c r="Q152" s="23" t="s">
        <v>83</v>
      </c>
      <c r="R152" s="23">
        <v>11100299</v>
      </c>
      <c r="S152" s="24">
        <v>46003</v>
      </c>
      <c r="T152" s="24">
        <v>45978</v>
      </c>
      <c r="U152" s="24" t="s">
        <v>80</v>
      </c>
      <c r="X152" s="24">
        <v>45973</v>
      </c>
      <c r="Y152" s="23">
        <v>1111</v>
      </c>
      <c r="Z152" s="23">
        <v>11400937</v>
      </c>
      <c r="AA152" s="23">
        <v>315103</v>
      </c>
      <c r="AB152" s="24">
        <v>45974</v>
      </c>
    </row>
    <row r="153" spans="2:28" x14ac:dyDescent="0.2">
      <c r="B153" s="23" t="s">
        <v>81</v>
      </c>
      <c r="C153" s="23">
        <v>1100568968</v>
      </c>
      <c r="H153" s="24">
        <v>46092</v>
      </c>
      <c r="O153" s="23">
        <v>2735.77</v>
      </c>
      <c r="P153" s="23" t="s">
        <v>79</v>
      </c>
    </row>
    <row r="154" spans="2:28" x14ac:dyDescent="0.2">
      <c r="C154" s="23">
        <v>1100570375</v>
      </c>
      <c r="E154" s="23">
        <v>10</v>
      </c>
      <c r="F154" s="23" t="s">
        <v>2112</v>
      </c>
      <c r="G154" s="23" t="s">
        <v>2113</v>
      </c>
      <c r="H154" s="24">
        <v>46092</v>
      </c>
      <c r="I154" s="24">
        <v>46092</v>
      </c>
      <c r="J154" s="23" t="s">
        <v>98</v>
      </c>
      <c r="K154" s="23" t="s">
        <v>98</v>
      </c>
      <c r="L154" s="23">
        <v>1</v>
      </c>
      <c r="M154" s="23" t="s">
        <v>78</v>
      </c>
      <c r="N154" s="23" t="s">
        <v>78</v>
      </c>
      <c r="O154" s="23">
        <v>2316.1</v>
      </c>
      <c r="P154" s="23" t="s">
        <v>79</v>
      </c>
      <c r="Q154" s="23" t="s">
        <v>83</v>
      </c>
      <c r="R154" s="23">
        <v>11100176</v>
      </c>
      <c r="S154" s="24">
        <v>46092</v>
      </c>
      <c r="T154" s="24">
        <v>45994</v>
      </c>
      <c r="U154" s="24" t="s">
        <v>80</v>
      </c>
      <c r="X154" s="24">
        <v>45994</v>
      </c>
      <c r="Y154" s="23">
        <v>1111</v>
      </c>
      <c r="Z154" s="23">
        <v>11400789</v>
      </c>
      <c r="AA154" s="23">
        <v>3151</v>
      </c>
      <c r="AB154" s="24">
        <v>45993</v>
      </c>
    </row>
    <row r="155" spans="2:28" x14ac:dyDescent="0.2">
      <c r="B155" s="23" t="s">
        <v>81</v>
      </c>
      <c r="C155" s="23">
        <v>1100570375</v>
      </c>
      <c r="H155" s="24">
        <v>46092</v>
      </c>
      <c r="O155" s="23">
        <v>2316.1</v>
      </c>
      <c r="P155" s="23" t="s">
        <v>79</v>
      </c>
    </row>
    <row r="156" spans="2:28" x14ac:dyDescent="0.2">
      <c r="C156" s="23">
        <v>1100575074</v>
      </c>
      <c r="E156" s="23">
        <v>10</v>
      </c>
      <c r="F156" s="23" t="s">
        <v>2713</v>
      </c>
      <c r="G156" s="23" t="s">
        <v>2714</v>
      </c>
      <c r="H156" s="24">
        <v>46092</v>
      </c>
      <c r="I156" s="24">
        <v>46134</v>
      </c>
      <c r="J156" s="23" t="s">
        <v>2715</v>
      </c>
      <c r="K156" s="23" t="s">
        <v>2715</v>
      </c>
      <c r="L156" s="23">
        <v>2</v>
      </c>
      <c r="M156" s="23" t="s">
        <v>78</v>
      </c>
      <c r="N156" s="23" t="s">
        <v>78</v>
      </c>
      <c r="O156" s="23">
        <v>1952</v>
      </c>
      <c r="P156" s="23" t="s">
        <v>79</v>
      </c>
      <c r="Q156" s="23" t="s">
        <v>83</v>
      </c>
      <c r="R156" s="23">
        <v>11100176</v>
      </c>
      <c r="S156" s="24">
        <v>46091</v>
      </c>
      <c r="T156" s="24">
        <v>46049</v>
      </c>
      <c r="U156" s="24" t="s">
        <v>80</v>
      </c>
      <c r="X156" s="24">
        <v>46006</v>
      </c>
      <c r="Y156" s="23">
        <v>1111</v>
      </c>
      <c r="Z156" s="23">
        <v>11600001</v>
      </c>
      <c r="AA156" s="23">
        <v>3351</v>
      </c>
      <c r="AB156" s="24">
        <v>45967</v>
      </c>
    </row>
    <row r="157" spans="2:28" x14ac:dyDescent="0.2">
      <c r="C157" s="23">
        <v>1100575074</v>
      </c>
      <c r="E157" s="23">
        <v>20</v>
      </c>
      <c r="F157" s="23" t="s">
        <v>2716</v>
      </c>
      <c r="G157" s="23" t="s">
        <v>2717</v>
      </c>
      <c r="H157" s="24">
        <v>46092</v>
      </c>
      <c r="I157" s="24">
        <v>46092</v>
      </c>
      <c r="J157" s="23" t="s">
        <v>2715</v>
      </c>
      <c r="K157" s="23" t="s">
        <v>2715</v>
      </c>
      <c r="L157" s="23">
        <v>2</v>
      </c>
      <c r="M157" s="23" t="s">
        <v>78</v>
      </c>
      <c r="N157" s="23" t="s">
        <v>78</v>
      </c>
      <c r="O157" s="23">
        <v>1450</v>
      </c>
      <c r="P157" s="23" t="s">
        <v>79</v>
      </c>
      <c r="Q157" s="23" t="s">
        <v>83</v>
      </c>
      <c r="R157" s="23">
        <v>11100176</v>
      </c>
      <c r="S157" s="24">
        <v>46091</v>
      </c>
      <c r="T157" s="24">
        <v>46049</v>
      </c>
      <c r="U157" s="24" t="s">
        <v>80</v>
      </c>
      <c r="X157" s="24">
        <v>46006</v>
      </c>
      <c r="Y157" s="23">
        <v>1111</v>
      </c>
      <c r="Z157" s="23">
        <v>11600001</v>
      </c>
      <c r="AA157" s="23">
        <v>3351</v>
      </c>
      <c r="AB157" s="24">
        <v>45967</v>
      </c>
    </row>
    <row r="158" spans="2:28" x14ac:dyDescent="0.2">
      <c r="C158" s="23">
        <v>1100575074</v>
      </c>
      <c r="E158" s="23">
        <v>30</v>
      </c>
      <c r="F158" s="23" t="s">
        <v>2718</v>
      </c>
      <c r="G158" s="23" t="s">
        <v>2719</v>
      </c>
      <c r="H158" s="24">
        <v>46092</v>
      </c>
      <c r="I158" s="24">
        <v>46092</v>
      </c>
      <c r="J158" s="23" t="s">
        <v>2715</v>
      </c>
      <c r="K158" s="23" t="s">
        <v>2715</v>
      </c>
      <c r="L158" s="23">
        <v>1</v>
      </c>
      <c r="M158" s="23" t="s">
        <v>78</v>
      </c>
      <c r="N158" s="23" t="s">
        <v>78</v>
      </c>
      <c r="O158" s="23">
        <v>380.53</v>
      </c>
      <c r="P158" s="23" t="s">
        <v>79</v>
      </c>
      <c r="Q158" s="23" t="s">
        <v>83</v>
      </c>
      <c r="R158" s="23">
        <v>11100176</v>
      </c>
      <c r="S158" s="24">
        <v>46091</v>
      </c>
      <c r="T158" s="24">
        <v>46049</v>
      </c>
      <c r="U158" s="24" t="s">
        <v>80</v>
      </c>
      <c r="X158" s="24">
        <v>46006</v>
      </c>
      <c r="Y158" s="23">
        <v>1111</v>
      </c>
      <c r="Z158" s="23">
        <v>11600001</v>
      </c>
      <c r="AA158" s="23">
        <v>3351</v>
      </c>
      <c r="AB158" s="24">
        <v>45967</v>
      </c>
    </row>
    <row r="159" spans="2:28" x14ac:dyDescent="0.2">
      <c r="C159" s="23">
        <v>1100575074</v>
      </c>
      <c r="E159" s="23">
        <v>40</v>
      </c>
      <c r="F159" s="23" t="s">
        <v>2720</v>
      </c>
      <c r="G159" s="23" t="s">
        <v>2721</v>
      </c>
      <c r="H159" s="24">
        <v>46092</v>
      </c>
      <c r="I159" s="24">
        <v>46092</v>
      </c>
      <c r="J159" s="23" t="s">
        <v>2715</v>
      </c>
      <c r="K159" s="23" t="s">
        <v>2715</v>
      </c>
      <c r="L159" s="23">
        <v>1</v>
      </c>
      <c r="M159" s="23" t="s">
        <v>78</v>
      </c>
      <c r="N159" s="23" t="s">
        <v>78</v>
      </c>
      <c r="O159" s="23">
        <v>721.46</v>
      </c>
      <c r="P159" s="23" t="s">
        <v>79</v>
      </c>
      <c r="Q159" s="23" t="s">
        <v>83</v>
      </c>
      <c r="R159" s="23">
        <v>11100176</v>
      </c>
      <c r="S159" s="24">
        <v>46091</v>
      </c>
      <c r="T159" s="24">
        <v>46049</v>
      </c>
      <c r="U159" s="24" t="s">
        <v>80</v>
      </c>
      <c r="X159" s="24">
        <v>46006</v>
      </c>
      <c r="Y159" s="23">
        <v>1111</v>
      </c>
      <c r="Z159" s="23">
        <v>11600001</v>
      </c>
      <c r="AA159" s="23">
        <v>3351</v>
      </c>
      <c r="AB159" s="24">
        <v>45967</v>
      </c>
    </row>
    <row r="160" spans="2:28" x14ac:dyDescent="0.2">
      <c r="C160" s="23">
        <v>1100575074</v>
      </c>
      <c r="E160" s="23">
        <v>50</v>
      </c>
      <c r="F160" s="23" t="s">
        <v>84</v>
      </c>
      <c r="G160" s="23" t="s">
        <v>123</v>
      </c>
      <c r="H160" s="24">
        <v>46092</v>
      </c>
      <c r="I160" s="24">
        <v>46092</v>
      </c>
      <c r="J160" s="23" t="s">
        <v>2715</v>
      </c>
      <c r="K160" s="23" t="s">
        <v>2715</v>
      </c>
      <c r="L160" s="23">
        <v>1</v>
      </c>
      <c r="M160" s="23" t="s">
        <v>78</v>
      </c>
      <c r="N160" s="23" t="s">
        <v>78</v>
      </c>
      <c r="O160" s="23">
        <v>0.01</v>
      </c>
      <c r="P160" s="23" t="s">
        <v>79</v>
      </c>
      <c r="Q160" s="23" t="s">
        <v>83</v>
      </c>
      <c r="R160" s="23">
        <v>11100176</v>
      </c>
      <c r="S160" s="24">
        <v>46091</v>
      </c>
      <c r="T160" s="24">
        <v>46049</v>
      </c>
      <c r="U160" s="24" t="s">
        <v>80</v>
      </c>
      <c r="X160" s="24">
        <v>46006</v>
      </c>
      <c r="Y160" s="23">
        <v>1111</v>
      </c>
      <c r="Z160" s="23">
        <v>11600001</v>
      </c>
      <c r="AA160" s="23">
        <v>3351</v>
      </c>
      <c r="AB160" s="24">
        <v>45967</v>
      </c>
    </row>
    <row r="161" spans="2:28" x14ac:dyDescent="0.2">
      <c r="B161" s="23" t="s">
        <v>81</v>
      </c>
      <c r="C161" s="23">
        <v>1100575074</v>
      </c>
      <c r="H161" s="24">
        <v>46092</v>
      </c>
      <c r="O161" s="23">
        <v>4504</v>
      </c>
      <c r="P161" s="23" t="s">
        <v>79</v>
      </c>
    </row>
    <row r="162" spans="2:28" x14ac:dyDescent="0.2">
      <c r="C162" s="23">
        <v>1100575080</v>
      </c>
      <c r="E162" s="23">
        <v>10</v>
      </c>
      <c r="F162" s="23" t="s">
        <v>2722</v>
      </c>
      <c r="G162" s="23" t="s">
        <v>2723</v>
      </c>
      <c r="H162" s="24">
        <v>46092</v>
      </c>
      <c r="I162" s="24">
        <v>46092</v>
      </c>
      <c r="J162" s="23" t="s">
        <v>2715</v>
      </c>
      <c r="K162" s="23" t="s">
        <v>2715</v>
      </c>
      <c r="L162" s="23">
        <v>1</v>
      </c>
      <c r="M162" s="23" t="s">
        <v>78</v>
      </c>
      <c r="N162" s="23" t="s">
        <v>78</v>
      </c>
      <c r="O162" s="23">
        <v>732.12</v>
      </c>
      <c r="P162" s="23" t="s">
        <v>79</v>
      </c>
      <c r="Q162" s="23" t="s">
        <v>83</v>
      </c>
      <c r="R162" s="23">
        <v>11100176</v>
      </c>
      <c r="S162" s="24">
        <v>46087</v>
      </c>
      <c r="T162" s="24">
        <v>46049</v>
      </c>
      <c r="U162" s="24" t="s">
        <v>80</v>
      </c>
      <c r="X162" s="24">
        <v>46048</v>
      </c>
      <c r="Y162" s="23">
        <v>1111</v>
      </c>
      <c r="Z162" s="23">
        <v>11600003</v>
      </c>
      <c r="AA162" s="23">
        <v>3351</v>
      </c>
      <c r="AB162" s="24">
        <v>46006</v>
      </c>
    </row>
    <row r="163" spans="2:28" x14ac:dyDescent="0.2">
      <c r="C163" s="23">
        <v>1100575080</v>
      </c>
      <c r="E163" s="23">
        <v>20</v>
      </c>
      <c r="F163" s="23" t="s">
        <v>2724</v>
      </c>
      <c r="G163" s="23" t="s">
        <v>2725</v>
      </c>
      <c r="H163" s="24">
        <v>46092</v>
      </c>
      <c r="I163" s="24">
        <v>46092</v>
      </c>
      <c r="J163" s="23" t="s">
        <v>2715</v>
      </c>
      <c r="K163" s="23" t="s">
        <v>2715</v>
      </c>
      <c r="L163" s="23">
        <v>1</v>
      </c>
      <c r="M163" s="23" t="s">
        <v>78</v>
      </c>
      <c r="N163" s="23" t="s">
        <v>78</v>
      </c>
      <c r="O163" s="23">
        <v>702.13</v>
      </c>
      <c r="P163" s="23" t="s">
        <v>79</v>
      </c>
      <c r="Q163" s="23" t="s">
        <v>83</v>
      </c>
      <c r="R163" s="23">
        <v>11100176</v>
      </c>
      <c r="S163" s="24">
        <v>46087</v>
      </c>
      <c r="T163" s="24">
        <v>46049</v>
      </c>
      <c r="U163" s="24" t="s">
        <v>80</v>
      </c>
      <c r="X163" s="24">
        <v>46048</v>
      </c>
      <c r="Y163" s="23">
        <v>1111</v>
      </c>
      <c r="Z163" s="23">
        <v>11600003</v>
      </c>
      <c r="AA163" s="23">
        <v>3351</v>
      </c>
      <c r="AB163" s="24">
        <v>46006</v>
      </c>
    </row>
    <row r="164" spans="2:28" x14ac:dyDescent="0.2">
      <c r="C164" s="23">
        <v>1100575080</v>
      </c>
      <c r="E164" s="23">
        <v>30</v>
      </c>
      <c r="F164" s="23" t="s">
        <v>2726</v>
      </c>
      <c r="G164" s="23" t="s">
        <v>2727</v>
      </c>
      <c r="H164" s="24">
        <v>46092</v>
      </c>
      <c r="I164" s="24">
        <v>46139</v>
      </c>
      <c r="J164" s="23" t="s">
        <v>2715</v>
      </c>
      <c r="K164" s="23" t="s">
        <v>2715</v>
      </c>
      <c r="L164" s="23">
        <v>1</v>
      </c>
      <c r="M164" s="23" t="s">
        <v>78</v>
      </c>
      <c r="N164" s="23" t="s">
        <v>78</v>
      </c>
      <c r="O164" s="23">
        <v>1076.43</v>
      </c>
      <c r="P164" s="23" t="s">
        <v>79</v>
      </c>
      <c r="Q164" s="23" t="s">
        <v>83</v>
      </c>
      <c r="R164" s="23">
        <v>11100176</v>
      </c>
      <c r="S164" s="24">
        <v>46087</v>
      </c>
      <c r="T164" s="24">
        <v>46049</v>
      </c>
      <c r="U164" s="24" t="s">
        <v>80</v>
      </c>
      <c r="X164" s="24">
        <v>46048</v>
      </c>
      <c r="Y164" s="23">
        <v>1111</v>
      </c>
      <c r="Z164" s="23">
        <v>11600003</v>
      </c>
      <c r="AA164" s="23">
        <v>3351</v>
      </c>
      <c r="AB164" s="24">
        <v>46006</v>
      </c>
    </row>
    <row r="165" spans="2:28" x14ac:dyDescent="0.2">
      <c r="C165" s="23">
        <v>1100575080</v>
      </c>
      <c r="E165" s="23">
        <v>40</v>
      </c>
      <c r="F165" s="23" t="s">
        <v>2728</v>
      </c>
      <c r="G165" s="23" t="s">
        <v>2729</v>
      </c>
      <c r="H165" s="24">
        <v>46092</v>
      </c>
      <c r="I165" s="24">
        <v>46092</v>
      </c>
      <c r="J165" s="23" t="s">
        <v>2715</v>
      </c>
      <c r="K165" s="23" t="s">
        <v>2715</v>
      </c>
      <c r="L165" s="23">
        <v>1</v>
      </c>
      <c r="M165" s="23" t="s">
        <v>78</v>
      </c>
      <c r="N165" s="23" t="s">
        <v>78</v>
      </c>
      <c r="O165" s="23">
        <v>725.93</v>
      </c>
      <c r="P165" s="23" t="s">
        <v>79</v>
      </c>
      <c r="Q165" s="23" t="s">
        <v>83</v>
      </c>
      <c r="R165" s="23">
        <v>11100176</v>
      </c>
      <c r="S165" s="24">
        <v>46087</v>
      </c>
      <c r="T165" s="24">
        <v>46049</v>
      </c>
      <c r="U165" s="24" t="s">
        <v>80</v>
      </c>
      <c r="X165" s="24">
        <v>46048</v>
      </c>
      <c r="Y165" s="23">
        <v>1111</v>
      </c>
      <c r="Z165" s="23">
        <v>11600003</v>
      </c>
      <c r="AA165" s="23">
        <v>3351</v>
      </c>
      <c r="AB165" s="24">
        <v>46006</v>
      </c>
    </row>
    <row r="166" spans="2:28" x14ac:dyDescent="0.2">
      <c r="C166" s="23">
        <v>1100575080</v>
      </c>
      <c r="E166" s="23">
        <v>50</v>
      </c>
      <c r="F166" s="23" t="s">
        <v>2730</v>
      </c>
      <c r="G166" s="23" t="s">
        <v>2731</v>
      </c>
      <c r="H166" s="24">
        <v>46092</v>
      </c>
      <c r="I166" s="24">
        <v>46139</v>
      </c>
      <c r="J166" s="23" t="s">
        <v>2715</v>
      </c>
      <c r="K166" s="23" t="s">
        <v>2715</v>
      </c>
      <c r="L166" s="23">
        <v>1</v>
      </c>
      <c r="M166" s="23" t="s">
        <v>78</v>
      </c>
      <c r="N166" s="23" t="s">
        <v>78</v>
      </c>
      <c r="O166" s="23">
        <v>1319.73</v>
      </c>
      <c r="P166" s="23" t="s">
        <v>79</v>
      </c>
      <c r="Q166" s="23" t="s">
        <v>83</v>
      </c>
      <c r="R166" s="23">
        <v>11100176</v>
      </c>
      <c r="S166" s="24">
        <v>46087</v>
      </c>
      <c r="T166" s="24">
        <v>46049</v>
      </c>
      <c r="U166" s="24" t="s">
        <v>80</v>
      </c>
      <c r="X166" s="24">
        <v>46048</v>
      </c>
      <c r="Y166" s="23">
        <v>1111</v>
      </c>
      <c r="Z166" s="23">
        <v>11600003</v>
      </c>
      <c r="AA166" s="23">
        <v>3351</v>
      </c>
      <c r="AB166" s="24">
        <v>46006</v>
      </c>
    </row>
    <row r="167" spans="2:28" x14ac:dyDescent="0.2">
      <c r="C167" s="23">
        <v>1100575080</v>
      </c>
      <c r="E167" s="23">
        <v>60</v>
      </c>
      <c r="F167" s="23" t="s">
        <v>84</v>
      </c>
      <c r="G167" s="23" t="s">
        <v>123</v>
      </c>
      <c r="H167" s="24">
        <v>46092</v>
      </c>
      <c r="I167" s="24">
        <v>46092</v>
      </c>
      <c r="J167" s="23" t="s">
        <v>2715</v>
      </c>
      <c r="K167" s="23" t="s">
        <v>2715</v>
      </c>
      <c r="L167" s="23">
        <v>1</v>
      </c>
      <c r="M167" s="23" t="s">
        <v>78</v>
      </c>
      <c r="N167" s="23" t="s">
        <v>78</v>
      </c>
      <c r="O167" s="23">
        <v>0.01</v>
      </c>
      <c r="P167" s="23" t="s">
        <v>79</v>
      </c>
      <c r="Q167" s="23" t="s">
        <v>83</v>
      </c>
      <c r="R167" s="23">
        <v>11100176</v>
      </c>
      <c r="S167" s="24">
        <v>46087</v>
      </c>
      <c r="T167" s="24">
        <v>46049</v>
      </c>
      <c r="U167" s="24" t="s">
        <v>80</v>
      </c>
      <c r="X167" s="24">
        <v>46048</v>
      </c>
      <c r="Y167" s="23">
        <v>1111</v>
      </c>
      <c r="Z167" s="23">
        <v>11600003</v>
      </c>
      <c r="AA167" s="23">
        <v>3351</v>
      </c>
      <c r="AB167" s="24">
        <v>46006</v>
      </c>
    </row>
    <row r="168" spans="2:28" x14ac:dyDescent="0.2">
      <c r="C168" s="23">
        <v>1100575080</v>
      </c>
      <c r="E168" s="23">
        <v>70</v>
      </c>
      <c r="F168" s="23" t="s">
        <v>82</v>
      </c>
      <c r="G168" s="23" t="s">
        <v>139</v>
      </c>
      <c r="H168" s="24">
        <v>46092</v>
      </c>
      <c r="I168" s="24">
        <v>46092</v>
      </c>
      <c r="J168" s="23" t="s">
        <v>2715</v>
      </c>
      <c r="K168" s="23" t="s">
        <v>2715</v>
      </c>
      <c r="L168" s="23">
        <v>1</v>
      </c>
      <c r="M168" s="23" t="s">
        <v>78</v>
      </c>
      <c r="N168" s="23" t="s">
        <v>78</v>
      </c>
      <c r="O168" s="23">
        <v>0.01</v>
      </c>
      <c r="P168" s="23" t="s">
        <v>79</v>
      </c>
      <c r="Q168" s="23" t="s">
        <v>83</v>
      </c>
      <c r="R168" s="23">
        <v>11100176</v>
      </c>
      <c r="S168" s="24">
        <v>46087</v>
      </c>
      <c r="T168" s="24">
        <v>46049</v>
      </c>
      <c r="U168" s="24" t="s">
        <v>80</v>
      </c>
      <c r="X168" s="24">
        <v>46048</v>
      </c>
      <c r="Y168" s="23">
        <v>1111</v>
      </c>
      <c r="Z168" s="23">
        <v>11600003</v>
      </c>
      <c r="AA168" s="23">
        <v>3351</v>
      </c>
      <c r="AB168" s="24">
        <v>46006</v>
      </c>
    </row>
    <row r="169" spans="2:28" x14ac:dyDescent="0.2">
      <c r="B169" s="23" t="s">
        <v>81</v>
      </c>
      <c r="C169" s="23">
        <v>1100575080</v>
      </c>
      <c r="H169" s="24">
        <v>46092</v>
      </c>
      <c r="O169" s="23">
        <v>4556.3599999999997</v>
      </c>
      <c r="P169" s="23" t="s">
        <v>79</v>
      </c>
    </row>
    <row r="170" spans="2:28" x14ac:dyDescent="0.2">
      <c r="C170" s="23">
        <v>1100575099</v>
      </c>
      <c r="E170" s="23">
        <v>20</v>
      </c>
      <c r="F170" s="23" t="s">
        <v>2732</v>
      </c>
      <c r="G170" s="23" t="s">
        <v>2733</v>
      </c>
      <c r="H170" s="24">
        <v>46092</v>
      </c>
      <c r="I170" s="24">
        <v>46092</v>
      </c>
      <c r="J170" s="23" t="s">
        <v>304</v>
      </c>
      <c r="K170" s="23" t="s">
        <v>304</v>
      </c>
      <c r="L170" s="23">
        <v>2</v>
      </c>
      <c r="M170" s="23" t="s">
        <v>78</v>
      </c>
      <c r="N170" s="23" t="s">
        <v>78</v>
      </c>
      <c r="O170" s="23">
        <v>7247.46</v>
      </c>
      <c r="P170" s="23" t="s">
        <v>79</v>
      </c>
      <c r="Q170" s="23" t="s">
        <v>83</v>
      </c>
      <c r="R170" s="23">
        <v>11100176</v>
      </c>
      <c r="S170" s="24">
        <v>46106</v>
      </c>
      <c r="T170" s="24">
        <v>46049</v>
      </c>
      <c r="U170" s="24">
        <v>47848</v>
      </c>
      <c r="X170" s="24">
        <v>46031</v>
      </c>
      <c r="Y170" s="23">
        <v>1111</v>
      </c>
      <c r="Z170" s="23">
        <v>11100320</v>
      </c>
      <c r="AA170" s="23">
        <v>3551</v>
      </c>
      <c r="AB170" s="24">
        <v>46027</v>
      </c>
    </row>
    <row r="171" spans="2:28" x14ac:dyDescent="0.2">
      <c r="B171" s="23" t="s">
        <v>81</v>
      </c>
      <c r="C171" s="23">
        <v>1100575099</v>
      </c>
      <c r="H171" s="24">
        <v>46092</v>
      </c>
      <c r="O171" s="23">
        <v>7247.46</v>
      </c>
      <c r="P171" s="23" t="s">
        <v>79</v>
      </c>
    </row>
    <row r="172" spans="2:28" x14ac:dyDescent="0.2">
      <c r="C172" s="23">
        <v>1100575160</v>
      </c>
      <c r="E172" s="23">
        <v>20</v>
      </c>
      <c r="F172" s="23" t="s">
        <v>2734</v>
      </c>
      <c r="G172" s="23" t="s">
        <v>2735</v>
      </c>
      <c r="H172" s="24">
        <v>46092</v>
      </c>
      <c r="I172" s="24">
        <v>46092</v>
      </c>
      <c r="J172" s="23" t="s">
        <v>2736</v>
      </c>
      <c r="K172" s="23" t="s">
        <v>2736</v>
      </c>
      <c r="L172" s="23">
        <v>1</v>
      </c>
      <c r="M172" s="23" t="s">
        <v>78</v>
      </c>
      <c r="N172" s="23" t="s">
        <v>78</v>
      </c>
      <c r="O172" s="23">
        <v>342.72</v>
      </c>
      <c r="P172" s="23" t="s">
        <v>79</v>
      </c>
      <c r="Q172" s="23" t="s">
        <v>83</v>
      </c>
      <c r="R172" s="23">
        <v>11100176</v>
      </c>
      <c r="S172" s="24">
        <v>46085</v>
      </c>
      <c r="T172" s="24">
        <v>46050</v>
      </c>
      <c r="U172" s="24">
        <v>47116</v>
      </c>
      <c r="X172" s="24">
        <v>46050</v>
      </c>
      <c r="Y172" s="23">
        <v>1111</v>
      </c>
      <c r="Z172" s="23">
        <v>11600003</v>
      </c>
      <c r="AA172" s="23">
        <v>335103</v>
      </c>
      <c r="AB172" s="24">
        <v>45916</v>
      </c>
    </row>
    <row r="173" spans="2:28" x14ac:dyDescent="0.2">
      <c r="C173" s="23">
        <v>1100575160</v>
      </c>
      <c r="E173" s="23">
        <v>40</v>
      </c>
      <c r="F173" s="23" t="s">
        <v>2737</v>
      </c>
      <c r="G173" s="23" t="s">
        <v>2738</v>
      </c>
      <c r="H173" s="24">
        <v>46092</v>
      </c>
      <c r="I173" s="24">
        <v>46092</v>
      </c>
      <c r="J173" s="23" t="s">
        <v>2736</v>
      </c>
      <c r="K173" s="23" t="s">
        <v>2736</v>
      </c>
      <c r="L173" s="23">
        <v>1</v>
      </c>
      <c r="M173" s="23" t="s">
        <v>78</v>
      </c>
      <c r="N173" s="23" t="s">
        <v>78</v>
      </c>
      <c r="O173" s="23">
        <v>844.56</v>
      </c>
      <c r="P173" s="23" t="s">
        <v>79</v>
      </c>
      <c r="Q173" s="23" t="s">
        <v>83</v>
      </c>
      <c r="R173" s="23">
        <v>11100176</v>
      </c>
      <c r="S173" s="24">
        <v>46050</v>
      </c>
      <c r="T173" s="24">
        <v>46050</v>
      </c>
      <c r="U173" s="24">
        <v>47116</v>
      </c>
      <c r="X173" s="24">
        <v>46050</v>
      </c>
      <c r="Y173" s="23">
        <v>1111</v>
      </c>
      <c r="Z173" s="23">
        <v>11600003</v>
      </c>
      <c r="AA173" s="23">
        <v>335103</v>
      </c>
      <c r="AB173" s="24">
        <v>45916</v>
      </c>
    </row>
    <row r="174" spans="2:28" x14ac:dyDescent="0.2">
      <c r="B174" s="23" t="s">
        <v>81</v>
      </c>
      <c r="C174" s="23">
        <v>1100575160</v>
      </c>
      <c r="H174" s="24">
        <v>46092</v>
      </c>
      <c r="O174" s="23">
        <v>1187.28</v>
      </c>
      <c r="P174" s="23" t="s">
        <v>79</v>
      </c>
    </row>
    <row r="175" spans="2:28" x14ac:dyDescent="0.2">
      <c r="C175" s="23">
        <v>1100577114</v>
      </c>
      <c r="E175" s="23">
        <v>10</v>
      </c>
      <c r="F175" s="23" t="s">
        <v>2739</v>
      </c>
      <c r="G175" s="23" t="s">
        <v>2740</v>
      </c>
      <c r="H175" s="24">
        <v>46092</v>
      </c>
      <c r="I175" s="24">
        <v>46092</v>
      </c>
      <c r="J175" s="23" t="s">
        <v>2741</v>
      </c>
      <c r="K175" s="23" t="s">
        <v>2741</v>
      </c>
      <c r="L175" s="23">
        <v>2</v>
      </c>
      <c r="M175" s="23" t="s">
        <v>78</v>
      </c>
      <c r="N175" s="23" t="s">
        <v>78</v>
      </c>
      <c r="O175" s="23">
        <v>2685.46</v>
      </c>
      <c r="P175" s="23" t="s">
        <v>79</v>
      </c>
      <c r="Q175" s="23" t="s">
        <v>83</v>
      </c>
      <c r="R175" s="23">
        <v>11100008</v>
      </c>
      <c r="S175" s="24">
        <v>46092</v>
      </c>
      <c r="T175" s="24">
        <v>46071</v>
      </c>
      <c r="U175" s="24">
        <v>46092</v>
      </c>
      <c r="X175" s="24">
        <v>46050</v>
      </c>
      <c r="Y175" s="23">
        <v>1111</v>
      </c>
      <c r="Z175" s="23">
        <v>11600001</v>
      </c>
      <c r="AA175" s="23">
        <v>3351</v>
      </c>
      <c r="AB175" s="24">
        <v>46042</v>
      </c>
    </row>
    <row r="176" spans="2:28" x14ac:dyDescent="0.2">
      <c r="C176" s="23">
        <v>1100577114</v>
      </c>
      <c r="E176" s="23">
        <v>20</v>
      </c>
      <c r="F176" s="23" t="s">
        <v>2742</v>
      </c>
      <c r="G176" s="23" t="s">
        <v>2743</v>
      </c>
      <c r="H176" s="24">
        <v>46092</v>
      </c>
      <c r="I176" s="24">
        <v>46092</v>
      </c>
      <c r="J176" s="23" t="s">
        <v>2741</v>
      </c>
      <c r="K176" s="23" t="s">
        <v>2741</v>
      </c>
      <c r="L176" s="23">
        <v>1</v>
      </c>
      <c r="M176" s="23" t="s">
        <v>78</v>
      </c>
      <c r="N176" s="23" t="s">
        <v>78</v>
      </c>
      <c r="O176" s="23">
        <v>1018</v>
      </c>
      <c r="P176" s="23" t="s">
        <v>79</v>
      </c>
      <c r="Q176" s="23" t="s">
        <v>83</v>
      </c>
      <c r="R176" s="23">
        <v>11100008</v>
      </c>
      <c r="S176" s="24">
        <v>46113</v>
      </c>
      <c r="T176" s="24">
        <v>46071</v>
      </c>
      <c r="U176" s="24">
        <v>46092</v>
      </c>
      <c r="X176" s="24">
        <v>46050</v>
      </c>
      <c r="Y176" s="23">
        <v>1111</v>
      </c>
      <c r="Z176" s="23">
        <v>11600001</v>
      </c>
      <c r="AA176" s="23">
        <v>3351</v>
      </c>
      <c r="AB176" s="24">
        <v>46042</v>
      </c>
    </row>
    <row r="177" spans="2:28" x14ac:dyDescent="0.2">
      <c r="B177" s="23" t="s">
        <v>81</v>
      </c>
      <c r="C177" s="23">
        <v>1100577114</v>
      </c>
      <c r="H177" s="24">
        <v>46092</v>
      </c>
      <c r="O177" s="23">
        <v>3703.46</v>
      </c>
      <c r="P177" s="23" t="s">
        <v>79</v>
      </c>
    </row>
    <row r="178" spans="2:28" x14ac:dyDescent="0.2">
      <c r="C178" s="23">
        <v>1100577367</v>
      </c>
      <c r="E178" s="23">
        <v>10</v>
      </c>
      <c r="F178" s="23" t="s">
        <v>2744</v>
      </c>
      <c r="G178" s="23" t="s">
        <v>2745</v>
      </c>
      <c r="H178" s="24">
        <v>46092</v>
      </c>
      <c r="I178" s="24">
        <v>46092</v>
      </c>
      <c r="J178" s="23" t="s">
        <v>561</v>
      </c>
      <c r="K178" s="23" t="s">
        <v>561</v>
      </c>
      <c r="L178" s="23">
        <v>200</v>
      </c>
      <c r="M178" s="23" t="s">
        <v>78</v>
      </c>
      <c r="N178" s="23" t="s">
        <v>78</v>
      </c>
      <c r="O178" s="23">
        <v>1734</v>
      </c>
      <c r="P178" s="23" t="s">
        <v>79</v>
      </c>
      <c r="Q178" s="23" t="s">
        <v>83</v>
      </c>
      <c r="R178" s="23">
        <v>11100008</v>
      </c>
      <c r="S178" s="24">
        <v>46080</v>
      </c>
      <c r="T178" s="24">
        <v>46073</v>
      </c>
      <c r="U178" s="24" t="s">
        <v>80</v>
      </c>
      <c r="X178" s="24">
        <v>46041</v>
      </c>
      <c r="Y178" s="23">
        <v>1111</v>
      </c>
      <c r="Z178" s="23">
        <v>11400606</v>
      </c>
      <c r="AA178" s="23">
        <v>335103</v>
      </c>
      <c r="AB178" s="24">
        <v>46073</v>
      </c>
    </row>
    <row r="179" spans="2:28" x14ac:dyDescent="0.2">
      <c r="B179" s="23" t="s">
        <v>81</v>
      </c>
      <c r="C179" s="23">
        <v>1100577367</v>
      </c>
      <c r="H179" s="24">
        <v>46092</v>
      </c>
      <c r="O179" s="23">
        <v>1734</v>
      </c>
      <c r="P179" s="23" t="s">
        <v>79</v>
      </c>
    </row>
    <row r="180" spans="2:28" x14ac:dyDescent="0.2">
      <c r="C180" s="23">
        <v>1100556485</v>
      </c>
      <c r="E180" s="23">
        <v>810</v>
      </c>
      <c r="F180" s="23" t="s">
        <v>1142</v>
      </c>
      <c r="G180" s="23" t="s">
        <v>1143</v>
      </c>
      <c r="H180" s="24">
        <v>46093</v>
      </c>
      <c r="I180" s="24">
        <v>46093</v>
      </c>
      <c r="J180" s="23" t="s">
        <v>1127</v>
      </c>
      <c r="K180" s="23" t="s">
        <v>1127</v>
      </c>
      <c r="L180" s="23">
        <v>1</v>
      </c>
      <c r="M180" s="23" t="s">
        <v>78</v>
      </c>
      <c r="N180" s="23" t="s">
        <v>78</v>
      </c>
      <c r="O180" s="23">
        <v>4685</v>
      </c>
      <c r="P180" s="23" t="s">
        <v>79</v>
      </c>
      <c r="Q180" s="23" t="s">
        <v>83</v>
      </c>
      <c r="R180" s="23">
        <v>11100018</v>
      </c>
      <c r="S180" s="24">
        <v>45874</v>
      </c>
      <c r="T180" s="24">
        <v>45853</v>
      </c>
      <c r="U180" s="24">
        <v>46752</v>
      </c>
      <c r="X180" s="24">
        <v>45853</v>
      </c>
      <c r="Y180" s="23">
        <v>1111</v>
      </c>
      <c r="Z180" s="23">
        <v>11400606</v>
      </c>
      <c r="AA180" s="23">
        <v>5051</v>
      </c>
      <c r="AB180" s="24">
        <v>45796</v>
      </c>
    </row>
    <row r="181" spans="2:28" x14ac:dyDescent="0.2">
      <c r="B181" s="23" t="s">
        <v>81</v>
      </c>
      <c r="C181" s="23">
        <v>1100556485</v>
      </c>
      <c r="H181" s="24">
        <v>46093</v>
      </c>
      <c r="O181" s="23">
        <v>4685</v>
      </c>
      <c r="P181" s="23" t="s">
        <v>79</v>
      </c>
    </row>
    <row r="182" spans="2:28" x14ac:dyDescent="0.2">
      <c r="C182" s="23">
        <v>1100568963</v>
      </c>
      <c r="E182" s="23">
        <v>30</v>
      </c>
      <c r="F182" s="23" t="s">
        <v>2115</v>
      </c>
      <c r="G182" s="23" t="s">
        <v>2116</v>
      </c>
      <c r="H182" s="24">
        <v>46093</v>
      </c>
      <c r="I182" s="24">
        <v>46093</v>
      </c>
      <c r="J182" s="23" t="s">
        <v>2114</v>
      </c>
      <c r="K182" s="23" t="s">
        <v>2114</v>
      </c>
      <c r="L182" s="23">
        <v>1</v>
      </c>
      <c r="M182" s="23" t="s">
        <v>78</v>
      </c>
      <c r="N182" s="23" t="s">
        <v>78</v>
      </c>
      <c r="O182" s="23">
        <v>2017</v>
      </c>
      <c r="P182" s="23" t="s">
        <v>79</v>
      </c>
      <c r="Q182" s="23" t="s">
        <v>83</v>
      </c>
      <c r="R182" s="23">
        <v>11100299</v>
      </c>
      <c r="S182" s="24">
        <v>46037</v>
      </c>
      <c r="T182" s="24">
        <v>45978</v>
      </c>
      <c r="U182" s="24">
        <v>46093</v>
      </c>
      <c r="X182" s="24">
        <v>45975</v>
      </c>
      <c r="Y182" s="23">
        <v>1111</v>
      </c>
      <c r="Z182" s="23">
        <v>11400742</v>
      </c>
      <c r="AA182" s="23">
        <v>3951</v>
      </c>
      <c r="AB182" s="24">
        <v>45971</v>
      </c>
    </row>
    <row r="183" spans="2:28" x14ac:dyDescent="0.2">
      <c r="C183" s="23">
        <v>1100568963</v>
      </c>
      <c r="E183" s="23">
        <v>9000</v>
      </c>
      <c r="F183" s="23" t="s">
        <v>84</v>
      </c>
      <c r="G183" s="23" t="s">
        <v>123</v>
      </c>
      <c r="H183" s="24">
        <v>46093</v>
      </c>
      <c r="I183" s="24">
        <v>46093</v>
      </c>
      <c r="J183" s="23" t="s">
        <v>2114</v>
      </c>
      <c r="K183" s="23" t="s">
        <v>2114</v>
      </c>
      <c r="L183" s="23">
        <v>1</v>
      </c>
      <c r="M183" s="23" t="s">
        <v>78</v>
      </c>
      <c r="N183" s="23" t="s">
        <v>78</v>
      </c>
      <c r="O183" s="23">
        <v>0.01</v>
      </c>
      <c r="P183" s="23" t="s">
        <v>79</v>
      </c>
      <c r="Q183" s="23" t="s">
        <v>83</v>
      </c>
      <c r="R183" s="23">
        <v>11100299</v>
      </c>
      <c r="S183" s="24">
        <v>46037</v>
      </c>
      <c r="T183" s="24">
        <v>45978</v>
      </c>
      <c r="U183" s="24">
        <v>46093</v>
      </c>
      <c r="X183" s="24">
        <v>45975</v>
      </c>
      <c r="Y183" s="23">
        <v>1111</v>
      </c>
      <c r="Z183" s="23">
        <v>11400742</v>
      </c>
      <c r="AA183" s="23">
        <v>3951</v>
      </c>
      <c r="AB183" s="24">
        <v>45971</v>
      </c>
    </row>
    <row r="184" spans="2:28" x14ac:dyDescent="0.2">
      <c r="B184" s="23" t="s">
        <v>81</v>
      </c>
      <c r="C184" s="23">
        <v>1100568963</v>
      </c>
      <c r="H184" s="24">
        <v>46093</v>
      </c>
      <c r="O184" s="23">
        <v>2017.01</v>
      </c>
      <c r="P184" s="23" t="s">
        <v>79</v>
      </c>
    </row>
    <row r="185" spans="2:28" x14ac:dyDescent="0.2">
      <c r="C185" s="23">
        <v>1100571358</v>
      </c>
      <c r="E185" s="23">
        <v>50</v>
      </c>
      <c r="F185" s="23" t="s">
        <v>1775</v>
      </c>
      <c r="G185" s="23" t="s">
        <v>1776</v>
      </c>
      <c r="H185" s="24">
        <v>46093</v>
      </c>
      <c r="I185" s="24">
        <v>46093</v>
      </c>
      <c r="J185" s="23" t="s">
        <v>257</v>
      </c>
      <c r="K185" s="23" t="s">
        <v>257</v>
      </c>
      <c r="L185" s="23">
        <v>1</v>
      </c>
      <c r="M185" s="23" t="s">
        <v>78</v>
      </c>
      <c r="N185" s="23" t="s">
        <v>78</v>
      </c>
      <c r="O185" s="23">
        <v>262.92</v>
      </c>
      <c r="P185" s="23" t="s">
        <v>79</v>
      </c>
      <c r="Q185" s="23" t="s">
        <v>83</v>
      </c>
      <c r="R185" s="23">
        <v>11100176</v>
      </c>
      <c r="S185" s="24">
        <v>46044</v>
      </c>
      <c r="T185" s="24">
        <v>46003</v>
      </c>
      <c r="U185" s="24">
        <v>46752</v>
      </c>
      <c r="X185" s="24">
        <v>46001</v>
      </c>
      <c r="Y185" s="23">
        <v>1111</v>
      </c>
      <c r="Z185" s="23">
        <v>11100137</v>
      </c>
      <c r="AA185" s="23">
        <v>3951</v>
      </c>
      <c r="AB185" s="24">
        <v>46001</v>
      </c>
    </row>
    <row r="186" spans="2:28" x14ac:dyDescent="0.2">
      <c r="B186" s="23" t="s">
        <v>81</v>
      </c>
      <c r="C186" s="23">
        <v>1100571358</v>
      </c>
      <c r="H186" s="24">
        <v>46093</v>
      </c>
      <c r="O186" s="23">
        <v>262.92</v>
      </c>
      <c r="P186" s="23" t="s">
        <v>79</v>
      </c>
    </row>
    <row r="187" spans="2:28" x14ac:dyDescent="0.2">
      <c r="C187" s="23">
        <v>1100571483</v>
      </c>
      <c r="E187" s="23">
        <v>10</v>
      </c>
      <c r="F187" s="23" t="s">
        <v>702</v>
      </c>
      <c r="G187" s="23" t="s">
        <v>703</v>
      </c>
      <c r="H187" s="24">
        <v>46093</v>
      </c>
      <c r="I187" s="24">
        <v>46093</v>
      </c>
      <c r="J187" s="23" t="s">
        <v>643</v>
      </c>
      <c r="K187" s="23" t="s">
        <v>643</v>
      </c>
      <c r="L187" s="23">
        <v>3</v>
      </c>
      <c r="M187" s="23" t="s">
        <v>78</v>
      </c>
      <c r="N187" s="23" t="s">
        <v>78</v>
      </c>
      <c r="O187" s="23">
        <v>269.41000000000003</v>
      </c>
      <c r="P187" s="23" t="s">
        <v>79</v>
      </c>
      <c r="Q187" s="23" t="s">
        <v>83</v>
      </c>
      <c r="R187" s="23">
        <v>11100176</v>
      </c>
      <c r="S187" s="24">
        <v>46027</v>
      </c>
      <c r="T187" s="24">
        <v>46006</v>
      </c>
      <c r="U187" s="24" t="s">
        <v>80</v>
      </c>
      <c r="X187" s="24">
        <v>45993</v>
      </c>
      <c r="Y187" s="23">
        <v>1111</v>
      </c>
      <c r="Z187" s="23">
        <v>11600007</v>
      </c>
      <c r="AA187" s="23">
        <v>505103</v>
      </c>
      <c r="AB187" s="24">
        <v>45993</v>
      </c>
    </row>
    <row r="188" spans="2:28" x14ac:dyDescent="0.2">
      <c r="C188" s="23">
        <v>1100571483</v>
      </c>
      <c r="E188" s="23">
        <v>20</v>
      </c>
      <c r="F188" s="23" t="s">
        <v>701</v>
      </c>
      <c r="G188" s="23" t="s">
        <v>1799</v>
      </c>
      <c r="H188" s="24">
        <v>46093</v>
      </c>
      <c r="I188" s="24">
        <v>46093</v>
      </c>
      <c r="J188" s="23" t="s">
        <v>643</v>
      </c>
      <c r="K188" s="23" t="s">
        <v>643</v>
      </c>
      <c r="L188" s="23">
        <v>4</v>
      </c>
      <c r="M188" s="23" t="s">
        <v>78</v>
      </c>
      <c r="N188" s="23" t="s">
        <v>78</v>
      </c>
      <c r="O188" s="23">
        <v>359.22</v>
      </c>
      <c r="P188" s="23" t="s">
        <v>79</v>
      </c>
      <c r="Q188" s="23" t="s">
        <v>83</v>
      </c>
      <c r="R188" s="23">
        <v>11100176</v>
      </c>
      <c r="S188" s="24">
        <v>46027</v>
      </c>
      <c r="T188" s="24">
        <v>46006</v>
      </c>
      <c r="U188" s="24" t="s">
        <v>80</v>
      </c>
      <c r="X188" s="24">
        <v>45993</v>
      </c>
      <c r="Y188" s="23">
        <v>1111</v>
      </c>
      <c r="Z188" s="23">
        <v>11600007</v>
      </c>
      <c r="AA188" s="23">
        <v>505103</v>
      </c>
      <c r="AB188" s="24">
        <v>45993</v>
      </c>
    </row>
    <row r="189" spans="2:28" x14ac:dyDescent="0.2">
      <c r="C189" s="23">
        <v>1100571483</v>
      </c>
      <c r="E189" s="23">
        <v>40</v>
      </c>
      <c r="F189" s="23" t="s">
        <v>722</v>
      </c>
      <c r="G189" s="23" t="s">
        <v>723</v>
      </c>
      <c r="H189" s="24">
        <v>46093</v>
      </c>
      <c r="I189" s="24">
        <v>46093</v>
      </c>
      <c r="J189" s="23" t="s">
        <v>643</v>
      </c>
      <c r="K189" s="23" t="s">
        <v>643</v>
      </c>
      <c r="L189" s="23">
        <v>1</v>
      </c>
      <c r="M189" s="23" t="s">
        <v>78</v>
      </c>
      <c r="N189" s="23" t="s">
        <v>78</v>
      </c>
      <c r="O189" s="23">
        <v>2009.45</v>
      </c>
      <c r="P189" s="23" t="s">
        <v>79</v>
      </c>
      <c r="Q189" s="23" t="s">
        <v>83</v>
      </c>
      <c r="R189" s="23">
        <v>11100176</v>
      </c>
      <c r="S189" s="24">
        <v>46027</v>
      </c>
      <c r="T189" s="24">
        <v>46006</v>
      </c>
      <c r="U189" s="24" t="s">
        <v>80</v>
      </c>
      <c r="X189" s="24">
        <v>45993</v>
      </c>
      <c r="Y189" s="23">
        <v>1111</v>
      </c>
      <c r="Z189" s="23">
        <v>11600007</v>
      </c>
      <c r="AA189" s="23">
        <v>505103</v>
      </c>
      <c r="AB189" s="24">
        <v>45993</v>
      </c>
    </row>
    <row r="190" spans="2:28" x14ac:dyDescent="0.2">
      <c r="C190" s="23">
        <v>1100571483</v>
      </c>
      <c r="E190" s="23">
        <v>50</v>
      </c>
      <c r="F190" s="23" t="s">
        <v>924</v>
      </c>
      <c r="G190" s="23" t="s">
        <v>925</v>
      </c>
      <c r="H190" s="24">
        <v>46093</v>
      </c>
      <c r="I190" s="24">
        <v>46093</v>
      </c>
      <c r="J190" s="23" t="s">
        <v>643</v>
      </c>
      <c r="K190" s="23" t="s">
        <v>643</v>
      </c>
      <c r="L190" s="23">
        <v>2</v>
      </c>
      <c r="M190" s="23" t="s">
        <v>78</v>
      </c>
      <c r="N190" s="23" t="s">
        <v>78</v>
      </c>
      <c r="O190" s="23">
        <v>7.14</v>
      </c>
      <c r="P190" s="23" t="s">
        <v>79</v>
      </c>
      <c r="Q190" s="23" t="s">
        <v>83</v>
      </c>
      <c r="R190" s="23">
        <v>11100176</v>
      </c>
      <c r="S190" s="24">
        <v>46027</v>
      </c>
      <c r="T190" s="24">
        <v>46006</v>
      </c>
      <c r="U190" s="24" t="s">
        <v>80</v>
      </c>
      <c r="X190" s="24">
        <v>45993</v>
      </c>
      <c r="Y190" s="23">
        <v>1111</v>
      </c>
      <c r="Z190" s="23">
        <v>11600007</v>
      </c>
      <c r="AA190" s="23">
        <v>505103</v>
      </c>
      <c r="AB190" s="24">
        <v>45993</v>
      </c>
    </row>
    <row r="191" spans="2:28" x14ac:dyDescent="0.2">
      <c r="C191" s="23">
        <v>1100571483</v>
      </c>
      <c r="E191" s="23">
        <v>60</v>
      </c>
      <c r="F191" s="23" t="s">
        <v>806</v>
      </c>
      <c r="G191" s="23" t="s">
        <v>807</v>
      </c>
      <c r="H191" s="24">
        <v>46093</v>
      </c>
      <c r="I191" s="24">
        <v>46093</v>
      </c>
      <c r="J191" s="23" t="s">
        <v>643</v>
      </c>
      <c r="K191" s="23" t="s">
        <v>643</v>
      </c>
      <c r="L191" s="23">
        <v>4</v>
      </c>
      <c r="M191" s="23" t="s">
        <v>78</v>
      </c>
      <c r="N191" s="23" t="s">
        <v>78</v>
      </c>
      <c r="O191" s="23">
        <v>985.55</v>
      </c>
      <c r="P191" s="23" t="s">
        <v>79</v>
      </c>
      <c r="Q191" s="23" t="s">
        <v>83</v>
      </c>
      <c r="R191" s="23">
        <v>11100176</v>
      </c>
      <c r="S191" s="24">
        <v>46027</v>
      </c>
      <c r="T191" s="24">
        <v>46006</v>
      </c>
      <c r="U191" s="24" t="s">
        <v>80</v>
      </c>
      <c r="X191" s="24">
        <v>45993</v>
      </c>
      <c r="Y191" s="23">
        <v>1111</v>
      </c>
      <c r="Z191" s="23">
        <v>11600007</v>
      </c>
      <c r="AA191" s="23">
        <v>505103</v>
      </c>
      <c r="AB191" s="24">
        <v>45993</v>
      </c>
    </row>
    <row r="192" spans="2:28" x14ac:dyDescent="0.2">
      <c r="C192" s="23">
        <v>1100571483</v>
      </c>
      <c r="E192" s="23">
        <v>90</v>
      </c>
      <c r="F192" s="23" t="s">
        <v>1883</v>
      </c>
      <c r="G192" s="23" t="s">
        <v>1884</v>
      </c>
      <c r="H192" s="24">
        <v>46093</v>
      </c>
      <c r="I192" s="24">
        <v>46093</v>
      </c>
      <c r="J192" s="23" t="s">
        <v>643</v>
      </c>
      <c r="K192" s="23" t="s">
        <v>643</v>
      </c>
      <c r="L192" s="23">
        <v>2</v>
      </c>
      <c r="M192" s="23" t="s">
        <v>78</v>
      </c>
      <c r="N192" s="23" t="s">
        <v>78</v>
      </c>
      <c r="O192" s="23">
        <v>454.39</v>
      </c>
      <c r="P192" s="23" t="s">
        <v>79</v>
      </c>
      <c r="Q192" s="23" t="s">
        <v>83</v>
      </c>
      <c r="R192" s="23">
        <v>11100176</v>
      </c>
      <c r="S192" s="24">
        <v>46027</v>
      </c>
      <c r="T192" s="24">
        <v>46006</v>
      </c>
      <c r="U192" s="24" t="s">
        <v>80</v>
      </c>
      <c r="X192" s="24">
        <v>45993</v>
      </c>
      <c r="Y192" s="23">
        <v>1111</v>
      </c>
      <c r="Z192" s="23">
        <v>11600007</v>
      </c>
      <c r="AA192" s="23">
        <v>505103</v>
      </c>
      <c r="AB192" s="24">
        <v>45993</v>
      </c>
    </row>
    <row r="193" spans="2:28" x14ac:dyDescent="0.2">
      <c r="C193" s="23">
        <v>1100571483</v>
      </c>
      <c r="E193" s="23">
        <v>100</v>
      </c>
      <c r="F193" s="23" t="s">
        <v>706</v>
      </c>
      <c r="G193" s="23" t="s">
        <v>707</v>
      </c>
      <c r="H193" s="24">
        <v>46093</v>
      </c>
      <c r="I193" s="24">
        <v>46093</v>
      </c>
      <c r="J193" s="23" t="s">
        <v>643</v>
      </c>
      <c r="K193" s="23" t="s">
        <v>643</v>
      </c>
      <c r="L193" s="23">
        <v>1</v>
      </c>
      <c r="M193" s="23" t="s">
        <v>78</v>
      </c>
      <c r="N193" s="23" t="s">
        <v>78</v>
      </c>
      <c r="O193" s="23">
        <v>4674.5600000000004</v>
      </c>
      <c r="P193" s="23" t="s">
        <v>79</v>
      </c>
      <c r="Q193" s="23" t="s">
        <v>83</v>
      </c>
      <c r="R193" s="23">
        <v>11100176</v>
      </c>
      <c r="S193" s="24">
        <v>46027</v>
      </c>
      <c r="T193" s="24">
        <v>46006</v>
      </c>
      <c r="U193" s="24" t="s">
        <v>80</v>
      </c>
      <c r="X193" s="24">
        <v>45993</v>
      </c>
      <c r="Y193" s="23">
        <v>1111</v>
      </c>
      <c r="Z193" s="23">
        <v>11600007</v>
      </c>
      <c r="AA193" s="23">
        <v>505103</v>
      </c>
      <c r="AB193" s="24">
        <v>45993</v>
      </c>
    </row>
    <row r="194" spans="2:28" x14ac:dyDescent="0.2">
      <c r="C194" s="23">
        <v>1100571483</v>
      </c>
      <c r="E194" s="23">
        <v>110</v>
      </c>
      <c r="F194" s="23" t="s">
        <v>866</v>
      </c>
      <c r="G194" s="23" t="s">
        <v>867</v>
      </c>
      <c r="H194" s="24">
        <v>46093</v>
      </c>
      <c r="I194" s="24">
        <v>46093</v>
      </c>
      <c r="J194" s="23" t="s">
        <v>643</v>
      </c>
      <c r="K194" s="23" t="s">
        <v>643</v>
      </c>
      <c r="L194" s="23">
        <v>1</v>
      </c>
      <c r="M194" s="23" t="s">
        <v>78</v>
      </c>
      <c r="N194" s="23" t="s">
        <v>78</v>
      </c>
      <c r="O194" s="23">
        <v>958.68</v>
      </c>
      <c r="P194" s="23" t="s">
        <v>79</v>
      </c>
      <c r="Q194" s="23" t="s">
        <v>83</v>
      </c>
      <c r="R194" s="23">
        <v>11100176</v>
      </c>
      <c r="S194" s="24">
        <v>46027</v>
      </c>
      <c r="T194" s="24">
        <v>46006</v>
      </c>
      <c r="U194" s="24" t="s">
        <v>80</v>
      </c>
      <c r="X194" s="24">
        <v>45993</v>
      </c>
      <c r="Y194" s="23">
        <v>1111</v>
      </c>
      <c r="Z194" s="23">
        <v>11600007</v>
      </c>
      <c r="AA194" s="23">
        <v>505103</v>
      </c>
      <c r="AB194" s="24">
        <v>45993</v>
      </c>
    </row>
    <row r="195" spans="2:28" x14ac:dyDescent="0.2">
      <c r="C195" s="23">
        <v>1100571483</v>
      </c>
      <c r="E195" s="23">
        <v>120</v>
      </c>
      <c r="F195" s="23" t="s">
        <v>950</v>
      </c>
      <c r="G195" s="23" t="s">
        <v>951</v>
      </c>
      <c r="H195" s="24">
        <v>46093</v>
      </c>
      <c r="I195" s="24">
        <v>46093</v>
      </c>
      <c r="J195" s="23" t="s">
        <v>643</v>
      </c>
      <c r="K195" s="23" t="s">
        <v>643</v>
      </c>
      <c r="L195" s="23">
        <v>1</v>
      </c>
      <c r="M195" s="23" t="s">
        <v>78</v>
      </c>
      <c r="N195" s="23" t="s">
        <v>78</v>
      </c>
      <c r="O195" s="23">
        <v>134.33000000000001</v>
      </c>
      <c r="P195" s="23" t="s">
        <v>79</v>
      </c>
      <c r="Q195" s="23" t="s">
        <v>83</v>
      </c>
      <c r="R195" s="23">
        <v>11100176</v>
      </c>
      <c r="S195" s="24">
        <v>46027</v>
      </c>
      <c r="T195" s="24">
        <v>46006</v>
      </c>
      <c r="U195" s="24" t="s">
        <v>80</v>
      </c>
      <c r="X195" s="24">
        <v>45993</v>
      </c>
      <c r="Y195" s="23">
        <v>1111</v>
      </c>
      <c r="Z195" s="23">
        <v>11600007</v>
      </c>
      <c r="AA195" s="23">
        <v>505103</v>
      </c>
      <c r="AB195" s="24">
        <v>45993</v>
      </c>
    </row>
    <row r="196" spans="2:28" x14ac:dyDescent="0.2">
      <c r="C196" s="23">
        <v>1100571483</v>
      </c>
      <c r="E196" s="23">
        <v>130</v>
      </c>
      <c r="F196" s="23" t="s">
        <v>757</v>
      </c>
      <c r="G196" s="23" t="s">
        <v>758</v>
      </c>
      <c r="H196" s="24">
        <v>46093</v>
      </c>
      <c r="I196" s="24">
        <v>46093</v>
      </c>
      <c r="J196" s="23" t="s">
        <v>643</v>
      </c>
      <c r="K196" s="23" t="s">
        <v>643</v>
      </c>
      <c r="L196" s="23">
        <v>1</v>
      </c>
      <c r="M196" s="23" t="s">
        <v>78</v>
      </c>
      <c r="N196" s="23" t="s">
        <v>78</v>
      </c>
      <c r="O196" s="23">
        <v>624.79</v>
      </c>
      <c r="P196" s="23" t="s">
        <v>79</v>
      </c>
      <c r="Q196" s="23" t="s">
        <v>83</v>
      </c>
      <c r="R196" s="23">
        <v>11100176</v>
      </c>
      <c r="S196" s="24">
        <v>46027</v>
      </c>
      <c r="T196" s="24">
        <v>46006</v>
      </c>
      <c r="U196" s="24" t="s">
        <v>80</v>
      </c>
      <c r="X196" s="24">
        <v>45993</v>
      </c>
      <c r="Y196" s="23">
        <v>1111</v>
      </c>
      <c r="Z196" s="23">
        <v>11600007</v>
      </c>
      <c r="AA196" s="23">
        <v>505103</v>
      </c>
      <c r="AB196" s="24">
        <v>45993</v>
      </c>
    </row>
    <row r="197" spans="2:28" x14ac:dyDescent="0.2">
      <c r="C197" s="23">
        <v>1100571483</v>
      </c>
      <c r="E197" s="23">
        <v>140</v>
      </c>
      <c r="F197" s="23" t="s">
        <v>800</v>
      </c>
      <c r="G197" s="23" t="s">
        <v>801</v>
      </c>
      <c r="H197" s="24">
        <v>46093</v>
      </c>
      <c r="I197" s="24">
        <v>46093</v>
      </c>
      <c r="J197" s="23" t="s">
        <v>643</v>
      </c>
      <c r="K197" s="23" t="s">
        <v>643</v>
      </c>
      <c r="L197" s="23">
        <v>1</v>
      </c>
      <c r="M197" s="23" t="s">
        <v>78</v>
      </c>
      <c r="N197" s="23" t="s">
        <v>78</v>
      </c>
      <c r="O197" s="23">
        <v>6.91</v>
      </c>
      <c r="P197" s="23" t="s">
        <v>79</v>
      </c>
      <c r="Q197" s="23" t="s">
        <v>83</v>
      </c>
      <c r="R197" s="23">
        <v>11100176</v>
      </c>
      <c r="S197" s="24">
        <v>46027</v>
      </c>
      <c r="T197" s="24">
        <v>46006</v>
      </c>
      <c r="U197" s="24" t="s">
        <v>80</v>
      </c>
      <c r="X197" s="24">
        <v>45993</v>
      </c>
      <c r="Y197" s="23">
        <v>1111</v>
      </c>
      <c r="Z197" s="23">
        <v>11600007</v>
      </c>
      <c r="AA197" s="23">
        <v>505103</v>
      </c>
      <c r="AB197" s="24">
        <v>45993</v>
      </c>
    </row>
    <row r="198" spans="2:28" x14ac:dyDescent="0.2">
      <c r="C198" s="23">
        <v>1100571483</v>
      </c>
      <c r="E198" s="23">
        <v>150</v>
      </c>
      <c r="F198" s="23" t="s">
        <v>209</v>
      </c>
      <c r="G198" s="23" t="s">
        <v>210</v>
      </c>
      <c r="H198" s="24">
        <v>46093</v>
      </c>
      <c r="I198" s="24">
        <v>46093</v>
      </c>
      <c r="J198" s="23" t="s">
        <v>643</v>
      </c>
      <c r="K198" s="23" t="s">
        <v>643</v>
      </c>
      <c r="L198" s="23">
        <v>1</v>
      </c>
      <c r="M198" s="23" t="s">
        <v>78</v>
      </c>
      <c r="N198" s="23" t="s">
        <v>78</v>
      </c>
      <c r="O198" s="23">
        <v>0</v>
      </c>
      <c r="P198" s="23" t="s">
        <v>79</v>
      </c>
      <c r="Q198" s="23" t="s">
        <v>83</v>
      </c>
      <c r="R198" s="23">
        <v>11100176</v>
      </c>
      <c r="S198" s="24" t="s">
        <v>80</v>
      </c>
      <c r="T198" s="24">
        <v>46006</v>
      </c>
      <c r="U198" s="24" t="s">
        <v>80</v>
      </c>
      <c r="X198" s="24">
        <v>45993</v>
      </c>
      <c r="Y198" s="23">
        <v>1111</v>
      </c>
      <c r="Z198" s="23">
        <v>11600007</v>
      </c>
      <c r="AA198" s="23">
        <v>505103</v>
      </c>
      <c r="AB198" s="24">
        <v>45993</v>
      </c>
    </row>
    <row r="199" spans="2:28" x14ac:dyDescent="0.2">
      <c r="B199" s="23" t="s">
        <v>81</v>
      </c>
      <c r="C199" s="23">
        <v>1100571483</v>
      </c>
      <c r="H199" s="24">
        <v>46093</v>
      </c>
      <c r="O199" s="23">
        <v>10484.43</v>
      </c>
      <c r="P199" s="23" t="s">
        <v>79</v>
      </c>
    </row>
    <row r="200" spans="2:28" x14ac:dyDescent="0.2">
      <c r="C200" s="23">
        <v>1100572899</v>
      </c>
      <c r="E200" s="23">
        <v>10</v>
      </c>
      <c r="F200" s="23" t="s">
        <v>2096</v>
      </c>
      <c r="G200" s="23" t="s">
        <v>2097</v>
      </c>
      <c r="H200" s="24">
        <v>46093</v>
      </c>
      <c r="I200" s="24">
        <v>46093</v>
      </c>
      <c r="J200" s="23" t="s">
        <v>2098</v>
      </c>
      <c r="K200" s="23" t="s">
        <v>2098</v>
      </c>
      <c r="L200" s="23">
        <v>2</v>
      </c>
      <c r="M200" s="23" t="s">
        <v>78</v>
      </c>
      <c r="N200" s="23" t="s">
        <v>78</v>
      </c>
      <c r="O200" s="23">
        <v>184.44</v>
      </c>
      <c r="P200" s="23" t="s">
        <v>79</v>
      </c>
      <c r="Q200" s="23" t="s">
        <v>83</v>
      </c>
      <c r="R200" s="23">
        <v>11100176</v>
      </c>
      <c r="S200" s="24">
        <v>46087</v>
      </c>
      <c r="T200" s="24">
        <v>46028</v>
      </c>
      <c r="U200" s="24">
        <v>47116</v>
      </c>
      <c r="X200" s="24">
        <v>46027</v>
      </c>
      <c r="Y200" s="23">
        <v>1111</v>
      </c>
      <c r="Z200" s="23">
        <v>11400937</v>
      </c>
      <c r="AA200" s="23">
        <v>3351</v>
      </c>
      <c r="AB200" s="24">
        <v>46027</v>
      </c>
    </row>
    <row r="201" spans="2:28" x14ac:dyDescent="0.2">
      <c r="B201" s="23" t="s">
        <v>81</v>
      </c>
      <c r="C201" s="23">
        <v>1100572899</v>
      </c>
      <c r="H201" s="24">
        <v>46093</v>
      </c>
      <c r="O201" s="23">
        <v>184.44</v>
      </c>
      <c r="P201" s="23" t="s">
        <v>79</v>
      </c>
    </row>
    <row r="202" spans="2:28" x14ac:dyDescent="0.2">
      <c r="C202" s="23">
        <v>1100573388</v>
      </c>
      <c r="E202" s="23">
        <v>10</v>
      </c>
      <c r="F202" s="23" t="s">
        <v>712</v>
      </c>
      <c r="G202" s="23" t="s">
        <v>2263</v>
      </c>
      <c r="H202" s="24">
        <v>46093</v>
      </c>
      <c r="I202" s="24">
        <v>46093</v>
      </c>
      <c r="J202" s="23" t="s">
        <v>2264</v>
      </c>
      <c r="K202" s="23" t="s">
        <v>2264</v>
      </c>
      <c r="L202" s="23">
        <v>2</v>
      </c>
      <c r="M202" s="23" t="s">
        <v>78</v>
      </c>
      <c r="N202" s="23" t="s">
        <v>78</v>
      </c>
      <c r="O202" s="23">
        <v>65.459999999999994</v>
      </c>
      <c r="P202" s="23" t="s">
        <v>79</v>
      </c>
      <c r="Q202" s="23" t="s">
        <v>83</v>
      </c>
      <c r="R202" s="23">
        <v>11100176</v>
      </c>
      <c r="S202" s="24">
        <v>46073</v>
      </c>
      <c r="T202" s="24">
        <v>46032</v>
      </c>
      <c r="U202" s="24" t="s">
        <v>80</v>
      </c>
      <c r="X202" s="24">
        <v>46030</v>
      </c>
      <c r="Y202" s="23">
        <v>1111</v>
      </c>
      <c r="Z202" s="23">
        <v>11100137</v>
      </c>
      <c r="AA202" s="23">
        <v>335103</v>
      </c>
      <c r="AB202" s="24">
        <v>46030</v>
      </c>
    </row>
    <row r="203" spans="2:28" x14ac:dyDescent="0.2">
      <c r="C203" s="23">
        <v>1100573388</v>
      </c>
      <c r="E203" s="23">
        <v>20</v>
      </c>
      <c r="F203" s="23" t="s">
        <v>2265</v>
      </c>
      <c r="G203" s="23" t="s">
        <v>2266</v>
      </c>
      <c r="H203" s="24">
        <v>46093</v>
      </c>
      <c r="I203" s="24">
        <v>46093</v>
      </c>
      <c r="J203" s="23" t="s">
        <v>2264</v>
      </c>
      <c r="K203" s="23" t="s">
        <v>2264</v>
      </c>
      <c r="L203" s="23">
        <v>1</v>
      </c>
      <c r="M203" s="23" t="s">
        <v>566</v>
      </c>
      <c r="N203" s="23" t="s">
        <v>566</v>
      </c>
      <c r="O203" s="23">
        <v>2563.62</v>
      </c>
      <c r="P203" s="23" t="s">
        <v>79</v>
      </c>
      <c r="Q203" s="23" t="s">
        <v>83</v>
      </c>
      <c r="R203" s="23">
        <v>11100176</v>
      </c>
      <c r="S203" s="24">
        <v>46073</v>
      </c>
      <c r="T203" s="24">
        <v>46032</v>
      </c>
      <c r="U203" s="24" t="s">
        <v>80</v>
      </c>
      <c r="X203" s="24">
        <v>46030</v>
      </c>
      <c r="Y203" s="23">
        <v>1111</v>
      </c>
      <c r="Z203" s="23">
        <v>11100137</v>
      </c>
      <c r="AA203" s="23">
        <v>335103</v>
      </c>
      <c r="AB203" s="24">
        <v>46030</v>
      </c>
    </row>
    <row r="204" spans="2:28" x14ac:dyDescent="0.2">
      <c r="C204" s="23">
        <v>1100573388</v>
      </c>
      <c r="E204" s="23">
        <v>30</v>
      </c>
      <c r="F204" s="23" t="s">
        <v>2267</v>
      </c>
      <c r="G204" s="23" t="s">
        <v>2268</v>
      </c>
      <c r="H204" s="24">
        <v>46093</v>
      </c>
      <c r="I204" s="24">
        <v>46093</v>
      </c>
      <c r="J204" s="23" t="s">
        <v>2264</v>
      </c>
      <c r="K204" s="23" t="s">
        <v>2264</v>
      </c>
      <c r="L204" s="23">
        <v>1</v>
      </c>
      <c r="M204" s="23" t="s">
        <v>78</v>
      </c>
      <c r="N204" s="23" t="s">
        <v>78</v>
      </c>
      <c r="O204" s="23">
        <v>280.7</v>
      </c>
      <c r="P204" s="23" t="s">
        <v>79</v>
      </c>
      <c r="Q204" s="23" t="s">
        <v>83</v>
      </c>
      <c r="R204" s="23">
        <v>11100176</v>
      </c>
      <c r="S204" s="24">
        <v>46073</v>
      </c>
      <c r="T204" s="24">
        <v>46032</v>
      </c>
      <c r="U204" s="24" t="s">
        <v>80</v>
      </c>
      <c r="X204" s="24">
        <v>46030</v>
      </c>
      <c r="Y204" s="23">
        <v>1111</v>
      </c>
      <c r="Z204" s="23">
        <v>11100137</v>
      </c>
      <c r="AA204" s="23">
        <v>335103</v>
      </c>
      <c r="AB204" s="24">
        <v>46030</v>
      </c>
    </row>
    <row r="205" spans="2:28" x14ac:dyDescent="0.2">
      <c r="C205" s="23">
        <v>1100573388</v>
      </c>
      <c r="E205" s="23">
        <v>40</v>
      </c>
      <c r="F205" s="23" t="s">
        <v>790</v>
      </c>
      <c r="G205" s="23" t="s">
        <v>2269</v>
      </c>
      <c r="H205" s="24">
        <v>46093</v>
      </c>
      <c r="I205" s="24">
        <v>46093</v>
      </c>
      <c r="J205" s="23" t="s">
        <v>2264</v>
      </c>
      <c r="K205" s="23" t="s">
        <v>2264</v>
      </c>
      <c r="L205" s="23">
        <v>2</v>
      </c>
      <c r="M205" s="23" t="s">
        <v>78</v>
      </c>
      <c r="N205" s="23" t="s">
        <v>78</v>
      </c>
      <c r="O205" s="23">
        <v>96.5</v>
      </c>
      <c r="P205" s="23" t="s">
        <v>79</v>
      </c>
      <c r="Q205" s="23" t="s">
        <v>83</v>
      </c>
      <c r="R205" s="23">
        <v>11100176</v>
      </c>
      <c r="S205" s="24">
        <v>46073</v>
      </c>
      <c r="T205" s="24">
        <v>46032</v>
      </c>
      <c r="U205" s="24" t="s">
        <v>80</v>
      </c>
      <c r="X205" s="24">
        <v>46030</v>
      </c>
      <c r="Y205" s="23">
        <v>1111</v>
      </c>
      <c r="Z205" s="23">
        <v>11100137</v>
      </c>
      <c r="AA205" s="23">
        <v>335103</v>
      </c>
      <c r="AB205" s="24">
        <v>46030</v>
      </c>
    </row>
    <row r="206" spans="2:28" x14ac:dyDescent="0.2">
      <c r="B206" s="23" t="s">
        <v>81</v>
      </c>
      <c r="C206" s="23">
        <v>1100573388</v>
      </c>
      <c r="H206" s="24">
        <v>46093</v>
      </c>
      <c r="O206" s="23">
        <v>3006.28</v>
      </c>
      <c r="P206" s="23" t="s">
        <v>79</v>
      </c>
    </row>
    <row r="207" spans="2:28" x14ac:dyDescent="0.2">
      <c r="C207" s="23">
        <v>1100573411</v>
      </c>
      <c r="E207" s="23">
        <v>50</v>
      </c>
      <c r="F207" s="23" t="s">
        <v>2284</v>
      </c>
      <c r="G207" s="23" t="s">
        <v>2285</v>
      </c>
      <c r="H207" s="24">
        <v>46093</v>
      </c>
      <c r="I207" s="24">
        <v>46093</v>
      </c>
      <c r="J207" s="23" t="s">
        <v>113</v>
      </c>
      <c r="K207" s="23" t="s">
        <v>113</v>
      </c>
      <c r="L207" s="23">
        <v>2</v>
      </c>
      <c r="M207" s="23" t="s">
        <v>78</v>
      </c>
      <c r="N207" s="23" t="s">
        <v>78</v>
      </c>
      <c r="O207" s="23">
        <v>120.8</v>
      </c>
      <c r="P207" s="23" t="s">
        <v>79</v>
      </c>
      <c r="Q207" s="23" t="s">
        <v>83</v>
      </c>
      <c r="R207" s="23">
        <v>11100176</v>
      </c>
      <c r="S207" s="24">
        <v>46069</v>
      </c>
      <c r="T207" s="24">
        <v>46033</v>
      </c>
      <c r="U207" s="24">
        <v>46079</v>
      </c>
      <c r="X207" s="24">
        <v>46031</v>
      </c>
      <c r="Y207" s="23">
        <v>1111</v>
      </c>
      <c r="Z207" s="23">
        <v>11400606</v>
      </c>
      <c r="AA207" s="23">
        <v>3351</v>
      </c>
      <c r="AB207" s="24">
        <v>46027</v>
      </c>
    </row>
    <row r="208" spans="2:28" x14ac:dyDescent="0.2">
      <c r="B208" s="23" t="s">
        <v>81</v>
      </c>
      <c r="C208" s="23">
        <v>1100573411</v>
      </c>
      <c r="H208" s="24">
        <v>46093</v>
      </c>
      <c r="O208" s="23">
        <v>120.8</v>
      </c>
      <c r="P208" s="23" t="s">
        <v>79</v>
      </c>
    </row>
    <row r="209" spans="2:28" x14ac:dyDescent="0.2">
      <c r="C209" s="23">
        <v>1100573941</v>
      </c>
      <c r="E209" s="23">
        <v>40</v>
      </c>
      <c r="F209" s="23" t="s">
        <v>2763</v>
      </c>
      <c r="G209" s="23" t="s">
        <v>2764</v>
      </c>
      <c r="H209" s="24">
        <v>46093</v>
      </c>
      <c r="I209" s="24">
        <v>46093</v>
      </c>
      <c r="J209" s="23" t="s">
        <v>2765</v>
      </c>
      <c r="K209" s="23" t="s">
        <v>2765</v>
      </c>
      <c r="L209" s="23">
        <v>1</v>
      </c>
      <c r="M209" s="23" t="s">
        <v>78</v>
      </c>
      <c r="N209" s="23" t="s">
        <v>78</v>
      </c>
      <c r="O209" s="23">
        <v>1734.66</v>
      </c>
      <c r="P209" s="23" t="s">
        <v>79</v>
      </c>
      <c r="Q209" s="23" t="s">
        <v>83</v>
      </c>
      <c r="R209" s="23">
        <v>11100176</v>
      </c>
      <c r="S209" s="24">
        <v>46093</v>
      </c>
      <c r="T209" s="24">
        <v>46037</v>
      </c>
      <c r="U209" s="24">
        <v>46045</v>
      </c>
      <c r="X209" s="24">
        <v>46036</v>
      </c>
      <c r="Y209" s="23">
        <v>1111</v>
      </c>
      <c r="Z209" s="23">
        <v>11600001</v>
      </c>
      <c r="AA209" s="23">
        <v>335103</v>
      </c>
      <c r="AB209" s="24">
        <v>46037</v>
      </c>
    </row>
    <row r="210" spans="2:28" x14ac:dyDescent="0.2">
      <c r="C210" s="23">
        <v>1100573941</v>
      </c>
      <c r="E210" s="23">
        <v>50</v>
      </c>
      <c r="F210" s="23" t="s">
        <v>2766</v>
      </c>
      <c r="G210" s="23" t="s">
        <v>2767</v>
      </c>
      <c r="H210" s="24">
        <v>46093</v>
      </c>
      <c r="I210" s="24">
        <v>46093</v>
      </c>
      <c r="J210" s="23" t="s">
        <v>2765</v>
      </c>
      <c r="K210" s="23" t="s">
        <v>2765</v>
      </c>
      <c r="L210" s="23">
        <v>1</v>
      </c>
      <c r="M210" s="23" t="s">
        <v>78</v>
      </c>
      <c r="N210" s="23" t="s">
        <v>78</v>
      </c>
      <c r="O210" s="23">
        <v>878.3</v>
      </c>
      <c r="P210" s="23" t="s">
        <v>79</v>
      </c>
      <c r="Q210" s="23" t="s">
        <v>83</v>
      </c>
      <c r="R210" s="23">
        <v>11100176</v>
      </c>
      <c r="S210" s="24">
        <v>46093</v>
      </c>
      <c r="T210" s="24">
        <v>46037</v>
      </c>
      <c r="U210" s="24">
        <v>47116</v>
      </c>
      <c r="X210" s="24">
        <v>46036</v>
      </c>
      <c r="Y210" s="23">
        <v>1111</v>
      </c>
      <c r="Z210" s="23">
        <v>11600001</v>
      </c>
      <c r="AA210" s="23">
        <v>335103</v>
      </c>
      <c r="AB210" s="24">
        <v>46037</v>
      </c>
    </row>
    <row r="211" spans="2:28" x14ac:dyDescent="0.2">
      <c r="B211" s="23" t="s">
        <v>81</v>
      </c>
      <c r="C211" s="23">
        <v>1100573941</v>
      </c>
      <c r="H211" s="24">
        <v>46093</v>
      </c>
      <c r="O211" s="23">
        <v>2612.96</v>
      </c>
      <c r="P211" s="23" t="s">
        <v>79</v>
      </c>
    </row>
    <row r="212" spans="2:28" x14ac:dyDescent="0.2">
      <c r="C212" s="23">
        <v>1100574233</v>
      </c>
      <c r="E212" s="23">
        <v>10</v>
      </c>
      <c r="F212" s="23" t="s">
        <v>2768</v>
      </c>
      <c r="G212" s="23" t="s">
        <v>2769</v>
      </c>
      <c r="H212" s="24">
        <v>46093</v>
      </c>
      <c r="I212" s="24">
        <v>46093</v>
      </c>
      <c r="J212" s="23" t="s">
        <v>102</v>
      </c>
      <c r="K212" s="23" t="s">
        <v>102</v>
      </c>
      <c r="L212" s="23">
        <v>2</v>
      </c>
      <c r="M212" s="23" t="s">
        <v>78</v>
      </c>
      <c r="N212" s="23" t="s">
        <v>78</v>
      </c>
      <c r="O212" s="23">
        <v>1491</v>
      </c>
      <c r="P212" s="23" t="s">
        <v>79</v>
      </c>
      <c r="Q212" s="23" t="s">
        <v>83</v>
      </c>
      <c r="R212" s="23">
        <v>11100176</v>
      </c>
      <c r="S212" s="24">
        <v>46064</v>
      </c>
      <c r="T212" s="24">
        <v>46042</v>
      </c>
      <c r="U212" s="24" t="s">
        <v>80</v>
      </c>
      <c r="X212" s="24">
        <v>46036</v>
      </c>
      <c r="Y212" s="23">
        <v>1111</v>
      </c>
      <c r="Z212" s="23">
        <v>11100320</v>
      </c>
      <c r="AA212" s="23">
        <v>5151</v>
      </c>
      <c r="AB212" s="24">
        <v>46008</v>
      </c>
    </row>
    <row r="213" spans="2:28" x14ac:dyDescent="0.2">
      <c r="C213" s="23">
        <v>1100574233</v>
      </c>
      <c r="E213" s="23">
        <v>20</v>
      </c>
      <c r="F213" s="23" t="s">
        <v>82</v>
      </c>
      <c r="G213" s="23" t="s">
        <v>139</v>
      </c>
      <c r="H213" s="24">
        <v>46093</v>
      </c>
      <c r="I213" s="24">
        <v>46093</v>
      </c>
      <c r="J213" s="23" t="s">
        <v>102</v>
      </c>
      <c r="K213" s="23" t="s">
        <v>102</v>
      </c>
      <c r="L213" s="23">
        <v>1</v>
      </c>
      <c r="M213" s="23" t="s">
        <v>78</v>
      </c>
      <c r="N213" s="23" t="s">
        <v>78</v>
      </c>
      <c r="O213" s="23">
        <v>0.01</v>
      </c>
      <c r="P213" s="23" t="s">
        <v>79</v>
      </c>
      <c r="Q213" s="23" t="s">
        <v>83</v>
      </c>
      <c r="R213" s="23">
        <v>11100176</v>
      </c>
      <c r="S213" s="24">
        <v>46064</v>
      </c>
      <c r="T213" s="24">
        <v>46042</v>
      </c>
      <c r="U213" s="24" t="s">
        <v>80</v>
      </c>
      <c r="X213" s="24">
        <v>46036</v>
      </c>
      <c r="Y213" s="23">
        <v>1111</v>
      </c>
      <c r="Z213" s="23">
        <v>11100320</v>
      </c>
      <c r="AA213" s="23">
        <v>5151</v>
      </c>
      <c r="AB213" s="24">
        <v>46008</v>
      </c>
    </row>
    <row r="214" spans="2:28" x14ac:dyDescent="0.2">
      <c r="B214" s="23" t="s">
        <v>81</v>
      </c>
      <c r="C214" s="23">
        <v>1100574233</v>
      </c>
      <c r="H214" s="24">
        <v>46093</v>
      </c>
      <c r="O214" s="23">
        <v>1491.01</v>
      </c>
      <c r="P214" s="23" t="s">
        <v>79</v>
      </c>
    </row>
    <row r="215" spans="2:28" x14ac:dyDescent="0.2">
      <c r="C215" s="23">
        <v>1100574504</v>
      </c>
      <c r="E215" s="23">
        <v>10</v>
      </c>
      <c r="F215" s="23" t="s">
        <v>725</v>
      </c>
      <c r="G215" s="23" t="s">
        <v>726</v>
      </c>
      <c r="H215" s="24">
        <v>46093</v>
      </c>
      <c r="I215" s="24">
        <v>46093</v>
      </c>
      <c r="J215" s="23" t="s">
        <v>1416</v>
      </c>
      <c r="K215" s="23" t="s">
        <v>1416</v>
      </c>
      <c r="L215" s="23">
        <v>2</v>
      </c>
      <c r="M215" s="23" t="s">
        <v>78</v>
      </c>
      <c r="N215" s="23" t="s">
        <v>78</v>
      </c>
      <c r="O215" s="23">
        <v>2092.1799999999998</v>
      </c>
      <c r="P215" s="23" t="s">
        <v>79</v>
      </c>
      <c r="Q215" s="23" t="s">
        <v>83</v>
      </c>
      <c r="R215" s="23">
        <v>11100176</v>
      </c>
      <c r="S215" s="24">
        <v>46093</v>
      </c>
      <c r="T215" s="24">
        <v>46044</v>
      </c>
      <c r="U215" s="24" t="s">
        <v>80</v>
      </c>
      <c r="X215" s="24">
        <v>46043</v>
      </c>
      <c r="Y215" s="23">
        <v>1111</v>
      </c>
      <c r="Z215" s="23">
        <v>11100137</v>
      </c>
      <c r="AA215" s="23">
        <v>5051</v>
      </c>
      <c r="AB215" s="24">
        <v>46043</v>
      </c>
    </row>
    <row r="216" spans="2:28" x14ac:dyDescent="0.2">
      <c r="C216" s="23">
        <v>1100574504</v>
      </c>
      <c r="E216" s="23">
        <v>20</v>
      </c>
      <c r="F216" s="23" t="s">
        <v>1749</v>
      </c>
      <c r="G216" s="23" t="s">
        <v>1750</v>
      </c>
      <c r="H216" s="24">
        <v>46093</v>
      </c>
      <c r="I216" s="24">
        <v>46093</v>
      </c>
      <c r="J216" s="23" t="s">
        <v>1416</v>
      </c>
      <c r="K216" s="23" t="s">
        <v>1416</v>
      </c>
      <c r="L216" s="23">
        <v>2</v>
      </c>
      <c r="M216" s="23" t="s">
        <v>78</v>
      </c>
      <c r="N216" s="23" t="s">
        <v>78</v>
      </c>
      <c r="O216" s="23">
        <v>1820</v>
      </c>
      <c r="P216" s="23" t="s">
        <v>79</v>
      </c>
      <c r="Q216" s="23" t="s">
        <v>83</v>
      </c>
      <c r="R216" s="23">
        <v>11100176</v>
      </c>
      <c r="S216" s="24">
        <v>46093</v>
      </c>
      <c r="T216" s="24">
        <v>46044</v>
      </c>
      <c r="U216" s="24" t="s">
        <v>80</v>
      </c>
      <c r="X216" s="24">
        <v>46043</v>
      </c>
      <c r="Y216" s="23">
        <v>1111</v>
      </c>
      <c r="Z216" s="23">
        <v>11100137</v>
      </c>
      <c r="AA216" s="23">
        <v>5051</v>
      </c>
      <c r="AB216" s="24">
        <v>46043</v>
      </c>
    </row>
    <row r="217" spans="2:28" x14ac:dyDescent="0.2">
      <c r="C217" s="23">
        <v>1100574504</v>
      </c>
      <c r="E217" s="23">
        <v>30</v>
      </c>
      <c r="F217" s="23" t="s">
        <v>297</v>
      </c>
      <c r="G217" s="23" t="s">
        <v>298</v>
      </c>
      <c r="H217" s="24">
        <v>46093</v>
      </c>
      <c r="I217" s="24">
        <v>46093</v>
      </c>
      <c r="J217" s="23" t="s">
        <v>1416</v>
      </c>
      <c r="K217" s="23" t="s">
        <v>1416</v>
      </c>
      <c r="L217" s="23">
        <v>2</v>
      </c>
      <c r="M217" s="23" t="s">
        <v>78</v>
      </c>
      <c r="N217" s="23" t="s">
        <v>78</v>
      </c>
      <c r="O217" s="23">
        <v>250</v>
      </c>
      <c r="P217" s="23" t="s">
        <v>79</v>
      </c>
      <c r="Q217" s="23" t="s">
        <v>83</v>
      </c>
      <c r="R217" s="23">
        <v>11100176</v>
      </c>
      <c r="S217" s="24" t="s">
        <v>80</v>
      </c>
      <c r="T217" s="24">
        <v>46044</v>
      </c>
      <c r="U217" s="24" t="s">
        <v>80</v>
      </c>
      <c r="X217" s="24">
        <v>46043</v>
      </c>
      <c r="Y217" s="23">
        <v>1111</v>
      </c>
      <c r="Z217" s="23">
        <v>11100137</v>
      </c>
      <c r="AA217" s="23">
        <v>5051</v>
      </c>
      <c r="AB217" s="24">
        <v>46043</v>
      </c>
    </row>
    <row r="218" spans="2:28" x14ac:dyDescent="0.2">
      <c r="B218" s="23" t="s">
        <v>81</v>
      </c>
      <c r="C218" s="23">
        <v>1100574504</v>
      </c>
      <c r="H218" s="24">
        <v>46093</v>
      </c>
      <c r="O218" s="23">
        <v>4162.18</v>
      </c>
      <c r="P218" s="23" t="s">
        <v>79</v>
      </c>
    </row>
    <row r="219" spans="2:28" x14ac:dyDescent="0.2">
      <c r="C219" s="23">
        <v>1100574568</v>
      </c>
      <c r="E219" s="23">
        <v>10</v>
      </c>
      <c r="F219" s="23" t="s">
        <v>2752</v>
      </c>
      <c r="G219" s="23" t="s">
        <v>2753</v>
      </c>
      <c r="H219" s="24">
        <v>46093</v>
      </c>
      <c r="I219" s="24">
        <v>46093</v>
      </c>
      <c r="J219" s="23" t="s">
        <v>2770</v>
      </c>
      <c r="K219" s="23" t="s">
        <v>2770</v>
      </c>
      <c r="L219" s="23">
        <v>28</v>
      </c>
      <c r="M219" s="23" t="s">
        <v>423</v>
      </c>
      <c r="N219" s="23" t="s">
        <v>423</v>
      </c>
      <c r="O219" s="23">
        <v>509.32</v>
      </c>
      <c r="P219" s="23" t="s">
        <v>79</v>
      </c>
      <c r="Q219" s="23" t="s">
        <v>83</v>
      </c>
      <c r="R219" s="23">
        <v>11100176</v>
      </c>
      <c r="S219" s="24">
        <v>46051</v>
      </c>
      <c r="T219" s="24">
        <v>46045</v>
      </c>
      <c r="U219" s="24">
        <v>46052</v>
      </c>
      <c r="X219" s="24">
        <v>45946</v>
      </c>
      <c r="Y219" s="23">
        <v>1111</v>
      </c>
      <c r="Z219" s="23">
        <v>11400937</v>
      </c>
      <c r="AA219" s="23">
        <v>3351</v>
      </c>
      <c r="AB219" s="24">
        <v>45955</v>
      </c>
    </row>
    <row r="220" spans="2:28" x14ac:dyDescent="0.2">
      <c r="B220" s="23" t="s">
        <v>81</v>
      </c>
      <c r="C220" s="23">
        <v>1100574568</v>
      </c>
      <c r="H220" s="24">
        <v>46093</v>
      </c>
      <c r="O220" s="23">
        <v>509.32</v>
      </c>
      <c r="P220" s="23" t="s">
        <v>79</v>
      </c>
    </row>
    <row r="221" spans="2:28" x14ac:dyDescent="0.2">
      <c r="C221" s="23">
        <v>1100575162</v>
      </c>
      <c r="E221" s="23">
        <v>10</v>
      </c>
      <c r="F221" s="23" t="s">
        <v>702</v>
      </c>
      <c r="G221" s="23" t="s">
        <v>1797</v>
      </c>
      <c r="H221" s="24">
        <v>46093</v>
      </c>
      <c r="I221" s="24">
        <v>46093</v>
      </c>
      <c r="J221" s="23" t="s">
        <v>2771</v>
      </c>
      <c r="K221" s="23" t="s">
        <v>2771</v>
      </c>
      <c r="L221" s="23">
        <v>1</v>
      </c>
      <c r="M221" s="23" t="s">
        <v>78</v>
      </c>
      <c r="N221" s="23" t="s">
        <v>78</v>
      </c>
      <c r="O221" s="23">
        <v>128.29</v>
      </c>
      <c r="P221" s="23" t="s">
        <v>79</v>
      </c>
      <c r="Q221" s="23" t="s">
        <v>83</v>
      </c>
      <c r="R221" s="23">
        <v>11100176</v>
      </c>
      <c r="S221" s="24">
        <v>46078</v>
      </c>
      <c r="T221" s="24">
        <v>46050</v>
      </c>
      <c r="U221" s="24">
        <v>47116</v>
      </c>
      <c r="X221" s="24">
        <v>46049</v>
      </c>
      <c r="Y221" s="23">
        <v>1111</v>
      </c>
      <c r="Z221" s="23">
        <v>11400811</v>
      </c>
      <c r="AA221" s="23">
        <v>335103</v>
      </c>
      <c r="AB221" s="24">
        <v>46048</v>
      </c>
    </row>
    <row r="222" spans="2:28" x14ac:dyDescent="0.2">
      <c r="B222" s="23" t="s">
        <v>81</v>
      </c>
      <c r="C222" s="23">
        <v>1100575162</v>
      </c>
      <c r="H222" s="24">
        <v>46093</v>
      </c>
      <c r="O222" s="23">
        <v>128.29</v>
      </c>
      <c r="P222" s="23" t="s">
        <v>79</v>
      </c>
    </row>
    <row r="223" spans="2:28" x14ac:dyDescent="0.2">
      <c r="C223" s="23">
        <v>1100575185</v>
      </c>
      <c r="E223" s="23">
        <v>20</v>
      </c>
      <c r="F223" s="23" t="s">
        <v>702</v>
      </c>
      <c r="G223" s="23" t="s">
        <v>1797</v>
      </c>
      <c r="H223" s="24">
        <v>46093</v>
      </c>
      <c r="I223" s="24">
        <v>46093</v>
      </c>
      <c r="J223" s="23" t="s">
        <v>2709</v>
      </c>
      <c r="K223" s="23" t="s">
        <v>2709</v>
      </c>
      <c r="L223" s="23">
        <v>4</v>
      </c>
      <c r="M223" s="23" t="s">
        <v>78</v>
      </c>
      <c r="N223" s="23" t="s">
        <v>78</v>
      </c>
      <c r="O223" s="23">
        <v>513.16</v>
      </c>
      <c r="P223" s="23" t="s">
        <v>79</v>
      </c>
      <c r="Q223" s="23" t="s">
        <v>83</v>
      </c>
      <c r="R223" s="23">
        <v>11100176</v>
      </c>
      <c r="S223" s="24">
        <v>46071</v>
      </c>
      <c r="T223" s="24">
        <v>46050</v>
      </c>
      <c r="U223" s="24">
        <v>47116</v>
      </c>
      <c r="X223" s="24">
        <v>46050</v>
      </c>
      <c r="Y223" s="23">
        <v>1111</v>
      </c>
      <c r="Z223" s="23">
        <v>11400789</v>
      </c>
      <c r="AA223" s="23">
        <v>335103</v>
      </c>
      <c r="AB223" s="24">
        <v>46048</v>
      </c>
    </row>
    <row r="224" spans="2:28" x14ac:dyDescent="0.2">
      <c r="B224" s="23" t="s">
        <v>81</v>
      </c>
      <c r="C224" s="23">
        <v>1100575185</v>
      </c>
      <c r="H224" s="24">
        <v>46093</v>
      </c>
      <c r="O224" s="23">
        <v>513.16</v>
      </c>
      <c r="P224" s="23" t="s">
        <v>79</v>
      </c>
    </row>
    <row r="225" spans="2:28" x14ac:dyDescent="0.2">
      <c r="C225" s="23">
        <v>1100575256</v>
      </c>
      <c r="E225" s="23">
        <v>10</v>
      </c>
      <c r="F225" s="23" t="s">
        <v>725</v>
      </c>
      <c r="G225" s="23" t="s">
        <v>726</v>
      </c>
      <c r="H225" s="24">
        <v>46093</v>
      </c>
      <c r="I225" s="24">
        <v>46093</v>
      </c>
      <c r="J225" s="23" t="s">
        <v>2772</v>
      </c>
      <c r="K225" s="23" t="s">
        <v>2772</v>
      </c>
      <c r="L225" s="23">
        <v>1</v>
      </c>
      <c r="M225" s="23" t="s">
        <v>78</v>
      </c>
      <c r="N225" s="23" t="s">
        <v>78</v>
      </c>
      <c r="O225" s="23">
        <v>1494.41</v>
      </c>
      <c r="P225" s="23" t="s">
        <v>79</v>
      </c>
      <c r="Q225" s="23" t="s">
        <v>83</v>
      </c>
      <c r="R225" s="23">
        <v>11100176</v>
      </c>
      <c r="S225" s="24">
        <v>46093</v>
      </c>
      <c r="T225" s="24">
        <v>46050</v>
      </c>
      <c r="U225" s="24" t="s">
        <v>80</v>
      </c>
      <c r="X225" s="24">
        <v>46049</v>
      </c>
      <c r="Y225" s="23">
        <v>1111</v>
      </c>
      <c r="Z225" s="23">
        <v>11100320</v>
      </c>
      <c r="AA225" s="23">
        <v>5051</v>
      </c>
      <c r="AB225" s="24">
        <v>46049</v>
      </c>
    </row>
    <row r="226" spans="2:28" x14ac:dyDescent="0.2">
      <c r="C226" s="23">
        <v>1100575256</v>
      </c>
      <c r="E226" s="23">
        <v>20</v>
      </c>
      <c r="F226" s="23" t="s">
        <v>82</v>
      </c>
      <c r="G226" s="23" t="s">
        <v>139</v>
      </c>
      <c r="H226" s="24">
        <v>46093</v>
      </c>
      <c r="I226" s="24">
        <v>46093</v>
      </c>
      <c r="J226" s="23" t="s">
        <v>2772</v>
      </c>
      <c r="K226" s="23" t="s">
        <v>2772</v>
      </c>
      <c r="L226" s="23">
        <v>1</v>
      </c>
      <c r="M226" s="23" t="s">
        <v>78</v>
      </c>
      <c r="N226" s="23" t="s">
        <v>78</v>
      </c>
      <c r="O226" s="23">
        <v>0.01</v>
      </c>
      <c r="P226" s="23" t="s">
        <v>79</v>
      </c>
      <c r="Q226" s="23" t="s">
        <v>83</v>
      </c>
      <c r="R226" s="23">
        <v>11100176</v>
      </c>
      <c r="S226" s="24">
        <v>46093</v>
      </c>
      <c r="T226" s="24">
        <v>46050</v>
      </c>
      <c r="U226" s="24" t="s">
        <v>80</v>
      </c>
      <c r="X226" s="24">
        <v>46049</v>
      </c>
      <c r="Y226" s="23">
        <v>1111</v>
      </c>
      <c r="Z226" s="23">
        <v>11100320</v>
      </c>
      <c r="AA226" s="23">
        <v>5051</v>
      </c>
      <c r="AB226" s="24">
        <v>46049</v>
      </c>
    </row>
    <row r="227" spans="2:28" x14ac:dyDescent="0.2">
      <c r="B227" s="23" t="s">
        <v>81</v>
      </c>
      <c r="C227" s="23">
        <v>1100575256</v>
      </c>
      <c r="H227" s="24">
        <v>46093</v>
      </c>
      <c r="O227" s="23">
        <v>1494.42</v>
      </c>
      <c r="P227" s="23" t="s">
        <v>79</v>
      </c>
    </row>
    <row r="228" spans="2:28" x14ac:dyDescent="0.2">
      <c r="C228" s="23">
        <v>1100575340</v>
      </c>
      <c r="E228" s="23">
        <v>10</v>
      </c>
      <c r="F228" s="23" t="s">
        <v>2773</v>
      </c>
      <c r="G228" s="23" t="s">
        <v>2774</v>
      </c>
      <c r="H228" s="24">
        <v>46093</v>
      </c>
      <c r="I228" s="24">
        <v>46093</v>
      </c>
      <c r="J228" s="23" t="s">
        <v>258</v>
      </c>
      <c r="K228" s="23" t="s">
        <v>258</v>
      </c>
      <c r="L228" s="23">
        <v>4</v>
      </c>
      <c r="M228" s="23" t="s">
        <v>78</v>
      </c>
      <c r="N228" s="23" t="s">
        <v>78</v>
      </c>
      <c r="O228" s="23">
        <v>6365.28</v>
      </c>
      <c r="P228" s="23" t="s">
        <v>79</v>
      </c>
      <c r="Q228" s="23" t="s">
        <v>83</v>
      </c>
      <c r="R228" s="23">
        <v>11100176</v>
      </c>
      <c r="S228" s="24">
        <v>46114</v>
      </c>
      <c r="T228" s="24">
        <v>46051</v>
      </c>
      <c r="U228" s="24" t="s">
        <v>80</v>
      </c>
      <c r="X228" s="24">
        <v>46050</v>
      </c>
      <c r="Y228" s="23">
        <v>1111</v>
      </c>
      <c r="Z228" s="23">
        <v>11600001</v>
      </c>
      <c r="AA228" s="23">
        <v>3351</v>
      </c>
      <c r="AB228" s="24">
        <v>46049</v>
      </c>
    </row>
    <row r="229" spans="2:28" x14ac:dyDescent="0.2">
      <c r="C229" s="23">
        <v>1100575340</v>
      </c>
      <c r="E229" s="23">
        <v>20</v>
      </c>
      <c r="F229" s="23" t="s">
        <v>82</v>
      </c>
      <c r="G229" s="23" t="s">
        <v>139</v>
      </c>
      <c r="H229" s="24">
        <v>46093</v>
      </c>
      <c r="I229" s="24">
        <v>46093</v>
      </c>
      <c r="J229" s="23" t="s">
        <v>258</v>
      </c>
      <c r="K229" s="23" t="s">
        <v>258</v>
      </c>
      <c r="L229" s="23">
        <v>1</v>
      </c>
      <c r="M229" s="23" t="s">
        <v>78</v>
      </c>
      <c r="N229" s="23" t="s">
        <v>78</v>
      </c>
      <c r="O229" s="23">
        <v>0.01</v>
      </c>
      <c r="P229" s="23" t="s">
        <v>79</v>
      </c>
      <c r="Q229" s="23" t="s">
        <v>83</v>
      </c>
      <c r="R229" s="23">
        <v>11100176</v>
      </c>
      <c r="S229" s="24">
        <v>46114</v>
      </c>
      <c r="T229" s="24">
        <v>46051</v>
      </c>
      <c r="U229" s="24" t="s">
        <v>80</v>
      </c>
      <c r="X229" s="24">
        <v>46050</v>
      </c>
      <c r="Y229" s="23">
        <v>1111</v>
      </c>
      <c r="Z229" s="23">
        <v>11600001</v>
      </c>
      <c r="AA229" s="23">
        <v>3351</v>
      </c>
      <c r="AB229" s="24">
        <v>46049</v>
      </c>
    </row>
    <row r="230" spans="2:28" x14ac:dyDescent="0.2">
      <c r="B230" s="23" t="s">
        <v>81</v>
      </c>
      <c r="C230" s="23">
        <v>1100575340</v>
      </c>
      <c r="H230" s="24">
        <v>46093</v>
      </c>
      <c r="O230" s="23">
        <v>6365.29</v>
      </c>
      <c r="P230" s="23" t="s">
        <v>79</v>
      </c>
    </row>
    <row r="231" spans="2:28" x14ac:dyDescent="0.2">
      <c r="C231" s="23">
        <v>1100575348</v>
      </c>
      <c r="E231" s="23">
        <v>30</v>
      </c>
      <c r="F231" s="23" t="s">
        <v>2775</v>
      </c>
      <c r="G231" s="23" t="s">
        <v>2776</v>
      </c>
      <c r="H231" s="24">
        <v>46093</v>
      </c>
      <c r="I231" s="24">
        <v>46093</v>
      </c>
      <c r="J231" s="23" t="s">
        <v>1280</v>
      </c>
      <c r="K231" s="23" t="s">
        <v>1280</v>
      </c>
      <c r="L231" s="23">
        <v>1</v>
      </c>
      <c r="M231" s="23" t="s">
        <v>78</v>
      </c>
      <c r="N231" s="23" t="s">
        <v>78</v>
      </c>
      <c r="O231" s="23">
        <v>1558.33</v>
      </c>
      <c r="P231" s="23" t="s">
        <v>79</v>
      </c>
      <c r="Q231" s="23" t="s">
        <v>83</v>
      </c>
      <c r="R231" s="23">
        <v>11100176</v>
      </c>
      <c r="S231" s="24">
        <v>46079</v>
      </c>
      <c r="T231" s="24">
        <v>46051</v>
      </c>
      <c r="U231" s="24">
        <v>47116</v>
      </c>
      <c r="X231" s="24">
        <v>46043</v>
      </c>
      <c r="Y231" s="23">
        <v>1111</v>
      </c>
      <c r="Z231" s="23">
        <v>11400895</v>
      </c>
      <c r="AA231" s="23">
        <v>3951</v>
      </c>
      <c r="AB231" s="24">
        <v>46043</v>
      </c>
    </row>
    <row r="232" spans="2:28" x14ac:dyDescent="0.2">
      <c r="B232" s="23" t="s">
        <v>81</v>
      </c>
      <c r="C232" s="23">
        <v>1100575348</v>
      </c>
      <c r="H232" s="24">
        <v>46093</v>
      </c>
      <c r="O232" s="23">
        <v>1558.33</v>
      </c>
      <c r="P232" s="23" t="s">
        <v>79</v>
      </c>
    </row>
    <row r="233" spans="2:28" x14ac:dyDescent="0.2">
      <c r="C233" s="23">
        <v>1100575392</v>
      </c>
      <c r="E233" s="23">
        <v>10</v>
      </c>
      <c r="F233" s="23" t="s">
        <v>3435</v>
      </c>
      <c r="G233" s="23" t="s">
        <v>3436</v>
      </c>
      <c r="H233" s="24">
        <v>46093</v>
      </c>
      <c r="I233" s="24">
        <v>46093</v>
      </c>
      <c r="J233" s="23" t="s">
        <v>1254</v>
      </c>
      <c r="K233" s="23" t="s">
        <v>1254</v>
      </c>
      <c r="L233" s="23">
        <v>8</v>
      </c>
      <c r="M233" s="23" t="s">
        <v>78</v>
      </c>
      <c r="N233" s="23" t="s">
        <v>78</v>
      </c>
      <c r="O233" s="23">
        <v>1473.68</v>
      </c>
      <c r="P233" s="23" t="s">
        <v>79</v>
      </c>
      <c r="Q233" s="23" t="s">
        <v>83</v>
      </c>
      <c r="R233" s="23">
        <v>11100189</v>
      </c>
      <c r="S233" s="24">
        <v>46121</v>
      </c>
      <c r="T233" s="24">
        <v>46051</v>
      </c>
      <c r="U233" s="24">
        <v>46093</v>
      </c>
      <c r="X233" s="24">
        <v>46051</v>
      </c>
      <c r="Y233" s="23">
        <v>1111</v>
      </c>
      <c r="Z233" s="23">
        <v>11400811</v>
      </c>
      <c r="AA233" s="23">
        <v>335103</v>
      </c>
      <c r="AB233" s="24">
        <v>46051</v>
      </c>
    </row>
    <row r="234" spans="2:28" x14ac:dyDescent="0.2">
      <c r="B234" s="23" t="s">
        <v>81</v>
      </c>
      <c r="C234" s="23">
        <v>1100575392</v>
      </c>
      <c r="H234" s="24">
        <v>46093</v>
      </c>
      <c r="O234" s="23">
        <v>1473.68</v>
      </c>
      <c r="P234" s="23" t="s">
        <v>79</v>
      </c>
    </row>
    <row r="235" spans="2:28" x14ac:dyDescent="0.2">
      <c r="C235" s="23">
        <v>1100575578</v>
      </c>
      <c r="E235" s="23">
        <v>10</v>
      </c>
      <c r="F235" s="23" t="s">
        <v>2872</v>
      </c>
      <c r="G235" s="23" t="s">
        <v>2873</v>
      </c>
      <c r="H235" s="24">
        <v>46093</v>
      </c>
      <c r="I235" s="24">
        <v>46093</v>
      </c>
      <c r="J235" s="23" t="s">
        <v>2874</v>
      </c>
      <c r="K235" s="23" t="s">
        <v>2874</v>
      </c>
      <c r="L235" s="23">
        <v>1</v>
      </c>
      <c r="M235" s="23" t="s">
        <v>78</v>
      </c>
      <c r="N235" s="23" t="s">
        <v>78</v>
      </c>
      <c r="O235" s="23">
        <v>496.4</v>
      </c>
      <c r="P235" s="23" t="s">
        <v>79</v>
      </c>
      <c r="Q235" s="23" t="s">
        <v>83</v>
      </c>
      <c r="R235" s="23">
        <v>11100176</v>
      </c>
      <c r="S235" s="24">
        <v>46073</v>
      </c>
      <c r="T235" s="24">
        <v>46052</v>
      </c>
      <c r="U235" s="24">
        <v>46093</v>
      </c>
      <c r="X235" s="24">
        <v>46044</v>
      </c>
      <c r="Y235" s="23">
        <v>1111</v>
      </c>
      <c r="Z235" s="23">
        <v>11400811</v>
      </c>
      <c r="AA235" s="23">
        <v>5051</v>
      </c>
      <c r="AB235" s="24">
        <v>46043</v>
      </c>
    </row>
    <row r="236" spans="2:28" x14ac:dyDescent="0.2">
      <c r="C236" s="23">
        <v>1100575578</v>
      </c>
      <c r="E236" s="23">
        <v>20</v>
      </c>
      <c r="F236" s="23" t="s">
        <v>2875</v>
      </c>
      <c r="G236" s="23" t="s">
        <v>2876</v>
      </c>
      <c r="H236" s="24">
        <v>46093</v>
      </c>
      <c r="I236" s="24">
        <v>46093</v>
      </c>
      <c r="J236" s="23" t="s">
        <v>2874</v>
      </c>
      <c r="K236" s="23" t="s">
        <v>2874</v>
      </c>
      <c r="L236" s="23">
        <v>1</v>
      </c>
      <c r="M236" s="23" t="s">
        <v>78</v>
      </c>
      <c r="N236" s="23" t="s">
        <v>78</v>
      </c>
      <c r="O236" s="23">
        <v>397.8</v>
      </c>
      <c r="P236" s="23" t="s">
        <v>79</v>
      </c>
      <c r="Q236" s="23" t="s">
        <v>83</v>
      </c>
      <c r="R236" s="23">
        <v>11100176</v>
      </c>
      <c r="S236" s="24">
        <v>46055</v>
      </c>
      <c r="T236" s="24">
        <v>46052</v>
      </c>
      <c r="U236" s="24">
        <v>46093</v>
      </c>
      <c r="X236" s="24">
        <v>46044</v>
      </c>
      <c r="Y236" s="23">
        <v>1111</v>
      </c>
      <c r="Z236" s="23">
        <v>11400811</v>
      </c>
      <c r="AA236" s="23">
        <v>5051</v>
      </c>
      <c r="AB236" s="24">
        <v>46043</v>
      </c>
    </row>
    <row r="237" spans="2:28" x14ac:dyDescent="0.2">
      <c r="C237" s="23">
        <v>1100575578</v>
      </c>
      <c r="E237" s="23">
        <v>50</v>
      </c>
      <c r="F237" s="23" t="s">
        <v>82</v>
      </c>
      <c r="G237" s="23" t="s">
        <v>139</v>
      </c>
      <c r="H237" s="24">
        <v>46093</v>
      </c>
      <c r="I237" s="24">
        <v>46142</v>
      </c>
      <c r="J237" s="23" t="s">
        <v>2874</v>
      </c>
      <c r="K237" s="23" t="s">
        <v>2874</v>
      </c>
      <c r="L237" s="23">
        <v>1</v>
      </c>
      <c r="M237" s="23" t="s">
        <v>78</v>
      </c>
      <c r="N237" s="23" t="s">
        <v>78</v>
      </c>
      <c r="O237" s="23">
        <v>0.01</v>
      </c>
      <c r="P237" s="23" t="s">
        <v>79</v>
      </c>
      <c r="Q237" s="23" t="s">
        <v>83</v>
      </c>
      <c r="R237" s="23">
        <v>11100176</v>
      </c>
      <c r="S237" s="24" t="s">
        <v>80</v>
      </c>
      <c r="T237" s="24">
        <v>46052</v>
      </c>
      <c r="U237" s="24">
        <v>47116</v>
      </c>
      <c r="X237" s="24">
        <v>46044</v>
      </c>
      <c r="Y237" s="23">
        <v>1111</v>
      </c>
      <c r="Z237" s="23">
        <v>11400811</v>
      </c>
      <c r="AA237" s="23">
        <v>5051</v>
      </c>
      <c r="AB237" s="24">
        <v>46043</v>
      </c>
    </row>
    <row r="238" spans="2:28" x14ac:dyDescent="0.2">
      <c r="C238" s="23">
        <v>1100575578</v>
      </c>
      <c r="E238" s="23">
        <v>60</v>
      </c>
      <c r="F238" s="23" t="s">
        <v>87</v>
      </c>
      <c r="G238" s="23" t="s">
        <v>2877</v>
      </c>
      <c r="H238" s="24">
        <v>46093</v>
      </c>
      <c r="I238" s="24">
        <v>46142</v>
      </c>
      <c r="J238" s="23" t="s">
        <v>2874</v>
      </c>
      <c r="K238" s="23" t="s">
        <v>2874</v>
      </c>
      <c r="L238" s="23">
        <v>1</v>
      </c>
      <c r="M238" s="23" t="s">
        <v>78</v>
      </c>
      <c r="N238" s="23" t="s">
        <v>78</v>
      </c>
      <c r="O238" s="23">
        <v>975.8</v>
      </c>
      <c r="P238" s="23" t="s">
        <v>79</v>
      </c>
      <c r="Q238" s="23" t="s">
        <v>83</v>
      </c>
      <c r="R238" s="23">
        <v>11100176</v>
      </c>
      <c r="S238" s="24" t="s">
        <v>80</v>
      </c>
      <c r="T238" s="24">
        <v>46052</v>
      </c>
      <c r="U238" s="24">
        <v>47116</v>
      </c>
      <c r="X238" s="24" t="s">
        <v>80</v>
      </c>
      <c r="Y238" s="23">
        <v>1111</v>
      </c>
      <c r="Z238" s="23">
        <v>11400811</v>
      </c>
      <c r="AA238" s="23">
        <v>5051</v>
      </c>
      <c r="AB238" s="24" t="s">
        <v>80</v>
      </c>
    </row>
    <row r="239" spans="2:28" x14ac:dyDescent="0.2">
      <c r="C239" s="23">
        <v>1100575578</v>
      </c>
      <c r="E239" s="23">
        <v>70</v>
      </c>
      <c r="F239" s="23" t="s">
        <v>84</v>
      </c>
      <c r="G239" s="23" t="s">
        <v>123</v>
      </c>
      <c r="H239" s="24">
        <v>46093</v>
      </c>
      <c r="I239" s="24">
        <v>46142</v>
      </c>
      <c r="J239" s="23" t="s">
        <v>2874</v>
      </c>
      <c r="K239" s="23" t="s">
        <v>2874</v>
      </c>
      <c r="L239" s="23">
        <v>1</v>
      </c>
      <c r="M239" s="23" t="s">
        <v>78</v>
      </c>
      <c r="N239" s="23" t="s">
        <v>78</v>
      </c>
      <c r="O239" s="23">
        <v>0.01</v>
      </c>
      <c r="P239" s="23" t="s">
        <v>79</v>
      </c>
      <c r="Q239" s="23" t="s">
        <v>83</v>
      </c>
      <c r="R239" s="23">
        <v>11100176</v>
      </c>
      <c r="S239" s="24" t="s">
        <v>80</v>
      </c>
      <c r="T239" s="24">
        <v>46052</v>
      </c>
      <c r="U239" s="24">
        <v>47116</v>
      </c>
      <c r="X239" s="24">
        <v>46044</v>
      </c>
      <c r="Y239" s="23">
        <v>1111</v>
      </c>
      <c r="Z239" s="23">
        <v>11400811</v>
      </c>
      <c r="AA239" s="23">
        <v>5051</v>
      </c>
      <c r="AB239" s="24">
        <v>46043</v>
      </c>
    </row>
    <row r="240" spans="2:28" x14ac:dyDescent="0.2">
      <c r="B240" s="23" t="s">
        <v>81</v>
      </c>
      <c r="C240" s="23">
        <v>1100575578</v>
      </c>
      <c r="H240" s="24">
        <v>46093</v>
      </c>
      <c r="O240" s="23">
        <v>1870.02</v>
      </c>
      <c r="P240" s="23" t="s">
        <v>79</v>
      </c>
    </row>
    <row r="241" spans="2:28" x14ac:dyDescent="0.2">
      <c r="C241" s="23">
        <v>1100575839</v>
      </c>
      <c r="E241" s="23">
        <v>10</v>
      </c>
      <c r="F241" s="23" t="s">
        <v>2777</v>
      </c>
      <c r="G241" s="23" t="s">
        <v>2778</v>
      </c>
      <c r="H241" s="24">
        <v>46093</v>
      </c>
      <c r="I241" s="24">
        <v>46093</v>
      </c>
      <c r="J241" s="23" t="s">
        <v>257</v>
      </c>
      <c r="K241" s="23" t="s">
        <v>257</v>
      </c>
      <c r="L241" s="23">
        <v>6</v>
      </c>
      <c r="M241" s="23" t="s">
        <v>78</v>
      </c>
      <c r="N241" s="23" t="s">
        <v>78</v>
      </c>
      <c r="O241" s="23">
        <v>10482.530000000001</v>
      </c>
      <c r="P241" s="23" t="s">
        <v>79</v>
      </c>
      <c r="Q241" s="23" t="s">
        <v>83</v>
      </c>
      <c r="R241" s="23">
        <v>11100176</v>
      </c>
      <c r="S241" s="24">
        <v>46093</v>
      </c>
      <c r="T241" s="24">
        <v>46057</v>
      </c>
      <c r="U241" s="24" t="s">
        <v>80</v>
      </c>
      <c r="X241" s="24">
        <v>46056</v>
      </c>
      <c r="Y241" s="23">
        <v>1111</v>
      </c>
      <c r="Z241" s="23">
        <v>11100137</v>
      </c>
      <c r="AA241" s="23">
        <v>3151</v>
      </c>
      <c r="AB241" s="24">
        <v>46056</v>
      </c>
    </row>
    <row r="242" spans="2:28" x14ac:dyDescent="0.2">
      <c r="C242" s="23">
        <v>1100575839</v>
      </c>
      <c r="E242" s="23">
        <v>20</v>
      </c>
      <c r="F242" s="23" t="s">
        <v>2777</v>
      </c>
      <c r="G242" s="23" t="s">
        <v>2778</v>
      </c>
      <c r="H242" s="24">
        <v>46093</v>
      </c>
      <c r="I242" s="24">
        <v>46100</v>
      </c>
      <c r="J242" s="23" t="s">
        <v>257</v>
      </c>
      <c r="K242" s="23" t="s">
        <v>257</v>
      </c>
      <c r="L242" s="23">
        <v>5</v>
      </c>
      <c r="M242" s="23" t="s">
        <v>78</v>
      </c>
      <c r="N242" s="23" t="s">
        <v>78</v>
      </c>
      <c r="O242" s="23">
        <v>8735.44</v>
      </c>
      <c r="P242" s="23" t="s">
        <v>79</v>
      </c>
      <c r="Q242" s="23" t="s">
        <v>83</v>
      </c>
      <c r="R242" s="23">
        <v>11100176</v>
      </c>
      <c r="S242" s="24">
        <v>46100</v>
      </c>
      <c r="T242" s="24">
        <v>46057</v>
      </c>
      <c r="U242" s="24" t="s">
        <v>80</v>
      </c>
      <c r="X242" s="24">
        <v>46056</v>
      </c>
      <c r="Y242" s="23">
        <v>1111</v>
      </c>
      <c r="Z242" s="23">
        <v>11100137</v>
      </c>
      <c r="AA242" s="23">
        <v>3151</v>
      </c>
      <c r="AB242" s="24">
        <v>46056</v>
      </c>
    </row>
    <row r="243" spans="2:28" x14ac:dyDescent="0.2">
      <c r="C243" s="23">
        <v>1100575839</v>
      </c>
      <c r="E243" s="23">
        <v>30</v>
      </c>
      <c r="F243" s="23" t="s">
        <v>2777</v>
      </c>
      <c r="G243" s="23" t="s">
        <v>2778</v>
      </c>
      <c r="H243" s="24">
        <v>46093</v>
      </c>
      <c r="I243" s="24">
        <v>46107</v>
      </c>
      <c r="J243" s="23" t="s">
        <v>257</v>
      </c>
      <c r="K243" s="23" t="s">
        <v>257</v>
      </c>
      <c r="L243" s="23">
        <v>5</v>
      </c>
      <c r="M243" s="23" t="s">
        <v>78</v>
      </c>
      <c r="N243" s="23" t="s">
        <v>78</v>
      </c>
      <c r="O243" s="23">
        <v>8735.4699999999993</v>
      </c>
      <c r="P243" s="23" t="s">
        <v>79</v>
      </c>
      <c r="Q243" s="23" t="s">
        <v>83</v>
      </c>
      <c r="R243" s="23">
        <v>11100176</v>
      </c>
      <c r="S243" s="24">
        <v>46107</v>
      </c>
      <c r="T243" s="24">
        <v>46057</v>
      </c>
      <c r="U243" s="24" t="s">
        <v>80</v>
      </c>
      <c r="X243" s="24">
        <v>46056</v>
      </c>
      <c r="Y243" s="23">
        <v>1111</v>
      </c>
      <c r="Z243" s="23">
        <v>11100137</v>
      </c>
      <c r="AA243" s="23">
        <v>3151</v>
      </c>
      <c r="AB243" s="24">
        <v>46056</v>
      </c>
    </row>
    <row r="244" spans="2:28" x14ac:dyDescent="0.2">
      <c r="B244" s="23" t="s">
        <v>81</v>
      </c>
      <c r="C244" s="23">
        <v>1100575839</v>
      </c>
      <c r="H244" s="24">
        <v>46093</v>
      </c>
      <c r="O244" s="23">
        <v>27953.439999999999</v>
      </c>
      <c r="P244" s="23" t="s">
        <v>79</v>
      </c>
    </row>
    <row r="245" spans="2:28" x14ac:dyDescent="0.2">
      <c r="C245" s="23">
        <v>1100576494</v>
      </c>
      <c r="E245" s="23">
        <v>10</v>
      </c>
      <c r="F245" s="23" t="s">
        <v>1903</v>
      </c>
      <c r="G245" s="23" t="s">
        <v>1904</v>
      </c>
      <c r="H245" s="24">
        <v>46093</v>
      </c>
      <c r="I245" s="24">
        <v>46093</v>
      </c>
      <c r="J245" s="23" t="s">
        <v>815</v>
      </c>
      <c r="K245" s="23" t="s">
        <v>815</v>
      </c>
      <c r="L245" s="23">
        <v>1</v>
      </c>
      <c r="M245" s="23" t="s">
        <v>78</v>
      </c>
      <c r="N245" s="23" t="s">
        <v>78</v>
      </c>
      <c r="O245" s="23">
        <v>0</v>
      </c>
      <c r="P245" s="23" t="s">
        <v>79</v>
      </c>
      <c r="Q245" s="23" t="s">
        <v>83</v>
      </c>
      <c r="R245" s="23">
        <v>11100176</v>
      </c>
      <c r="S245" s="24" t="s">
        <v>80</v>
      </c>
      <c r="T245" s="24">
        <v>46064</v>
      </c>
      <c r="U245" s="24" t="s">
        <v>80</v>
      </c>
      <c r="X245" s="24">
        <v>46064</v>
      </c>
      <c r="Y245" s="23">
        <v>1111</v>
      </c>
      <c r="Z245" s="23">
        <v>11400797</v>
      </c>
      <c r="AA245" s="23">
        <v>335103</v>
      </c>
      <c r="AB245" s="24">
        <v>46064</v>
      </c>
    </row>
    <row r="246" spans="2:28" x14ac:dyDescent="0.2">
      <c r="B246" s="23" t="s">
        <v>81</v>
      </c>
      <c r="C246" s="23">
        <v>1100576494</v>
      </c>
      <c r="H246" s="24">
        <v>46093</v>
      </c>
      <c r="O246" s="23">
        <v>0</v>
      </c>
      <c r="P246" s="23" t="s">
        <v>79</v>
      </c>
    </row>
    <row r="247" spans="2:28" x14ac:dyDescent="0.2">
      <c r="C247" s="23">
        <v>1100576630</v>
      </c>
      <c r="E247" s="23">
        <v>10</v>
      </c>
      <c r="F247" s="23" t="s">
        <v>2779</v>
      </c>
      <c r="G247" s="23" t="s">
        <v>2780</v>
      </c>
      <c r="H247" s="24">
        <v>46093</v>
      </c>
      <c r="I247" s="24">
        <v>46093</v>
      </c>
      <c r="J247" s="23" t="s">
        <v>157</v>
      </c>
      <c r="K247" s="23" t="s">
        <v>157</v>
      </c>
      <c r="L247" s="23">
        <v>1</v>
      </c>
      <c r="M247" s="23" t="s">
        <v>78</v>
      </c>
      <c r="N247" s="23" t="s">
        <v>78</v>
      </c>
      <c r="O247" s="23">
        <v>528.16999999999996</v>
      </c>
      <c r="P247" s="23" t="s">
        <v>79</v>
      </c>
      <c r="Q247" s="23" t="s">
        <v>83</v>
      </c>
      <c r="R247" s="23">
        <v>11100176</v>
      </c>
      <c r="S247" s="24">
        <v>46093</v>
      </c>
      <c r="T247" s="24">
        <v>46065</v>
      </c>
      <c r="U247" s="24" t="s">
        <v>80</v>
      </c>
      <c r="X247" s="24">
        <v>46064</v>
      </c>
      <c r="Y247" s="23">
        <v>1111</v>
      </c>
      <c r="Z247" s="23">
        <v>11400895</v>
      </c>
      <c r="AA247" s="23">
        <v>3351</v>
      </c>
      <c r="AB247" s="24">
        <v>46055</v>
      </c>
    </row>
    <row r="248" spans="2:28" x14ac:dyDescent="0.2">
      <c r="C248" s="23">
        <v>1100576630</v>
      </c>
      <c r="E248" s="23">
        <v>20</v>
      </c>
      <c r="F248" s="23" t="s">
        <v>82</v>
      </c>
      <c r="G248" s="23" t="s">
        <v>139</v>
      </c>
      <c r="H248" s="24">
        <v>46093</v>
      </c>
      <c r="I248" s="24">
        <v>46093</v>
      </c>
      <c r="J248" s="23" t="s">
        <v>157</v>
      </c>
      <c r="K248" s="23" t="s">
        <v>157</v>
      </c>
      <c r="L248" s="23">
        <v>1</v>
      </c>
      <c r="M248" s="23" t="s">
        <v>78</v>
      </c>
      <c r="N248" s="23" t="s">
        <v>78</v>
      </c>
      <c r="O248" s="23">
        <v>0.01</v>
      </c>
      <c r="P248" s="23" t="s">
        <v>79</v>
      </c>
      <c r="Q248" s="23" t="s">
        <v>83</v>
      </c>
      <c r="R248" s="23">
        <v>11100176</v>
      </c>
      <c r="S248" s="24" t="s">
        <v>80</v>
      </c>
      <c r="T248" s="24">
        <v>46065</v>
      </c>
      <c r="U248" s="24" t="s">
        <v>80</v>
      </c>
      <c r="X248" s="24">
        <v>46064</v>
      </c>
      <c r="Y248" s="23">
        <v>1111</v>
      </c>
      <c r="Z248" s="23">
        <v>11400895</v>
      </c>
      <c r="AA248" s="23">
        <v>3351</v>
      </c>
      <c r="AB248" s="24">
        <v>46055</v>
      </c>
    </row>
    <row r="249" spans="2:28" x14ac:dyDescent="0.2">
      <c r="B249" s="23" t="s">
        <v>81</v>
      </c>
      <c r="C249" s="23">
        <v>1100576630</v>
      </c>
      <c r="H249" s="24">
        <v>46093</v>
      </c>
      <c r="O249" s="23">
        <v>528.17999999999995</v>
      </c>
      <c r="P249" s="23" t="s">
        <v>79</v>
      </c>
    </row>
    <row r="250" spans="2:28" x14ac:dyDescent="0.2">
      <c r="C250" s="23">
        <v>1100576995</v>
      </c>
      <c r="E250" s="23">
        <v>20</v>
      </c>
      <c r="F250" s="23" t="s">
        <v>495</v>
      </c>
      <c r="G250" s="23" t="s">
        <v>496</v>
      </c>
      <c r="H250" s="24">
        <v>46093</v>
      </c>
      <c r="I250" s="24">
        <v>46093</v>
      </c>
      <c r="J250" s="23" t="s">
        <v>257</v>
      </c>
      <c r="K250" s="23" t="s">
        <v>257</v>
      </c>
      <c r="L250" s="23">
        <v>1</v>
      </c>
      <c r="M250" s="23" t="s">
        <v>78</v>
      </c>
      <c r="N250" s="23" t="s">
        <v>78</v>
      </c>
      <c r="O250" s="23">
        <v>1136.43</v>
      </c>
      <c r="P250" s="23" t="s">
        <v>79</v>
      </c>
      <c r="Q250" s="23" t="s">
        <v>83</v>
      </c>
      <c r="R250" s="23">
        <v>11100176</v>
      </c>
      <c r="S250" s="24">
        <v>46093</v>
      </c>
      <c r="T250" s="24">
        <v>46070</v>
      </c>
      <c r="U250" s="24">
        <v>46387</v>
      </c>
      <c r="X250" s="24">
        <v>46066</v>
      </c>
      <c r="Y250" s="23">
        <v>1111</v>
      </c>
      <c r="Z250" s="23">
        <v>11100137</v>
      </c>
      <c r="AA250" s="23">
        <v>3951</v>
      </c>
      <c r="AB250" s="24">
        <v>46066</v>
      </c>
    </row>
    <row r="251" spans="2:28" x14ac:dyDescent="0.2">
      <c r="B251" s="23" t="s">
        <v>81</v>
      </c>
      <c r="C251" s="23">
        <v>1100576995</v>
      </c>
      <c r="H251" s="24">
        <v>46093</v>
      </c>
      <c r="O251" s="23">
        <v>1136.43</v>
      </c>
      <c r="P251" s="23" t="s">
        <v>79</v>
      </c>
    </row>
    <row r="252" spans="2:28" x14ac:dyDescent="0.2">
      <c r="C252" s="23">
        <v>1100578648</v>
      </c>
      <c r="E252" s="23">
        <v>10</v>
      </c>
      <c r="F252" s="23" t="s">
        <v>240</v>
      </c>
      <c r="G252" s="23" t="s">
        <v>241</v>
      </c>
      <c r="H252" s="24">
        <v>46093</v>
      </c>
      <c r="I252" s="24">
        <v>46093</v>
      </c>
      <c r="J252" s="23" t="s">
        <v>121</v>
      </c>
      <c r="K252" s="23" t="s">
        <v>121</v>
      </c>
      <c r="L252" s="23">
        <v>2</v>
      </c>
      <c r="M252" s="23" t="s">
        <v>78</v>
      </c>
      <c r="N252" s="23" t="s">
        <v>78</v>
      </c>
      <c r="O252" s="23">
        <v>864.3</v>
      </c>
      <c r="P252" s="23" t="s">
        <v>79</v>
      </c>
      <c r="Q252" s="23" t="s">
        <v>83</v>
      </c>
      <c r="R252" s="23">
        <v>11100176</v>
      </c>
      <c r="S252" s="24">
        <v>46099</v>
      </c>
      <c r="T252" s="24">
        <v>46085</v>
      </c>
      <c r="U252" s="24">
        <v>46093</v>
      </c>
      <c r="X252" s="24">
        <v>46084</v>
      </c>
      <c r="Y252" s="23">
        <v>1111</v>
      </c>
      <c r="Z252" s="23">
        <v>11400937</v>
      </c>
      <c r="AA252" s="23">
        <v>3351</v>
      </c>
      <c r="AB252" s="24">
        <v>46083</v>
      </c>
    </row>
    <row r="253" spans="2:28" x14ac:dyDescent="0.2">
      <c r="B253" s="23" t="s">
        <v>81</v>
      </c>
      <c r="C253" s="23">
        <v>1100578648</v>
      </c>
      <c r="H253" s="24">
        <v>46093</v>
      </c>
      <c r="O253" s="23">
        <v>864.3</v>
      </c>
      <c r="P253" s="23" t="s">
        <v>79</v>
      </c>
    </row>
    <row r="254" spans="2:28" x14ac:dyDescent="0.2">
      <c r="C254" s="23">
        <v>1100578657</v>
      </c>
      <c r="E254" s="23">
        <v>10</v>
      </c>
      <c r="F254" s="23" t="s">
        <v>1793</v>
      </c>
      <c r="G254" s="23" t="s">
        <v>1794</v>
      </c>
      <c r="H254" s="24">
        <v>46093</v>
      </c>
      <c r="I254" s="24">
        <v>46093</v>
      </c>
      <c r="J254" s="23" t="s">
        <v>3307</v>
      </c>
      <c r="K254" s="23" t="s">
        <v>3307</v>
      </c>
      <c r="L254" s="23">
        <v>1</v>
      </c>
      <c r="M254" s="23" t="s">
        <v>78</v>
      </c>
      <c r="N254" s="23" t="s">
        <v>78</v>
      </c>
      <c r="O254" s="23">
        <v>2219.98</v>
      </c>
      <c r="P254" s="23" t="s">
        <v>79</v>
      </c>
      <c r="Q254" s="23" t="s">
        <v>83</v>
      </c>
      <c r="R254" s="23">
        <v>11100176</v>
      </c>
      <c r="S254" s="24">
        <v>46093</v>
      </c>
      <c r="T254" s="24">
        <v>46085</v>
      </c>
      <c r="U254" s="24">
        <v>46093</v>
      </c>
      <c r="X254" s="24">
        <v>46076</v>
      </c>
      <c r="Y254" s="23">
        <v>1111</v>
      </c>
      <c r="Z254" s="23">
        <v>11400704</v>
      </c>
      <c r="AA254" s="23">
        <v>3951</v>
      </c>
      <c r="AB254" s="24">
        <v>46070</v>
      </c>
    </row>
    <row r="255" spans="2:28" x14ac:dyDescent="0.2">
      <c r="B255" s="23" t="s">
        <v>81</v>
      </c>
      <c r="C255" s="23">
        <v>1100578657</v>
      </c>
      <c r="H255" s="24">
        <v>46093</v>
      </c>
      <c r="O255" s="23">
        <v>2219.98</v>
      </c>
      <c r="P255" s="23" t="s">
        <v>79</v>
      </c>
    </row>
    <row r="256" spans="2:28" x14ac:dyDescent="0.2">
      <c r="C256" s="23">
        <v>1100578669</v>
      </c>
      <c r="E256" s="23">
        <v>10</v>
      </c>
      <c r="F256" s="23" t="s">
        <v>1785</v>
      </c>
      <c r="G256" s="23" t="s">
        <v>1786</v>
      </c>
      <c r="H256" s="24">
        <v>46093</v>
      </c>
      <c r="I256" s="24">
        <v>46093</v>
      </c>
      <c r="J256" s="23" t="s">
        <v>4195</v>
      </c>
      <c r="K256" s="23" t="s">
        <v>4195</v>
      </c>
      <c r="L256" s="23">
        <v>6</v>
      </c>
      <c r="M256" s="23" t="s">
        <v>78</v>
      </c>
      <c r="N256" s="23" t="s">
        <v>78</v>
      </c>
      <c r="O256" s="23">
        <v>216.6</v>
      </c>
      <c r="P256" s="23" t="s">
        <v>79</v>
      </c>
      <c r="Q256" s="23" t="s">
        <v>83</v>
      </c>
      <c r="R256" s="23">
        <v>11100176</v>
      </c>
      <c r="S256" s="24">
        <v>46114</v>
      </c>
      <c r="T256" s="24">
        <v>46085</v>
      </c>
      <c r="U256" s="24">
        <v>46093</v>
      </c>
      <c r="X256" s="24">
        <v>46079</v>
      </c>
      <c r="Y256" s="23">
        <v>1111</v>
      </c>
      <c r="Z256" s="23">
        <v>11100320</v>
      </c>
      <c r="AA256" s="23">
        <v>3351</v>
      </c>
      <c r="AB256" s="24">
        <v>46084</v>
      </c>
    </row>
    <row r="257" spans="2:28" x14ac:dyDescent="0.2">
      <c r="C257" s="23">
        <v>1100578669</v>
      </c>
      <c r="E257" s="23">
        <v>20</v>
      </c>
      <c r="F257" s="23" t="s">
        <v>82</v>
      </c>
      <c r="G257" s="23" t="s">
        <v>139</v>
      </c>
      <c r="H257" s="24">
        <v>46093</v>
      </c>
      <c r="I257" s="24">
        <v>46093</v>
      </c>
      <c r="J257" s="23" t="s">
        <v>4195</v>
      </c>
      <c r="K257" s="23" t="s">
        <v>4195</v>
      </c>
      <c r="L257" s="23">
        <v>1</v>
      </c>
      <c r="M257" s="23" t="s">
        <v>78</v>
      </c>
      <c r="N257" s="23" t="s">
        <v>78</v>
      </c>
      <c r="O257" s="23">
        <v>0.01</v>
      </c>
      <c r="P257" s="23" t="s">
        <v>79</v>
      </c>
      <c r="Q257" s="23" t="s">
        <v>83</v>
      </c>
      <c r="R257" s="23">
        <v>11100176</v>
      </c>
      <c r="S257" s="24">
        <v>46114</v>
      </c>
      <c r="T257" s="24">
        <v>46085</v>
      </c>
      <c r="U257" s="24">
        <v>46093</v>
      </c>
      <c r="X257" s="24">
        <v>46079</v>
      </c>
      <c r="Y257" s="23">
        <v>1111</v>
      </c>
      <c r="Z257" s="23">
        <v>11100320</v>
      </c>
      <c r="AA257" s="23">
        <v>3351</v>
      </c>
      <c r="AB257" s="24">
        <v>46084</v>
      </c>
    </row>
    <row r="258" spans="2:28" x14ac:dyDescent="0.2">
      <c r="B258" s="23" t="s">
        <v>81</v>
      </c>
      <c r="C258" s="23">
        <v>1100578669</v>
      </c>
      <c r="H258" s="24">
        <v>46093</v>
      </c>
      <c r="O258" s="23">
        <v>216.61</v>
      </c>
      <c r="P258" s="23" t="s">
        <v>79</v>
      </c>
    </row>
    <row r="259" spans="2:28" x14ac:dyDescent="0.2">
      <c r="C259" s="23">
        <v>1100578676</v>
      </c>
      <c r="E259" s="23">
        <v>10</v>
      </c>
      <c r="F259" s="23" t="s">
        <v>1140</v>
      </c>
      <c r="G259" s="23" t="s">
        <v>1141</v>
      </c>
      <c r="H259" s="24">
        <v>46093</v>
      </c>
      <c r="I259" s="24">
        <v>46093</v>
      </c>
      <c r="J259" s="23" t="s">
        <v>810</v>
      </c>
      <c r="K259" s="23" t="s">
        <v>810</v>
      </c>
      <c r="L259" s="23">
        <v>1</v>
      </c>
      <c r="M259" s="23" t="s">
        <v>78</v>
      </c>
      <c r="N259" s="23" t="s">
        <v>78</v>
      </c>
      <c r="O259" s="23">
        <v>401.32</v>
      </c>
      <c r="P259" s="23" t="s">
        <v>79</v>
      </c>
      <c r="Q259" s="23" t="s">
        <v>83</v>
      </c>
      <c r="R259" s="23">
        <v>11100176</v>
      </c>
      <c r="S259" s="24">
        <v>46113</v>
      </c>
      <c r="T259" s="24">
        <v>46086</v>
      </c>
      <c r="U259" s="24">
        <v>46093</v>
      </c>
      <c r="X259" s="24">
        <v>46084</v>
      </c>
      <c r="Y259" s="23">
        <v>1111</v>
      </c>
      <c r="Z259" s="23">
        <v>11400745</v>
      </c>
      <c r="AA259" s="23">
        <v>335103</v>
      </c>
      <c r="AB259" s="24">
        <v>46083</v>
      </c>
    </row>
    <row r="260" spans="2:28" x14ac:dyDescent="0.2">
      <c r="C260" s="23">
        <v>1100578676</v>
      </c>
      <c r="E260" s="23">
        <v>20</v>
      </c>
      <c r="F260" s="23" t="s">
        <v>799</v>
      </c>
      <c r="G260" s="23" t="s">
        <v>1840</v>
      </c>
      <c r="H260" s="24">
        <v>46093</v>
      </c>
      <c r="I260" s="24">
        <v>46093</v>
      </c>
      <c r="J260" s="23" t="s">
        <v>810</v>
      </c>
      <c r="K260" s="23" t="s">
        <v>810</v>
      </c>
      <c r="L260" s="23">
        <v>2</v>
      </c>
      <c r="M260" s="23" t="s">
        <v>78</v>
      </c>
      <c r="N260" s="23" t="s">
        <v>78</v>
      </c>
      <c r="O260" s="23">
        <v>289.48</v>
      </c>
      <c r="P260" s="23" t="s">
        <v>79</v>
      </c>
      <c r="Q260" s="23" t="s">
        <v>83</v>
      </c>
      <c r="R260" s="23">
        <v>11100176</v>
      </c>
      <c r="S260" s="24">
        <v>46113</v>
      </c>
      <c r="T260" s="24">
        <v>46086</v>
      </c>
      <c r="U260" s="24">
        <v>46093</v>
      </c>
      <c r="X260" s="24">
        <v>46084</v>
      </c>
      <c r="Y260" s="23">
        <v>1111</v>
      </c>
      <c r="Z260" s="23">
        <v>11400745</v>
      </c>
      <c r="AA260" s="23">
        <v>335103</v>
      </c>
      <c r="AB260" s="24">
        <v>46083</v>
      </c>
    </row>
    <row r="261" spans="2:28" x14ac:dyDescent="0.2">
      <c r="C261" s="23">
        <v>1100578676</v>
      </c>
      <c r="E261" s="23">
        <v>30</v>
      </c>
      <c r="F261" s="23" t="s">
        <v>4200</v>
      </c>
      <c r="G261" s="23" t="s">
        <v>4201</v>
      </c>
      <c r="H261" s="24">
        <v>46093</v>
      </c>
      <c r="I261" s="24">
        <v>46093</v>
      </c>
      <c r="J261" s="23" t="s">
        <v>810</v>
      </c>
      <c r="K261" s="23" t="s">
        <v>810</v>
      </c>
      <c r="L261" s="23">
        <v>1</v>
      </c>
      <c r="M261" s="23" t="s">
        <v>78</v>
      </c>
      <c r="N261" s="23" t="s">
        <v>78</v>
      </c>
      <c r="O261" s="23">
        <v>222.75</v>
      </c>
      <c r="P261" s="23" t="s">
        <v>79</v>
      </c>
      <c r="Q261" s="23" t="s">
        <v>83</v>
      </c>
      <c r="R261" s="23">
        <v>11100176</v>
      </c>
      <c r="S261" s="24">
        <v>46113</v>
      </c>
      <c r="T261" s="24">
        <v>46086</v>
      </c>
      <c r="U261" s="24">
        <v>46093</v>
      </c>
      <c r="X261" s="24">
        <v>46084</v>
      </c>
      <c r="Y261" s="23">
        <v>1111</v>
      </c>
      <c r="Z261" s="23">
        <v>11400745</v>
      </c>
      <c r="AA261" s="23">
        <v>335103</v>
      </c>
      <c r="AB261" s="24">
        <v>46083</v>
      </c>
    </row>
    <row r="262" spans="2:28" x14ac:dyDescent="0.2">
      <c r="C262" s="23">
        <v>1100578676</v>
      </c>
      <c r="E262" s="23">
        <v>40</v>
      </c>
      <c r="F262" s="23" t="s">
        <v>857</v>
      </c>
      <c r="G262" s="23" t="s">
        <v>858</v>
      </c>
      <c r="H262" s="24">
        <v>46093</v>
      </c>
      <c r="I262" s="24">
        <v>46093</v>
      </c>
      <c r="J262" s="23" t="s">
        <v>810</v>
      </c>
      <c r="K262" s="23" t="s">
        <v>810</v>
      </c>
      <c r="L262" s="23">
        <v>1</v>
      </c>
      <c r="M262" s="23" t="s">
        <v>78</v>
      </c>
      <c r="N262" s="23" t="s">
        <v>78</v>
      </c>
      <c r="O262" s="23">
        <v>73.47</v>
      </c>
      <c r="P262" s="23" t="s">
        <v>79</v>
      </c>
      <c r="Q262" s="23" t="s">
        <v>83</v>
      </c>
      <c r="R262" s="23">
        <v>11100176</v>
      </c>
      <c r="S262" s="24">
        <v>46113</v>
      </c>
      <c r="T262" s="24">
        <v>46086</v>
      </c>
      <c r="U262" s="24">
        <v>46093</v>
      </c>
      <c r="X262" s="24">
        <v>46084</v>
      </c>
      <c r="Y262" s="23">
        <v>1111</v>
      </c>
      <c r="Z262" s="23">
        <v>11400745</v>
      </c>
      <c r="AA262" s="23">
        <v>335103</v>
      </c>
      <c r="AB262" s="24">
        <v>46083</v>
      </c>
    </row>
    <row r="263" spans="2:28" x14ac:dyDescent="0.2">
      <c r="C263" s="23">
        <v>1100578676</v>
      </c>
      <c r="E263" s="23">
        <v>50</v>
      </c>
      <c r="F263" s="23" t="s">
        <v>1737</v>
      </c>
      <c r="G263" s="23" t="s">
        <v>1738</v>
      </c>
      <c r="H263" s="24">
        <v>46093</v>
      </c>
      <c r="I263" s="24">
        <v>46093</v>
      </c>
      <c r="J263" s="23" t="s">
        <v>810</v>
      </c>
      <c r="K263" s="23" t="s">
        <v>810</v>
      </c>
      <c r="L263" s="23">
        <v>1</v>
      </c>
      <c r="M263" s="23" t="s">
        <v>78</v>
      </c>
      <c r="N263" s="23" t="s">
        <v>78</v>
      </c>
      <c r="O263" s="23">
        <v>7.68</v>
      </c>
      <c r="P263" s="23" t="s">
        <v>79</v>
      </c>
      <c r="Q263" s="23" t="s">
        <v>83</v>
      </c>
      <c r="R263" s="23">
        <v>11100176</v>
      </c>
      <c r="S263" s="24">
        <v>46113</v>
      </c>
      <c r="T263" s="24">
        <v>46086</v>
      </c>
      <c r="U263" s="24">
        <v>46093</v>
      </c>
      <c r="X263" s="24">
        <v>46084</v>
      </c>
      <c r="Y263" s="23">
        <v>1111</v>
      </c>
      <c r="Z263" s="23">
        <v>11400745</v>
      </c>
      <c r="AA263" s="23">
        <v>335103</v>
      </c>
      <c r="AB263" s="24">
        <v>46083</v>
      </c>
    </row>
    <row r="264" spans="2:28" x14ac:dyDescent="0.2">
      <c r="C264" s="23">
        <v>1100578676</v>
      </c>
      <c r="E264" s="23">
        <v>60</v>
      </c>
      <c r="F264" s="23" t="s">
        <v>739</v>
      </c>
      <c r="G264" s="23" t="s">
        <v>740</v>
      </c>
      <c r="H264" s="24">
        <v>46093</v>
      </c>
      <c r="I264" s="24">
        <v>46093</v>
      </c>
      <c r="J264" s="23" t="s">
        <v>810</v>
      </c>
      <c r="K264" s="23" t="s">
        <v>810</v>
      </c>
      <c r="L264" s="23">
        <v>1</v>
      </c>
      <c r="M264" s="23" t="s">
        <v>78</v>
      </c>
      <c r="N264" s="23" t="s">
        <v>78</v>
      </c>
      <c r="O264" s="23">
        <v>37.28</v>
      </c>
      <c r="P264" s="23" t="s">
        <v>79</v>
      </c>
      <c r="Q264" s="23" t="s">
        <v>83</v>
      </c>
      <c r="R264" s="23">
        <v>11100176</v>
      </c>
      <c r="S264" s="24">
        <v>46113</v>
      </c>
      <c r="T264" s="24">
        <v>46086</v>
      </c>
      <c r="U264" s="24">
        <v>46093</v>
      </c>
      <c r="X264" s="24">
        <v>46084</v>
      </c>
      <c r="Y264" s="23">
        <v>1111</v>
      </c>
      <c r="Z264" s="23">
        <v>11400745</v>
      </c>
      <c r="AA264" s="23">
        <v>335103</v>
      </c>
      <c r="AB264" s="24">
        <v>46083</v>
      </c>
    </row>
    <row r="265" spans="2:28" x14ac:dyDescent="0.2">
      <c r="C265" s="23">
        <v>1100578676</v>
      </c>
      <c r="E265" s="23">
        <v>70</v>
      </c>
      <c r="F265" s="23" t="s">
        <v>4202</v>
      </c>
      <c r="G265" s="23" t="s">
        <v>4203</v>
      </c>
      <c r="H265" s="24">
        <v>46093</v>
      </c>
      <c r="I265" s="24">
        <v>46113</v>
      </c>
      <c r="J265" s="23" t="s">
        <v>810</v>
      </c>
      <c r="K265" s="23" t="s">
        <v>810</v>
      </c>
      <c r="L265" s="23">
        <v>1</v>
      </c>
      <c r="M265" s="23" t="s">
        <v>78</v>
      </c>
      <c r="N265" s="23" t="s">
        <v>78</v>
      </c>
      <c r="O265" s="23">
        <v>1650.23</v>
      </c>
      <c r="P265" s="23" t="s">
        <v>79</v>
      </c>
      <c r="Q265" s="23" t="s">
        <v>83</v>
      </c>
      <c r="R265" s="23">
        <v>11100176</v>
      </c>
      <c r="S265" s="24">
        <v>46113</v>
      </c>
      <c r="T265" s="24">
        <v>46086</v>
      </c>
      <c r="U265" s="24">
        <v>47116</v>
      </c>
      <c r="X265" s="24">
        <v>46084</v>
      </c>
      <c r="Y265" s="23">
        <v>1111</v>
      </c>
      <c r="Z265" s="23">
        <v>11400745</v>
      </c>
      <c r="AA265" s="23">
        <v>335103</v>
      </c>
      <c r="AB265" s="24">
        <v>46083</v>
      </c>
    </row>
    <row r="266" spans="2:28" x14ac:dyDescent="0.2">
      <c r="C266" s="23">
        <v>1100578676</v>
      </c>
      <c r="E266" s="23">
        <v>80</v>
      </c>
      <c r="F266" s="23" t="s">
        <v>757</v>
      </c>
      <c r="G266" s="23" t="s">
        <v>2806</v>
      </c>
      <c r="H266" s="24">
        <v>46093</v>
      </c>
      <c r="I266" s="24">
        <v>46113</v>
      </c>
      <c r="J266" s="23" t="s">
        <v>810</v>
      </c>
      <c r="K266" s="23" t="s">
        <v>810</v>
      </c>
      <c r="L266" s="23">
        <v>1</v>
      </c>
      <c r="M266" s="23" t="s">
        <v>78</v>
      </c>
      <c r="N266" s="23" t="s">
        <v>78</v>
      </c>
      <c r="O266" s="23">
        <v>892.55</v>
      </c>
      <c r="P266" s="23" t="s">
        <v>79</v>
      </c>
      <c r="Q266" s="23" t="s">
        <v>83</v>
      </c>
      <c r="R266" s="23">
        <v>11100176</v>
      </c>
      <c r="S266" s="24">
        <v>46113</v>
      </c>
      <c r="T266" s="24">
        <v>46086</v>
      </c>
      <c r="U266" s="24">
        <v>47116</v>
      </c>
      <c r="X266" s="24">
        <v>46084</v>
      </c>
      <c r="Y266" s="23">
        <v>1111</v>
      </c>
      <c r="Z266" s="23">
        <v>11400745</v>
      </c>
      <c r="AA266" s="23">
        <v>335103</v>
      </c>
      <c r="AB266" s="24">
        <v>46083</v>
      </c>
    </row>
    <row r="267" spans="2:28" x14ac:dyDescent="0.2">
      <c r="C267" s="23">
        <v>1100578676</v>
      </c>
      <c r="E267" s="23">
        <v>90</v>
      </c>
      <c r="F267" s="23" t="s">
        <v>4204</v>
      </c>
      <c r="G267" s="23" t="s">
        <v>4205</v>
      </c>
      <c r="H267" s="24">
        <v>46093</v>
      </c>
      <c r="I267" s="24">
        <v>46093</v>
      </c>
      <c r="J267" s="23" t="s">
        <v>810</v>
      </c>
      <c r="K267" s="23" t="s">
        <v>810</v>
      </c>
      <c r="L267" s="23">
        <v>2</v>
      </c>
      <c r="M267" s="23" t="s">
        <v>78</v>
      </c>
      <c r="N267" s="23" t="s">
        <v>78</v>
      </c>
      <c r="O267" s="23">
        <v>168.86</v>
      </c>
      <c r="P267" s="23" t="s">
        <v>79</v>
      </c>
      <c r="Q267" s="23" t="s">
        <v>83</v>
      </c>
      <c r="R267" s="23">
        <v>11100176</v>
      </c>
      <c r="S267" s="24">
        <v>46113</v>
      </c>
      <c r="T267" s="24">
        <v>46086</v>
      </c>
      <c r="U267" s="24">
        <v>46093</v>
      </c>
      <c r="X267" s="24">
        <v>46084</v>
      </c>
      <c r="Y267" s="23">
        <v>1111</v>
      </c>
      <c r="Z267" s="23">
        <v>11400745</v>
      </c>
      <c r="AA267" s="23">
        <v>335103</v>
      </c>
      <c r="AB267" s="24">
        <v>46083</v>
      </c>
    </row>
    <row r="268" spans="2:28" x14ac:dyDescent="0.2">
      <c r="C268" s="23">
        <v>1100578676</v>
      </c>
      <c r="E268" s="23">
        <v>100</v>
      </c>
      <c r="F268" s="23" t="s">
        <v>82</v>
      </c>
      <c r="G268" s="23" t="s">
        <v>139</v>
      </c>
      <c r="H268" s="24">
        <v>46093</v>
      </c>
      <c r="I268" s="24">
        <v>46093</v>
      </c>
      <c r="J268" s="23" t="s">
        <v>810</v>
      </c>
      <c r="K268" s="23" t="s">
        <v>810</v>
      </c>
      <c r="L268" s="23">
        <v>1</v>
      </c>
      <c r="M268" s="23" t="s">
        <v>78</v>
      </c>
      <c r="N268" s="23" t="s">
        <v>78</v>
      </c>
      <c r="O268" s="23">
        <v>0.01</v>
      </c>
      <c r="P268" s="23" t="s">
        <v>79</v>
      </c>
      <c r="Q268" s="23" t="s">
        <v>83</v>
      </c>
      <c r="R268" s="23">
        <v>11100176</v>
      </c>
      <c r="S268" s="24" t="s">
        <v>80</v>
      </c>
      <c r="T268" s="24">
        <v>46086</v>
      </c>
      <c r="U268" s="24">
        <v>46093</v>
      </c>
      <c r="X268" s="24">
        <v>46084</v>
      </c>
      <c r="Y268" s="23">
        <v>1111</v>
      </c>
      <c r="Z268" s="23">
        <v>11400745</v>
      </c>
      <c r="AA268" s="23">
        <v>335103</v>
      </c>
      <c r="AB268" s="24">
        <v>46083</v>
      </c>
    </row>
    <row r="269" spans="2:28" x14ac:dyDescent="0.2">
      <c r="B269" s="23" t="s">
        <v>81</v>
      </c>
      <c r="C269" s="23">
        <v>1100578676</v>
      </c>
      <c r="H269" s="24">
        <v>46093</v>
      </c>
      <c r="O269" s="23">
        <v>3743.63</v>
      </c>
      <c r="P269" s="23" t="s">
        <v>79</v>
      </c>
    </row>
    <row r="270" spans="2:28" x14ac:dyDescent="0.2">
      <c r="C270" s="23">
        <v>1100578677</v>
      </c>
      <c r="E270" s="23">
        <v>10</v>
      </c>
      <c r="F270" s="23" t="s">
        <v>857</v>
      </c>
      <c r="G270" s="23" t="s">
        <v>858</v>
      </c>
      <c r="H270" s="24">
        <v>46093</v>
      </c>
      <c r="I270" s="24">
        <v>46093</v>
      </c>
      <c r="J270" s="23" t="s">
        <v>2709</v>
      </c>
      <c r="K270" s="23" t="s">
        <v>2709</v>
      </c>
      <c r="L270" s="23">
        <v>6</v>
      </c>
      <c r="M270" s="23" t="s">
        <v>78</v>
      </c>
      <c r="N270" s="23" t="s">
        <v>78</v>
      </c>
      <c r="O270" s="23">
        <v>440.82</v>
      </c>
      <c r="P270" s="23" t="s">
        <v>79</v>
      </c>
      <c r="Q270" s="23" t="s">
        <v>83</v>
      </c>
      <c r="R270" s="23">
        <v>11100176</v>
      </c>
      <c r="S270" s="24">
        <v>46092</v>
      </c>
      <c r="T270" s="24">
        <v>46086</v>
      </c>
      <c r="U270" s="24">
        <v>46093</v>
      </c>
      <c r="X270" s="24">
        <v>46084</v>
      </c>
      <c r="Y270" s="23">
        <v>1111</v>
      </c>
      <c r="Z270" s="23">
        <v>11600003</v>
      </c>
      <c r="AA270" s="23">
        <v>335103</v>
      </c>
      <c r="AB270" s="24">
        <v>46084</v>
      </c>
    </row>
    <row r="271" spans="2:28" x14ac:dyDescent="0.2">
      <c r="C271" s="23">
        <v>1100578677</v>
      </c>
      <c r="E271" s="23">
        <v>20</v>
      </c>
      <c r="F271" s="23" t="s">
        <v>82</v>
      </c>
      <c r="G271" s="23" t="s">
        <v>139</v>
      </c>
      <c r="H271" s="24">
        <v>46093</v>
      </c>
      <c r="I271" s="24">
        <v>46093</v>
      </c>
      <c r="J271" s="23" t="s">
        <v>2709</v>
      </c>
      <c r="K271" s="23" t="s">
        <v>2709</v>
      </c>
      <c r="L271" s="23">
        <v>1</v>
      </c>
      <c r="M271" s="23" t="s">
        <v>78</v>
      </c>
      <c r="N271" s="23" t="s">
        <v>78</v>
      </c>
      <c r="O271" s="23">
        <v>0.01</v>
      </c>
      <c r="P271" s="23" t="s">
        <v>79</v>
      </c>
      <c r="Q271" s="23" t="s">
        <v>83</v>
      </c>
      <c r="R271" s="23">
        <v>11100176</v>
      </c>
      <c r="S271" s="24">
        <v>46092</v>
      </c>
      <c r="T271" s="24">
        <v>46086</v>
      </c>
      <c r="U271" s="24">
        <v>46093</v>
      </c>
      <c r="X271" s="24">
        <v>46084</v>
      </c>
      <c r="Y271" s="23">
        <v>1111</v>
      </c>
      <c r="Z271" s="23">
        <v>11600003</v>
      </c>
      <c r="AA271" s="23">
        <v>335103</v>
      </c>
      <c r="AB271" s="24">
        <v>46084</v>
      </c>
    </row>
    <row r="272" spans="2:28" x14ac:dyDescent="0.2">
      <c r="B272" s="23" t="s">
        <v>81</v>
      </c>
      <c r="C272" s="23">
        <v>1100578677</v>
      </c>
      <c r="H272" s="24">
        <v>46093</v>
      </c>
      <c r="O272" s="23">
        <v>440.83</v>
      </c>
      <c r="P272" s="23" t="s">
        <v>79</v>
      </c>
    </row>
    <row r="273" spans="2:28" x14ac:dyDescent="0.2">
      <c r="C273" s="23">
        <v>1100578688</v>
      </c>
      <c r="E273" s="23">
        <v>10</v>
      </c>
      <c r="F273" s="23" t="s">
        <v>4235</v>
      </c>
      <c r="G273" s="23" t="s">
        <v>4236</v>
      </c>
      <c r="H273" s="24">
        <v>46093</v>
      </c>
      <c r="I273" s="24">
        <v>46093</v>
      </c>
      <c r="J273" s="23" t="s">
        <v>898</v>
      </c>
      <c r="K273" s="23" t="s">
        <v>898</v>
      </c>
      <c r="L273" s="23">
        <v>2</v>
      </c>
      <c r="M273" s="23" t="s">
        <v>78</v>
      </c>
      <c r="N273" s="23" t="s">
        <v>78</v>
      </c>
      <c r="O273" s="23">
        <v>888.16</v>
      </c>
      <c r="P273" s="23" t="s">
        <v>79</v>
      </c>
      <c r="Q273" s="23" t="s">
        <v>83</v>
      </c>
      <c r="R273" s="23">
        <v>11100176</v>
      </c>
      <c r="S273" s="24">
        <v>46092</v>
      </c>
      <c r="T273" s="24">
        <v>46086</v>
      </c>
      <c r="U273" s="24">
        <v>46093</v>
      </c>
      <c r="X273" s="24">
        <v>46080</v>
      </c>
      <c r="Y273" s="23">
        <v>1111</v>
      </c>
      <c r="Z273" s="23">
        <v>11400937</v>
      </c>
      <c r="AA273" s="23">
        <v>335103</v>
      </c>
      <c r="AB273" s="24">
        <v>46078</v>
      </c>
    </row>
    <row r="274" spans="2:28" x14ac:dyDescent="0.2">
      <c r="B274" s="23" t="s">
        <v>81</v>
      </c>
      <c r="C274" s="23">
        <v>1100578688</v>
      </c>
      <c r="H274" s="24">
        <v>46093</v>
      </c>
      <c r="O274" s="23">
        <v>888.16</v>
      </c>
      <c r="P274" s="23" t="s">
        <v>79</v>
      </c>
    </row>
    <row r="275" spans="2:28" x14ac:dyDescent="0.2">
      <c r="C275" s="23">
        <v>1100578708</v>
      </c>
      <c r="E275" s="23">
        <v>10</v>
      </c>
      <c r="F275" s="23" t="s">
        <v>4237</v>
      </c>
      <c r="G275" s="23" t="s">
        <v>4238</v>
      </c>
      <c r="H275" s="24">
        <v>46093</v>
      </c>
      <c r="I275" s="24">
        <v>46093</v>
      </c>
      <c r="J275" s="23" t="s">
        <v>734</v>
      </c>
      <c r="K275" s="23" t="s">
        <v>734</v>
      </c>
      <c r="L275" s="23">
        <v>2</v>
      </c>
      <c r="M275" s="23" t="s">
        <v>78</v>
      </c>
      <c r="N275" s="23" t="s">
        <v>78</v>
      </c>
      <c r="O275" s="23">
        <v>2025.54</v>
      </c>
      <c r="P275" s="23" t="s">
        <v>79</v>
      </c>
      <c r="Q275" s="23" t="s">
        <v>83</v>
      </c>
      <c r="R275" s="23">
        <v>11100176</v>
      </c>
      <c r="S275" s="24">
        <v>46094</v>
      </c>
      <c r="T275" s="24">
        <v>46086</v>
      </c>
      <c r="U275" s="24">
        <v>47116</v>
      </c>
      <c r="X275" s="24">
        <v>46086</v>
      </c>
      <c r="Y275" s="23">
        <v>1111</v>
      </c>
      <c r="Z275" s="23">
        <v>11400789</v>
      </c>
      <c r="AA275" s="23">
        <v>3351</v>
      </c>
      <c r="AB275" s="24">
        <v>46079</v>
      </c>
    </row>
    <row r="276" spans="2:28" x14ac:dyDescent="0.2">
      <c r="C276" s="23">
        <v>1100578708</v>
      </c>
      <c r="E276" s="23">
        <v>20</v>
      </c>
      <c r="F276" s="23" t="s">
        <v>4239</v>
      </c>
      <c r="G276" s="23" t="s">
        <v>4240</v>
      </c>
      <c r="H276" s="24">
        <v>46093</v>
      </c>
      <c r="I276" s="24">
        <v>46093</v>
      </c>
      <c r="J276" s="23" t="s">
        <v>734</v>
      </c>
      <c r="K276" s="23" t="s">
        <v>734</v>
      </c>
      <c r="L276" s="23">
        <v>1</v>
      </c>
      <c r="M276" s="23" t="s">
        <v>78</v>
      </c>
      <c r="N276" s="23" t="s">
        <v>78</v>
      </c>
      <c r="O276" s="23">
        <v>116.5</v>
      </c>
      <c r="P276" s="23" t="s">
        <v>79</v>
      </c>
      <c r="Q276" s="23" t="s">
        <v>83</v>
      </c>
      <c r="R276" s="23">
        <v>11100176</v>
      </c>
      <c r="S276" s="24">
        <v>46094</v>
      </c>
      <c r="T276" s="24">
        <v>46086</v>
      </c>
      <c r="U276" s="24">
        <v>47116</v>
      </c>
      <c r="X276" s="24">
        <v>46086</v>
      </c>
      <c r="Y276" s="23">
        <v>1111</v>
      </c>
      <c r="Z276" s="23">
        <v>11400789</v>
      </c>
      <c r="AA276" s="23">
        <v>3351</v>
      </c>
      <c r="AB276" s="24">
        <v>46079</v>
      </c>
    </row>
    <row r="277" spans="2:28" x14ac:dyDescent="0.2">
      <c r="B277" s="23" t="s">
        <v>81</v>
      </c>
      <c r="C277" s="23">
        <v>1100578708</v>
      </c>
      <c r="H277" s="24">
        <v>46093</v>
      </c>
      <c r="O277" s="23">
        <v>2142.04</v>
      </c>
      <c r="P277" s="23" t="s">
        <v>79</v>
      </c>
    </row>
    <row r="278" spans="2:28" x14ac:dyDescent="0.2">
      <c r="C278" s="23">
        <v>1100578709</v>
      </c>
      <c r="E278" s="23">
        <v>10</v>
      </c>
      <c r="F278" s="23" t="s">
        <v>4241</v>
      </c>
      <c r="G278" s="23" t="s">
        <v>4242</v>
      </c>
      <c r="H278" s="24">
        <v>46093</v>
      </c>
      <c r="I278" s="24">
        <v>46093</v>
      </c>
      <c r="J278" s="23" t="s">
        <v>256</v>
      </c>
      <c r="K278" s="23" t="s">
        <v>256</v>
      </c>
      <c r="L278" s="23">
        <v>1</v>
      </c>
      <c r="M278" s="23" t="s">
        <v>78</v>
      </c>
      <c r="N278" s="23" t="s">
        <v>78</v>
      </c>
      <c r="O278" s="23">
        <v>7566.95</v>
      </c>
      <c r="P278" s="23" t="s">
        <v>79</v>
      </c>
      <c r="Q278" s="23" t="s">
        <v>83</v>
      </c>
      <c r="R278" s="23">
        <v>11100176</v>
      </c>
      <c r="S278" s="24">
        <v>46091</v>
      </c>
      <c r="T278" s="24">
        <v>46086</v>
      </c>
      <c r="U278" s="24">
        <v>46093</v>
      </c>
      <c r="X278" s="24">
        <v>46084</v>
      </c>
      <c r="Y278" s="23">
        <v>1111</v>
      </c>
      <c r="Z278" s="23">
        <v>11400937</v>
      </c>
      <c r="AA278" s="23">
        <v>515103</v>
      </c>
      <c r="AB278" s="24">
        <v>46077</v>
      </c>
    </row>
    <row r="279" spans="2:28" x14ac:dyDescent="0.2">
      <c r="B279" s="23" t="s">
        <v>81</v>
      </c>
      <c r="C279" s="23">
        <v>1100578709</v>
      </c>
      <c r="H279" s="24">
        <v>46093</v>
      </c>
      <c r="O279" s="23">
        <v>7566.95</v>
      </c>
      <c r="P279" s="23" t="s">
        <v>79</v>
      </c>
    </row>
    <row r="280" spans="2:28" x14ac:dyDescent="0.2">
      <c r="C280" s="23">
        <v>1100578712</v>
      </c>
      <c r="E280" s="23">
        <v>10</v>
      </c>
      <c r="F280" s="23" t="s">
        <v>240</v>
      </c>
      <c r="G280" s="23" t="s">
        <v>241</v>
      </c>
      <c r="H280" s="24">
        <v>46093</v>
      </c>
      <c r="I280" s="24">
        <v>46093</v>
      </c>
      <c r="J280" s="23" t="s">
        <v>795</v>
      </c>
      <c r="K280" s="23" t="s">
        <v>795</v>
      </c>
      <c r="L280" s="23">
        <v>1</v>
      </c>
      <c r="M280" s="23" t="s">
        <v>78</v>
      </c>
      <c r="N280" s="23" t="s">
        <v>78</v>
      </c>
      <c r="O280" s="23">
        <v>388.94</v>
      </c>
      <c r="P280" s="23" t="s">
        <v>79</v>
      </c>
      <c r="Q280" s="23" t="s">
        <v>83</v>
      </c>
      <c r="R280" s="23">
        <v>11100176</v>
      </c>
      <c r="S280" s="24">
        <v>46092</v>
      </c>
      <c r="T280" s="24">
        <v>46086</v>
      </c>
      <c r="U280" s="24">
        <v>46093</v>
      </c>
      <c r="X280" s="24">
        <v>46084</v>
      </c>
      <c r="Y280" s="23">
        <v>1111</v>
      </c>
      <c r="Z280" s="23">
        <v>11600003</v>
      </c>
      <c r="AA280" s="23">
        <v>5051</v>
      </c>
      <c r="AB280" s="24">
        <v>46084</v>
      </c>
    </row>
    <row r="281" spans="2:28" x14ac:dyDescent="0.2">
      <c r="C281" s="23">
        <v>1100578712</v>
      </c>
      <c r="E281" s="23">
        <v>20</v>
      </c>
      <c r="F281" s="23" t="s">
        <v>406</v>
      </c>
      <c r="G281" s="23" t="s">
        <v>407</v>
      </c>
      <c r="H281" s="24">
        <v>46093</v>
      </c>
      <c r="I281" s="24">
        <v>46093</v>
      </c>
      <c r="J281" s="23" t="s">
        <v>795</v>
      </c>
      <c r="K281" s="23" t="s">
        <v>795</v>
      </c>
      <c r="L281" s="23">
        <v>4</v>
      </c>
      <c r="M281" s="23" t="s">
        <v>78</v>
      </c>
      <c r="N281" s="23" t="s">
        <v>78</v>
      </c>
      <c r="O281" s="23">
        <v>359.75</v>
      </c>
      <c r="P281" s="23" t="s">
        <v>79</v>
      </c>
      <c r="Q281" s="23" t="s">
        <v>83</v>
      </c>
      <c r="R281" s="23">
        <v>11100176</v>
      </c>
      <c r="S281" s="24">
        <v>46092</v>
      </c>
      <c r="T281" s="24">
        <v>46086</v>
      </c>
      <c r="U281" s="24">
        <v>46093</v>
      </c>
      <c r="X281" s="24">
        <v>46084</v>
      </c>
      <c r="Y281" s="23">
        <v>1111</v>
      </c>
      <c r="Z281" s="23">
        <v>11600003</v>
      </c>
      <c r="AA281" s="23">
        <v>5051</v>
      </c>
      <c r="AB281" s="24">
        <v>46084</v>
      </c>
    </row>
    <row r="282" spans="2:28" x14ac:dyDescent="0.2">
      <c r="C282" s="23">
        <v>1100578712</v>
      </c>
      <c r="E282" s="23">
        <v>30</v>
      </c>
      <c r="F282" s="23" t="s">
        <v>82</v>
      </c>
      <c r="G282" s="23" t="s">
        <v>139</v>
      </c>
      <c r="H282" s="24">
        <v>46093</v>
      </c>
      <c r="I282" s="24">
        <v>46093</v>
      </c>
      <c r="J282" s="23" t="s">
        <v>795</v>
      </c>
      <c r="K282" s="23" t="s">
        <v>795</v>
      </c>
      <c r="L282" s="23">
        <v>1</v>
      </c>
      <c r="M282" s="23" t="s">
        <v>78</v>
      </c>
      <c r="N282" s="23" t="s">
        <v>78</v>
      </c>
      <c r="O282" s="23">
        <v>0.01</v>
      </c>
      <c r="P282" s="23" t="s">
        <v>79</v>
      </c>
      <c r="Q282" s="23" t="s">
        <v>83</v>
      </c>
      <c r="R282" s="23">
        <v>11100176</v>
      </c>
      <c r="S282" s="24">
        <v>46092</v>
      </c>
      <c r="T282" s="24">
        <v>46086</v>
      </c>
      <c r="U282" s="24">
        <v>46093</v>
      </c>
      <c r="X282" s="24">
        <v>46084</v>
      </c>
      <c r="Y282" s="23">
        <v>1111</v>
      </c>
      <c r="Z282" s="23">
        <v>11600003</v>
      </c>
      <c r="AA282" s="23">
        <v>5051</v>
      </c>
      <c r="AB282" s="24">
        <v>46084</v>
      </c>
    </row>
    <row r="283" spans="2:28" x14ac:dyDescent="0.2">
      <c r="B283" s="23" t="s">
        <v>81</v>
      </c>
      <c r="C283" s="23">
        <v>1100578712</v>
      </c>
      <c r="H283" s="24">
        <v>46093</v>
      </c>
      <c r="O283" s="23">
        <v>748.7</v>
      </c>
      <c r="P283" s="23" t="s">
        <v>79</v>
      </c>
    </row>
    <row r="284" spans="2:28" x14ac:dyDescent="0.2">
      <c r="C284" s="23">
        <v>1100578731</v>
      </c>
      <c r="E284" s="23">
        <v>10</v>
      </c>
      <c r="F284" s="23" t="s">
        <v>240</v>
      </c>
      <c r="G284" s="23" t="s">
        <v>241</v>
      </c>
      <c r="H284" s="24">
        <v>46093</v>
      </c>
      <c r="I284" s="24">
        <v>46093</v>
      </c>
      <c r="J284" s="23" t="s">
        <v>392</v>
      </c>
      <c r="K284" s="23" t="s">
        <v>392</v>
      </c>
      <c r="L284" s="23">
        <v>1</v>
      </c>
      <c r="M284" s="23" t="s">
        <v>78</v>
      </c>
      <c r="N284" s="23" t="s">
        <v>78</v>
      </c>
      <c r="O284" s="23">
        <v>388.94</v>
      </c>
      <c r="P284" s="23" t="s">
        <v>79</v>
      </c>
      <c r="Q284" s="23" t="s">
        <v>83</v>
      </c>
      <c r="R284" s="23">
        <v>11100176</v>
      </c>
      <c r="S284" s="24">
        <v>46092</v>
      </c>
      <c r="T284" s="24">
        <v>46086</v>
      </c>
      <c r="U284" s="24">
        <v>46093</v>
      </c>
      <c r="X284" s="24">
        <v>46084</v>
      </c>
      <c r="Y284" s="23">
        <v>1111</v>
      </c>
      <c r="Z284" s="23">
        <v>11400937</v>
      </c>
      <c r="AA284" s="23">
        <v>5051</v>
      </c>
      <c r="AB284" s="24">
        <v>46084</v>
      </c>
    </row>
    <row r="285" spans="2:28" x14ac:dyDescent="0.2">
      <c r="C285" s="23">
        <v>1100578731</v>
      </c>
      <c r="E285" s="23">
        <v>20</v>
      </c>
      <c r="F285" s="23" t="s">
        <v>82</v>
      </c>
      <c r="G285" s="23" t="s">
        <v>139</v>
      </c>
      <c r="H285" s="24">
        <v>46093</v>
      </c>
      <c r="I285" s="24">
        <v>46093</v>
      </c>
      <c r="J285" s="23" t="s">
        <v>392</v>
      </c>
      <c r="K285" s="23" t="s">
        <v>392</v>
      </c>
      <c r="L285" s="23">
        <v>1</v>
      </c>
      <c r="M285" s="23" t="s">
        <v>78</v>
      </c>
      <c r="N285" s="23" t="s">
        <v>78</v>
      </c>
      <c r="O285" s="23">
        <v>0.01</v>
      </c>
      <c r="P285" s="23" t="s">
        <v>79</v>
      </c>
      <c r="Q285" s="23" t="s">
        <v>83</v>
      </c>
      <c r="R285" s="23">
        <v>11100176</v>
      </c>
      <c r="S285" s="24" t="s">
        <v>80</v>
      </c>
      <c r="T285" s="24">
        <v>46086</v>
      </c>
      <c r="U285" s="24">
        <v>46093</v>
      </c>
      <c r="X285" s="24">
        <v>46084</v>
      </c>
      <c r="Y285" s="23">
        <v>1111</v>
      </c>
      <c r="Z285" s="23">
        <v>11400937</v>
      </c>
      <c r="AA285" s="23">
        <v>5051</v>
      </c>
      <c r="AB285" s="24">
        <v>46084</v>
      </c>
    </row>
    <row r="286" spans="2:28" x14ac:dyDescent="0.2">
      <c r="B286" s="23" t="s">
        <v>81</v>
      </c>
      <c r="C286" s="23">
        <v>1100578731</v>
      </c>
      <c r="H286" s="24">
        <v>46093</v>
      </c>
      <c r="O286" s="23">
        <v>388.95</v>
      </c>
      <c r="P286" s="23" t="s">
        <v>79</v>
      </c>
    </row>
    <row r="287" spans="2:28" x14ac:dyDescent="0.2">
      <c r="C287" s="23">
        <v>1100578735</v>
      </c>
      <c r="E287" s="23">
        <v>10</v>
      </c>
      <c r="F287" s="23" t="s">
        <v>240</v>
      </c>
      <c r="G287" s="23" t="s">
        <v>241</v>
      </c>
      <c r="H287" s="24">
        <v>46093</v>
      </c>
      <c r="I287" s="24">
        <v>46093</v>
      </c>
      <c r="J287" s="23" t="s">
        <v>4243</v>
      </c>
      <c r="K287" s="23" t="s">
        <v>4243</v>
      </c>
      <c r="L287" s="23">
        <v>4</v>
      </c>
      <c r="M287" s="23" t="s">
        <v>78</v>
      </c>
      <c r="N287" s="23" t="s">
        <v>78</v>
      </c>
      <c r="O287" s="23">
        <v>1728.6</v>
      </c>
      <c r="P287" s="23" t="s">
        <v>79</v>
      </c>
      <c r="Q287" s="23" t="s">
        <v>83</v>
      </c>
      <c r="R287" s="23">
        <v>11100176</v>
      </c>
      <c r="S287" s="24">
        <v>46094</v>
      </c>
      <c r="T287" s="24">
        <v>46086</v>
      </c>
      <c r="U287" s="24">
        <v>46093</v>
      </c>
      <c r="X287" s="24">
        <v>46084</v>
      </c>
      <c r="Y287" s="23">
        <v>1111</v>
      </c>
      <c r="Z287" s="23">
        <v>11100320</v>
      </c>
      <c r="AA287" s="23">
        <v>3351</v>
      </c>
      <c r="AB287" s="24">
        <v>46083</v>
      </c>
    </row>
    <row r="288" spans="2:28" x14ac:dyDescent="0.2">
      <c r="C288" s="23">
        <v>1100578735</v>
      </c>
      <c r="E288" s="23">
        <v>20</v>
      </c>
      <c r="F288" s="23" t="s">
        <v>82</v>
      </c>
      <c r="G288" s="23" t="s">
        <v>139</v>
      </c>
      <c r="H288" s="24">
        <v>46093</v>
      </c>
      <c r="I288" s="24">
        <v>46093</v>
      </c>
      <c r="J288" s="23" t="s">
        <v>4243</v>
      </c>
      <c r="K288" s="23" t="s">
        <v>4243</v>
      </c>
      <c r="L288" s="23">
        <v>1</v>
      </c>
      <c r="M288" s="23" t="s">
        <v>78</v>
      </c>
      <c r="N288" s="23" t="s">
        <v>78</v>
      </c>
      <c r="O288" s="23">
        <v>0.01</v>
      </c>
      <c r="P288" s="23" t="s">
        <v>79</v>
      </c>
      <c r="Q288" s="23" t="s">
        <v>83</v>
      </c>
      <c r="R288" s="23">
        <v>11100176</v>
      </c>
      <c r="S288" s="24">
        <v>46094</v>
      </c>
      <c r="T288" s="24">
        <v>46086</v>
      </c>
      <c r="U288" s="24">
        <v>46093</v>
      </c>
      <c r="X288" s="24">
        <v>46084</v>
      </c>
      <c r="Y288" s="23">
        <v>1111</v>
      </c>
      <c r="Z288" s="23">
        <v>11100320</v>
      </c>
      <c r="AA288" s="23">
        <v>3351</v>
      </c>
      <c r="AB288" s="24">
        <v>46083</v>
      </c>
    </row>
    <row r="289" spans="2:28" x14ac:dyDescent="0.2">
      <c r="B289" s="23" t="s">
        <v>81</v>
      </c>
      <c r="C289" s="23">
        <v>1100578735</v>
      </c>
      <c r="H289" s="24">
        <v>46093</v>
      </c>
      <c r="O289" s="23">
        <v>1728.61</v>
      </c>
      <c r="P289" s="23" t="s">
        <v>79</v>
      </c>
    </row>
    <row r="290" spans="2:28" x14ac:dyDescent="0.2">
      <c r="C290" s="23">
        <v>1100569007</v>
      </c>
      <c r="E290" s="23">
        <v>10</v>
      </c>
      <c r="F290" s="23" t="s">
        <v>1972</v>
      </c>
      <c r="G290" s="23" t="s">
        <v>1973</v>
      </c>
      <c r="H290" s="24">
        <v>46094</v>
      </c>
      <c r="I290" s="24">
        <v>46094</v>
      </c>
      <c r="J290" s="23" t="s">
        <v>1974</v>
      </c>
      <c r="K290" s="23" t="s">
        <v>1974</v>
      </c>
      <c r="L290" s="23">
        <v>1</v>
      </c>
      <c r="M290" s="23" t="s">
        <v>78</v>
      </c>
      <c r="N290" s="23" t="s">
        <v>78</v>
      </c>
      <c r="O290" s="23">
        <v>6594.25</v>
      </c>
      <c r="P290" s="23" t="s">
        <v>79</v>
      </c>
      <c r="Q290" s="23" t="s">
        <v>83</v>
      </c>
      <c r="R290" s="23">
        <v>11100299</v>
      </c>
      <c r="S290" s="24">
        <v>46034</v>
      </c>
      <c r="T290" s="24">
        <v>45978</v>
      </c>
      <c r="U290" s="24">
        <v>46094</v>
      </c>
      <c r="X290" s="24">
        <v>45975</v>
      </c>
      <c r="Y290" s="23">
        <v>1111</v>
      </c>
      <c r="Z290" s="23">
        <v>11400742</v>
      </c>
      <c r="AA290" s="23">
        <v>3351</v>
      </c>
      <c r="AB290" s="24">
        <v>45973</v>
      </c>
    </row>
    <row r="291" spans="2:28" x14ac:dyDescent="0.2">
      <c r="B291" s="23" t="s">
        <v>81</v>
      </c>
      <c r="C291" s="23">
        <v>1100569007</v>
      </c>
      <c r="H291" s="24">
        <v>46094</v>
      </c>
      <c r="O291" s="23">
        <v>6594.25</v>
      </c>
      <c r="P291" s="23" t="s">
        <v>79</v>
      </c>
    </row>
    <row r="292" spans="2:28" x14ac:dyDescent="0.2">
      <c r="C292" s="23">
        <v>1100569436</v>
      </c>
      <c r="E292" s="23">
        <v>10</v>
      </c>
      <c r="F292" s="23" t="s">
        <v>2781</v>
      </c>
      <c r="G292" s="23" t="s">
        <v>2782</v>
      </c>
      <c r="H292" s="24">
        <v>46094</v>
      </c>
      <c r="I292" s="24">
        <v>46094</v>
      </c>
      <c r="J292" s="23" t="s">
        <v>2118</v>
      </c>
      <c r="K292" s="23" t="s">
        <v>2118</v>
      </c>
      <c r="L292" s="23">
        <v>1</v>
      </c>
      <c r="M292" s="23" t="s">
        <v>78</v>
      </c>
      <c r="N292" s="23" t="s">
        <v>78</v>
      </c>
      <c r="O292" s="23">
        <v>5182</v>
      </c>
      <c r="P292" s="23" t="s">
        <v>79</v>
      </c>
      <c r="Q292" s="23" t="s">
        <v>83</v>
      </c>
      <c r="R292" s="23">
        <v>11100299</v>
      </c>
      <c r="S292" s="24">
        <v>46094</v>
      </c>
      <c r="T292" s="24">
        <v>45981</v>
      </c>
      <c r="U292" s="24" t="s">
        <v>80</v>
      </c>
      <c r="X292" s="24">
        <v>45960</v>
      </c>
      <c r="Y292" s="23">
        <v>1111</v>
      </c>
      <c r="Z292" s="23">
        <v>11400124</v>
      </c>
      <c r="AA292" s="23">
        <v>335803</v>
      </c>
      <c r="AB292" s="24">
        <v>46752</v>
      </c>
    </row>
    <row r="293" spans="2:28" x14ac:dyDescent="0.2">
      <c r="C293" s="23">
        <v>1100569436</v>
      </c>
      <c r="E293" s="23">
        <v>20</v>
      </c>
      <c r="F293" s="23" t="s">
        <v>84</v>
      </c>
      <c r="G293" s="23" t="s">
        <v>123</v>
      </c>
      <c r="H293" s="24">
        <v>46094</v>
      </c>
      <c r="I293" s="24">
        <v>46094</v>
      </c>
      <c r="J293" s="23" t="s">
        <v>2118</v>
      </c>
      <c r="K293" s="23" t="s">
        <v>2118</v>
      </c>
      <c r="L293" s="23">
        <v>1</v>
      </c>
      <c r="M293" s="23" t="s">
        <v>78</v>
      </c>
      <c r="N293" s="23" t="s">
        <v>78</v>
      </c>
      <c r="O293" s="23">
        <v>0.01</v>
      </c>
      <c r="P293" s="23" t="s">
        <v>79</v>
      </c>
      <c r="Q293" s="23" t="s">
        <v>83</v>
      </c>
      <c r="R293" s="23">
        <v>11100299</v>
      </c>
      <c r="S293" s="24">
        <v>46094</v>
      </c>
      <c r="T293" s="24">
        <v>45981</v>
      </c>
      <c r="U293" s="24" t="s">
        <v>80</v>
      </c>
      <c r="X293" s="24">
        <v>45960</v>
      </c>
      <c r="Y293" s="23">
        <v>1111</v>
      </c>
      <c r="Z293" s="23">
        <v>11400124</v>
      </c>
      <c r="AA293" s="23">
        <v>335803</v>
      </c>
      <c r="AB293" s="24">
        <v>46752</v>
      </c>
    </row>
    <row r="294" spans="2:28" x14ac:dyDescent="0.2">
      <c r="C294" s="23">
        <v>1100569436</v>
      </c>
      <c r="E294" s="23">
        <v>30</v>
      </c>
      <c r="F294" s="23" t="s">
        <v>96</v>
      </c>
      <c r="G294" s="23" t="s">
        <v>97</v>
      </c>
      <c r="H294" s="24">
        <v>46094</v>
      </c>
      <c r="I294" s="24">
        <v>46094</v>
      </c>
      <c r="J294" s="23" t="s">
        <v>2118</v>
      </c>
      <c r="K294" s="23" t="s">
        <v>2118</v>
      </c>
      <c r="L294" s="23">
        <v>1</v>
      </c>
      <c r="M294" s="23" t="s">
        <v>78</v>
      </c>
      <c r="N294" s="23" t="s">
        <v>78</v>
      </c>
      <c r="O294" s="23">
        <v>0.01</v>
      </c>
      <c r="P294" s="23" t="s">
        <v>79</v>
      </c>
      <c r="Q294" s="23" t="s">
        <v>83</v>
      </c>
      <c r="R294" s="23">
        <v>11100299</v>
      </c>
      <c r="S294" s="24">
        <v>46094</v>
      </c>
      <c r="T294" s="24">
        <v>45981</v>
      </c>
      <c r="U294" s="24" t="s">
        <v>80</v>
      </c>
      <c r="X294" s="24">
        <v>45960</v>
      </c>
      <c r="Y294" s="23">
        <v>1111</v>
      </c>
      <c r="Z294" s="23">
        <v>11400124</v>
      </c>
      <c r="AA294" s="23">
        <v>335803</v>
      </c>
      <c r="AB294" s="24">
        <v>46752</v>
      </c>
    </row>
    <row r="295" spans="2:28" x14ac:dyDescent="0.2">
      <c r="B295" s="23" t="s">
        <v>81</v>
      </c>
      <c r="C295" s="23">
        <v>1100569436</v>
      </c>
      <c r="H295" s="24">
        <v>46094</v>
      </c>
      <c r="O295" s="23">
        <v>5182.0200000000004</v>
      </c>
      <c r="P295" s="23" t="s">
        <v>79</v>
      </c>
    </row>
    <row r="296" spans="2:28" x14ac:dyDescent="0.2">
      <c r="C296" s="23">
        <v>1100569458</v>
      </c>
      <c r="E296" s="23">
        <v>10</v>
      </c>
      <c r="F296" s="23" t="s">
        <v>2177</v>
      </c>
      <c r="G296" s="23" t="s">
        <v>1467</v>
      </c>
      <c r="H296" s="24">
        <v>46094</v>
      </c>
      <c r="I296" s="24">
        <v>46094</v>
      </c>
      <c r="J296" s="23" t="s">
        <v>1777</v>
      </c>
      <c r="K296" s="23" t="s">
        <v>1777</v>
      </c>
      <c r="L296" s="23">
        <v>1</v>
      </c>
      <c r="M296" s="23" t="s">
        <v>78</v>
      </c>
      <c r="N296" s="23" t="s">
        <v>78</v>
      </c>
      <c r="O296" s="23">
        <v>12750</v>
      </c>
      <c r="P296" s="23" t="s">
        <v>79</v>
      </c>
      <c r="Q296" s="23" t="s">
        <v>83</v>
      </c>
      <c r="R296" s="23">
        <v>11100189</v>
      </c>
      <c r="S296" s="24">
        <v>46065</v>
      </c>
      <c r="T296" s="24">
        <v>45981</v>
      </c>
      <c r="U296" s="24" t="s">
        <v>80</v>
      </c>
      <c r="X296" s="24">
        <v>45980</v>
      </c>
      <c r="Y296" s="23">
        <v>1111</v>
      </c>
      <c r="Z296" s="23">
        <v>11400124</v>
      </c>
      <c r="AA296" s="23">
        <v>335803</v>
      </c>
      <c r="AB296" s="24">
        <v>46752</v>
      </c>
    </row>
    <row r="297" spans="2:28" x14ac:dyDescent="0.2">
      <c r="C297" s="23">
        <v>1100569458</v>
      </c>
      <c r="E297" s="23">
        <v>20</v>
      </c>
      <c r="F297" s="23" t="s">
        <v>84</v>
      </c>
      <c r="G297" s="23" t="s">
        <v>123</v>
      </c>
      <c r="H297" s="24">
        <v>46094</v>
      </c>
      <c r="I297" s="24">
        <v>46094</v>
      </c>
      <c r="J297" s="23" t="s">
        <v>1777</v>
      </c>
      <c r="K297" s="23" t="s">
        <v>1777</v>
      </c>
      <c r="L297" s="23">
        <v>1</v>
      </c>
      <c r="M297" s="23" t="s">
        <v>78</v>
      </c>
      <c r="N297" s="23" t="s">
        <v>78</v>
      </c>
      <c r="O297" s="23">
        <v>0.01</v>
      </c>
      <c r="P297" s="23" t="s">
        <v>79</v>
      </c>
      <c r="Q297" s="23" t="s">
        <v>83</v>
      </c>
      <c r="R297" s="23">
        <v>11100189</v>
      </c>
      <c r="S297" s="24">
        <v>46065</v>
      </c>
      <c r="T297" s="24">
        <v>45981</v>
      </c>
      <c r="U297" s="24" t="s">
        <v>80</v>
      </c>
      <c r="X297" s="24">
        <v>45980</v>
      </c>
      <c r="Y297" s="23">
        <v>1111</v>
      </c>
      <c r="Z297" s="23">
        <v>11400124</v>
      </c>
      <c r="AA297" s="23">
        <v>335803</v>
      </c>
      <c r="AB297" s="24">
        <v>46752</v>
      </c>
    </row>
    <row r="298" spans="2:28" x14ac:dyDescent="0.2">
      <c r="C298" s="23">
        <v>1100569458</v>
      </c>
      <c r="E298" s="23">
        <v>30</v>
      </c>
      <c r="F298" s="23" t="s">
        <v>96</v>
      </c>
      <c r="G298" s="23" t="s">
        <v>97</v>
      </c>
      <c r="H298" s="24">
        <v>46094</v>
      </c>
      <c r="I298" s="24">
        <v>46094</v>
      </c>
      <c r="J298" s="23" t="s">
        <v>1777</v>
      </c>
      <c r="K298" s="23" t="s">
        <v>1777</v>
      </c>
      <c r="L298" s="23">
        <v>1</v>
      </c>
      <c r="M298" s="23" t="s">
        <v>78</v>
      </c>
      <c r="N298" s="23" t="s">
        <v>78</v>
      </c>
      <c r="O298" s="23">
        <v>0.01</v>
      </c>
      <c r="P298" s="23" t="s">
        <v>79</v>
      </c>
      <c r="Q298" s="23" t="s">
        <v>83</v>
      </c>
      <c r="R298" s="23">
        <v>11100189</v>
      </c>
      <c r="S298" s="24">
        <v>46065</v>
      </c>
      <c r="T298" s="24">
        <v>45981</v>
      </c>
      <c r="U298" s="24" t="s">
        <v>80</v>
      </c>
      <c r="X298" s="24">
        <v>45980</v>
      </c>
      <c r="Y298" s="23">
        <v>1111</v>
      </c>
      <c r="Z298" s="23">
        <v>11400124</v>
      </c>
      <c r="AA298" s="23">
        <v>335803</v>
      </c>
      <c r="AB298" s="24">
        <v>46752</v>
      </c>
    </row>
    <row r="299" spans="2:28" x14ac:dyDescent="0.2">
      <c r="C299" s="23">
        <v>1100569458</v>
      </c>
      <c r="E299" s="23">
        <v>40</v>
      </c>
      <c r="F299" s="23" t="s">
        <v>82</v>
      </c>
      <c r="G299" s="23" t="s">
        <v>139</v>
      </c>
      <c r="H299" s="24">
        <v>46094</v>
      </c>
      <c r="I299" s="24">
        <v>46094</v>
      </c>
      <c r="J299" s="23" t="s">
        <v>1777</v>
      </c>
      <c r="K299" s="23" t="s">
        <v>1777</v>
      </c>
      <c r="L299" s="23">
        <v>1</v>
      </c>
      <c r="M299" s="23" t="s">
        <v>78</v>
      </c>
      <c r="N299" s="23" t="s">
        <v>78</v>
      </c>
      <c r="O299" s="23">
        <v>0.01</v>
      </c>
      <c r="P299" s="23" t="s">
        <v>79</v>
      </c>
      <c r="Q299" s="23" t="s">
        <v>83</v>
      </c>
      <c r="R299" s="23">
        <v>11100189</v>
      </c>
      <c r="S299" s="24">
        <v>46065</v>
      </c>
      <c r="T299" s="24">
        <v>45981</v>
      </c>
      <c r="U299" s="24" t="s">
        <v>80</v>
      </c>
      <c r="X299" s="24">
        <v>45980</v>
      </c>
      <c r="Y299" s="23">
        <v>1111</v>
      </c>
      <c r="Z299" s="23">
        <v>11400124</v>
      </c>
      <c r="AA299" s="23">
        <v>335803</v>
      </c>
      <c r="AB299" s="24">
        <v>46752</v>
      </c>
    </row>
    <row r="300" spans="2:28" x14ac:dyDescent="0.2">
      <c r="B300" s="23" t="s">
        <v>81</v>
      </c>
      <c r="C300" s="23">
        <v>1100569458</v>
      </c>
      <c r="H300" s="24">
        <v>46094</v>
      </c>
      <c r="O300" s="23">
        <v>12750.03</v>
      </c>
      <c r="P300" s="23" t="s">
        <v>79</v>
      </c>
    </row>
    <row r="301" spans="2:28" x14ac:dyDescent="0.2">
      <c r="C301" s="23">
        <v>1100571842</v>
      </c>
      <c r="E301" s="23">
        <v>90</v>
      </c>
      <c r="F301" s="23" t="s">
        <v>2016</v>
      </c>
      <c r="G301" s="23" t="s">
        <v>2017</v>
      </c>
      <c r="H301" s="24">
        <v>46094</v>
      </c>
      <c r="I301" s="24">
        <v>46094</v>
      </c>
      <c r="J301" s="23" t="s">
        <v>708</v>
      </c>
      <c r="K301" s="23" t="s">
        <v>708</v>
      </c>
      <c r="L301" s="23">
        <v>1</v>
      </c>
      <c r="M301" s="23" t="s">
        <v>78</v>
      </c>
      <c r="N301" s="23" t="s">
        <v>78</v>
      </c>
      <c r="O301" s="23">
        <v>331.75</v>
      </c>
      <c r="P301" s="23" t="s">
        <v>79</v>
      </c>
      <c r="Q301" s="23" t="s">
        <v>83</v>
      </c>
      <c r="R301" s="23">
        <v>11100176</v>
      </c>
      <c r="S301" s="24">
        <v>46043</v>
      </c>
      <c r="T301" s="24">
        <v>46008</v>
      </c>
      <c r="U301" s="24">
        <v>46752</v>
      </c>
      <c r="X301" s="24">
        <v>46001</v>
      </c>
      <c r="Y301" s="23">
        <v>1111</v>
      </c>
      <c r="Z301" s="23">
        <v>11400895</v>
      </c>
      <c r="AA301" s="23">
        <v>335103</v>
      </c>
      <c r="AB301" s="24">
        <v>46001</v>
      </c>
    </row>
    <row r="302" spans="2:28" x14ac:dyDescent="0.2">
      <c r="C302" s="23">
        <v>1100571842</v>
      </c>
      <c r="E302" s="23">
        <v>100</v>
      </c>
      <c r="F302" s="23" t="s">
        <v>84</v>
      </c>
      <c r="G302" s="23" t="s">
        <v>123</v>
      </c>
      <c r="H302" s="24">
        <v>46094</v>
      </c>
      <c r="I302" s="24">
        <v>46094</v>
      </c>
      <c r="J302" s="23" t="s">
        <v>708</v>
      </c>
      <c r="K302" s="23" t="s">
        <v>708</v>
      </c>
      <c r="L302" s="23">
        <v>1</v>
      </c>
      <c r="M302" s="23" t="s">
        <v>78</v>
      </c>
      <c r="N302" s="23" t="s">
        <v>78</v>
      </c>
      <c r="O302" s="23">
        <v>0.01</v>
      </c>
      <c r="P302" s="23" t="s">
        <v>79</v>
      </c>
      <c r="Q302" s="23" t="s">
        <v>83</v>
      </c>
      <c r="R302" s="23">
        <v>11100176</v>
      </c>
      <c r="S302" s="24">
        <v>46043</v>
      </c>
      <c r="T302" s="24">
        <v>46008</v>
      </c>
      <c r="U302" s="24">
        <v>46752</v>
      </c>
      <c r="X302" s="24">
        <v>46001</v>
      </c>
      <c r="Y302" s="23">
        <v>1111</v>
      </c>
      <c r="Z302" s="23">
        <v>11400895</v>
      </c>
      <c r="AA302" s="23">
        <v>335103</v>
      </c>
      <c r="AB302" s="24">
        <v>46001</v>
      </c>
    </row>
    <row r="303" spans="2:28" x14ac:dyDescent="0.2">
      <c r="B303" s="23" t="s">
        <v>81</v>
      </c>
      <c r="C303" s="23">
        <v>1100571842</v>
      </c>
      <c r="H303" s="24">
        <v>46094</v>
      </c>
      <c r="O303" s="23">
        <v>331.76</v>
      </c>
      <c r="P303" s="23" t="s">
        <v>79</v>
      </c>
    </row>
    <row r="304" spans="2:28" x14ac:dyDescent="0.2">
      <c r="C304" s="23">
        <v>1100572880</v>
      </c>
      <c r="E304" s="23">
        <v>10</v>
      </c>
      <c r="F304" s="23" t="s">
        <v>2122</v>
      </c>
      <c r="G304" s="23" t="s">
        <v>2123</v>
      </c>
      <c r="H304" s="24">
        <v>46094</v>
      </c>
      <c r="I304" s="24">
        <v>46094</v>
      </c>
      <c r="J304" s="23" t="s">
        <v>272</v>
      </c>
      <c r="K304" s="23" t="s">
        <v>272</v>
      </c>
      <c r="L304" s="23">
        <v>1</v>
      </c>
      <c r="M304" s="23" t="s">
        <v>78</v>
      </c>
      <c r="N304" s="23" t="s">
        <v>78</v>
      </c>
      <c r="O304" s="23">
        <v>673.2</v>
      </c>
      <c r="P304" s="23" t="s">
        <v>79</v>
      </c>
      <c r="Q304" s="23" t="s">
        <v>83</v>
      </c>
      <c r="R304" s="23">
        <v>11100176</v>
      </c>
      <c r="S304" s="24">
        <v>46094</v>
      </c>
      <c r="T304" s="24">
        <v>46028</v>
      </c>
      <c r="U304" s="24" t="s">
        <v>80</v>
      </c>
      <c r="X304" s="24">
        <v>46027</v>
      </c>
      <c r="Y304" s="23">
        <v>1111</v>
      </c>
      <c r="Z304" s="23">
        <v>11100137</v>
      </c>
      <c r="AA304" s="23">
        <v>5051</v>
      </c>
      <c r="AB304" s="24">
        <v>45833</v>
      </c>
    </row>
    <row r="305" spans="2:28" x14ac:dyDescent="0.2">
      <c r="C305" s="23">
        <v>1100572880</v>
      </c>
      <c r="E305" s="23">
        <v>20</v>
      </c>
      <c r="F305" s="23" t="s">
        <v>2124</v>
      </c>
      <c r="G305" s="23" t="s">
        <v>2125</v>
      </c>
      <c r="H305" s="24">
        <v>46094</v>
      </c>
      <c r="I305" s="24">
        <v>46094</v>
      </c>
      <c r="J305" s="23" t="s">
        <v>272</v>
      </c>
      <c r="K305" s="23" t="s">
        <v>272</v>
      </c>
      <c r="L305" s="23">
        <v>1</v>
      </c>
      <c r="M305" s="23" t="s">
        <v>78</v>
      </c>
      <c r="N305" s="23" t="s">
        <v>78</v>
      </c>
      <c r="O305" s="23">
        <v>554.30999999999995</v>
      </c>
      <c r="P305" s="23" t="s">
        <v>79</v>
      </c>
      <c r="Q305" s="23" t="s">
        <v>83</v>
      </c>
      <c r="R305" s="23">
        <v>11100176</v>
      </c>
      <c r="S305" s="24">
        <v>46094</v>
      </c>
      <c r="T305" s="24">
        <v>46028</v>
      </c>
      <c r="U305" s="24" t="s">
        <v>80</v>
      </c>
      <c r="X305" s="24">
        <v>46027</v>
      </c>
      <c r="Y305" s="23">
        <v>1111</v>
      </c>
      <c r="Z305" s="23">
        <v>11100137</v>
      </c>
      <c r="AA305" s="23">
        <v>5051</v>
      </c>
      <c r="AB305" s="24">
        <v>45833</v>
      </c>
    </row>
    <row r="306" spans="2:28" x14ac:dyDescent="0.2">
      <c r="C306" s="23">
        <v>1100572880</v>
      </c>
      <c r="E306" s="23">
        <v>30</v>
      </c>
      <c r="F306" s="23" t="s">
        <v>2783</v>
      </c>
      <c r="G306" s="23" t="s">
        <v>2784</v>
      </c>
      <c r="H306" s="24">
        <v>46094</v>
      </c>
      <c r="I306" s="24">
        <v>46094</v>
      </c>
      <c r="J306" s="23" t="s">
        <v>272</v>
      </c>
      <c r="K306" s="23" t="s">
        <v>272</v>
      </c>
      <c r="L306" s="23">
        <v>1</v>
      </c>
      <c r="M306" s="23" t="s">
        <v>78</v>
      </c>
      <c r="N306" s="23" t="s">
        <v>78</v>
      </c>
      <c r="O306" s="23">
        <v>5724.9</v>
      </c>
      <c r="P306" s="23" t="s">
        <v>79</v>
      </c>
      <c r="Q306" s="23" t="s">
        <v>83</v>
      </c>
      <c r="R306" s="23">
        <v>11100176</v>
      </c>
      <c r="S306" s="24">
        <v>46094</v>
      </c>
      <c r="T306" s="24">
        <v>46028</v>
      </c>
      <c r="U306" s="24" t="s">
        <v>80</v>
      </c>
      <c r="X306" s="24">
        <v>46027</v>
      </c>
      <c r="Y306" s="23">
        <v>1111</v>
      </c>
      <c r="Z306" s="23">
        <v>11100137</v>
      </c>
      <c r="AA306" s="23">
        <v>5051</v>
      </c>
      <c r="AB306" s="24">
        <v>45833</v>
      </c>
    </row>
    <row r="307" spans="2:28" x14ac:dyDescent="0.2">
      <c r="C307" s="23">
        <v>1100572880</v>
      </c>
      <c r="E307" s="23">
        <v>40</v>
      </c>
      <c r="F307" s="23" t="s">
        <v>2785</v>
      </c>
      <c r="G307" s="23" t="s">
        <v>2126</v>
      </c>
      <c r="H307" s="24">
        <v>46094</v>
      </c>
      <c r="I307" s="24">
        <v>46094</v>
      </c>
      <c r="J307" s="23" t="s">
        <v>272</v>
      </c>
      <c r="K307" s="23" t="s">
        <v>272</v>
      </c>
      <c r="L307" s="23">
        <v>1</v>
      </c>
      <c r="M307" s="23" t="s">
        <v>78</v>
      </c>
      <c r="N307" s="23" t="s">
        <v>78</v>
      </c>
      <c r="O307" s="23">
        <v>1296.9000000000001</v>
      </c>
      <c r="P307" s="23" t="s">
        <v>79</v>
      </c>
      <c r="Q307" s="23" t="s">
        <v>83</v>
      </c>
      <c r="R307" s="23">
        <v>11100176</v>
      </c>
      <c r="S307" s="24">
        <v>46094</v>
      </c>
      <c r="T307" s="24">
        <v>46028</v>
      </c>
      <c r="U307" s="24" t="s">
        <v>80</v>
      </c>
      <c r="X307" s="24">
        <v>46027</v>
      </c>
      <c r="Y307" s="23">
        <v>1111</v>
      </c>
      <c r="Z307" s="23">
        <v>11100137</v>
      </c>
      <c r="AA307" s="23">
        <v>5051</v>
      </c>
      <c r="AB307" s="24">
        <v>45833</v>
      </c>
    </row>
    <row r="308" spans="2:28" x14ac:dyDescent="0.2">
      <c r="C308" s="23">
        <v>1100572880</v>
      </c>
      <c r="E308" s="23">
        <v>50</v>
      </c>
      <c r="F308" s="23" t="s">
        <v>2786</v>
      </c>
      <c r="G308" s="23" t="s">
        <v>2787</v>
      </c>
      <c r="H308" s="24">
        <v>46094</v>
      </c>
      <c r="I308" s="24">
        <v>46094</v>
      </c>
      <c r="J308" s="23" t="s">
        <v>272</v>
      </c>
      <c r="K308" s="23" t="s">
        <v>272</v>
      </c>
      <c r="L308" s="23">
        <v>1</v>
      </c>
      <c r="M308" s="23" t="s">
        <v>78</v>
      </c>
      <c r="N308" s="23" t="s">
        <v>78</v>
      </c>
      <c r="O308" s="23">
        <v>1294.2</v>
      </c>
      <c r="P308" s="23" t="s">
        <v>79</v>
      </c>
      <c r="Q308" s="23" t="s">
        <v>83</v>
      </c>
      <c r="R308" s="23">
        <v>11100176</v>
      </c>
      <c r="S308" s="24">
        <v>46094</v>
      </c>
      <c r="T308" s="24">
        <v>46028</v>
      </c>
      <c r="U308" s="24" t="s">
        <v>80</v>
      </c>
      <c r="X308" s="24">
        <v>46027</v>
      </c>
      <c r="Y308" s="23">
        <v>1111</v>
      </c>
      <c r="Z308" s="23">
        <v>11100137</v>
      </c>
      <c r="AA308" s="23">
        <v>5051</v>
      </c>
      <c r="AB308" s="24">
        <v>45833</v>
      </c>
    </row>
    <row r="309" spans="2:28" x14ac:dyDescent="0.2">
      <c r="C309" s="23">
        <v>1100572880</v>
      </c>
      <c r="E309" s="23">
        <v>60</v>
      </c>
      <c r="F309" s="23" t="s">
        <v>2127</v>
      </c>
      <c r="G309" s="23" t="s">
        <v>2128</v>
      </c>
      <c r="H309" s="24">
        <v>46094</v>
      </c>
      <c r="I309" s="24">
        <v>46094</v>
      </c>
      <c r="J309" s="23" t="s">
        <v>272</v>
      </c>
      <c r="K309" s="23" t="s">
        <v>272</v>
      </c>
      <c r="L309" s="23">
        <v>1</v>
      </c>
      <c r="M309" s="23" t="s">
        <v>78</v>
      </c>
      <c r="N309" s="23" t="s">
        <v>78</v>
      </c>
      <c r="O309" s="23">
        <v>1253.7</v>
      </c>
      <c r="P309" s="23" t="s">
        <v>79</v>
      </c>
      <c r="Q309" s="23" t="s">
        <v>83</v>
      </c>
      <c r="R309" s="23">
        <v>11100176</v>
      </c>
      <c r="S309" s="24">
        <v>46094</v>
      </c>
      <c r="T309" s="24">
        <v>46028</v>
      </c>
      <c r="U309" s="24" t="s">
        <v>80</v>
      </c>
      <c r="X309" s="24">
        <v>46027</v>
      </c>
      <c r="Y309" s="23">
        <v>1111</v>
      </c>
      <c r="Z309" s="23">
        <v>11100137</v>
      </c>
      <c r="AA309" s="23">
        <v>5051</v>
      </c>
      <c r="AB309" s="24">
        <v>45833</v>
      </c>
    </row>
    <row r="310" spans="2:28" x14ac:dyDescent="0.2">
      <c r="C310" s="23">
        <v>1100572880</v>
      </c>
      <c r="E310" s="23">
        <v>70</v>
      </c>
      <c r="F310" s="23" t="s">
        <v>2786</v>
      </c>
      <c r="G310" s="23" t="s">
        <v>2787</v>
      </c>
      <c r="H310" s="24">
        <v>46094</v>
      </c>
      <c r="I310" s="24">
        <v>46094</v>
      </c>
      <c r="J310" s="23" t="s">
        <v>272</v>
      </c>
      <c r="K310" s="23" t="s">
        <v>272</v>
      </c>
      <c r="L310" s="23">
        <v>1</v>
      </c>
      <c r="M310" s="23" t="s">
        <v>78</v>
      </c>
      <c r="N310" s="23" t="s">
        <v>78</v>
      </c>
      <c r="O310" s="23">
        <v>1297.8</v>
      </c>
      <c r="P310" s="23" t="s">
        <v>79</v>
      </c>
      <c r="Q310" s="23" t="s">
        <v>83</v>
      </c>
      <c r="R310" s="23">
        <v>11100176</v>
      </c>
      <c r="S310" s="24">
        <v>46094</v>
      </c>
      <c r="T310" s="24">
        <v>46028</v>
      </c>
      <c r="U310" s="24" t="s">
        <v>80</v>
      </c>
      <c r="X310" s="24">
        <v>46027</v>
      </c>
      <c r="Y310" s="23">
        <v>1111</v>
      </c>
      <c r="Z310" s="23">
        <v>11100137</v>
      </c>
      <c r="AA310" s="23">
        <v>5051</v>
      </c>
      <c r="AB310" s="24">
        <v>45833</v>
      </c>
    </row>
    <row r="311" spans="2:28" x14ac:dyDescent="0.2">
      <c r="C311" s="23">
        <v>1100572880</v>
      </c>
      <c r="E311" s="23">
        <v>80</v>
      </c>
      <c r="F311" s="23" t="s">
        <v>2127</v>
      </c>
      <c r="G311" s="23" t="s">
        <v>2128</v>
      </c>
      <c r="H311" s="24">
        <v>46094</v>
      </c>
      <c r="I311" s="24">
        <v>46094</v>
      </c>
      <c r="J311" s="23" t="s">
        <v>272</v>
      </c>
      <c r="K311" s="23" t="s">
        <v>272</v>
      </c>
      <c r="L311" s="23">
        <v>1</v>
      </c>
      <c r="M311" s="23" t="s">
        <v>78</v>
      </c>
      <c r="N311" s="23" t="s">
        <v>78</v>
      </c>
      <c r="O311" s="23">
        <v>1253.7</v>
      </c>
      <c r="P311" s="23" t="s">
        <v>79</v>
      </c>
      <c r="Q311" s="23" t="s">
        <v>83</v>
      </c>
      <c r="R311" s="23">
        <v>11100176</v>
      </c>
      <c r="S311" s="24">
        <v>46094</v>
      </c>
      <c r="T311" s="24">
        <v>46028</v>
      </c>
      <c r="U311" s="24" t="s">
        <v>80</v>
      </c>
      <c r="X311" s="24">
        <v>46027</v>
      </c>
      <c r="Y311" s="23">
        <v>1111</v>
      </c>
      <c r="Z311" s="23">
        <v>11100137</v>
      </c>
      <c r="AA311" s="23">
        <v>5051</v>
      </c>
      <c r="AB311" s="24">
        <v>45833</v>
      </c>
    </row>
    <row r="312" spans="2:28" x14ac:dyDescent="0.2">
      <c r="C312" s="23">
        <v>1100572880</v>
      </c>
      <c r="E312" s="23">
        <v>90</v>
      </c>
      <c r="F312" s="23" t="s">
        <v>96</v>
      </c>
      <c r="G312" s="23" t="s">
        <v>97</v>
      </c>
      <c r="H312" s="24">
        <v>46094</v>
      </c>
      <c r="I312" s="24">
        <v>46094</v>
      </c>
      <c r="J312" s="23" t="s">
        <v>272</v>
      </c>
      <c r="K312" s="23" t="s">
        <v>272</v>
      </c>
      <c r="L312" s="23">
        <v>8</v>
      </c>
      <c r="M312" s="23" t="s">
        <v>78</v>
      </c>
      <c r="N312" s="23" t="s">
        <v>78</v>
      </c>
      <c r="O312" s="23">
        <v>1440</v>
      </c>
      <c r="P312" s="23" t="s">
        <v>79</v>
      </c>
      <c r="Q312" s="23" t="s">
        <v>83</v>
      </c>
      <c r="R312" s="23">
        <v>11100176</v>
      </c>
      <c r="S312" s="24" t="s">
        <v>80</v>
      </c>
      <c r="T312" s="24">
        <v>46028</v>
      </c>
      <c r="U312" s="24" t="s">
        <v>80</v>
      </c>
      <c r="X312" s="24">
        <v>46027</v>
      </c>
      <c r="Y312" s="23">
        <v>1111</v>
      </c>
      <c r="Z312" s="23">
        <v>11100137</v>
      </c>
      <c r="AA312" s="23">
        <v>5051</v>
      </c>
      <c r="AB312" s="24">
        <v>45833</v>
      </c>
    </row>
    <row r="313" spans="2:28" x14ac:dyDescent="0.2">
      <c r="C313" s="23">
        <v>1100572880</v>
      </c>
      <c r="E313" s="23">
        <v>100</v>
      </c>
      <c r="F313" s="23" t="s">
        <v>84</v>
      </c>
      <c r="G313" s="23" t="s">
        <v>123</v>
      </c>
      <c r="H313" s="24">
        <v>46094</v>
      </c>
      <c r="I313" s="24">
        <v>46094</v>
      </c>
      <c r="J313" s="23" t="s">
        <v>272</v>
      </c>
      <c r="K313" s="23" t="s">
        <v>272</v>
      </c>
      <c r="L313" s="23">
        <v>1</v>
      </c>
      <c r="M313" s="23" t="s">
        <v>78</v>
      </c>
      <c r="N313" s="23" t="s">
        <v>78</v>
      </c>
      <c r="O313" s="23">
        <v>0.01</v>
      </c>
      <c r="P313" s="23" t="s">
        <v>79</v>
      </c>
      <c r="Q313" s="23" t="s">
        <v>83</v>
      </c>
      <c r="R313" s="23">
        <v>11100176</v>
      </c>
      <c r="S313" s="24" t="s">
        <v>80</v>
      </c>
      <c r="T313" s="24">
        <v>46028</v>
      </c>
      <c r="U313" s="24" t="s">
        <v>80</v>
      </c>
      <c r="X313" s="24">
        <v>46027</v>
      </c>
      <c r="Y313" s="23">
        <v>1111</v>
      </c>
      <c r="Z313" s="23">
        <v>11100137</v>
      </c>
      <c r="AA313" s="23">
        <v>5051</v>
      </c>
      <c r="AB313" s="24">
        <v>45833</v>
      </c>
    </row>
    <row r="314" spans="2:28" x14ac:dyDescent="0.2">
      <c r="B314" s="23" t="s">
        <v>81</v>
      </c>
      <c r="C314" s="23">
        <v>1100572880</v>
      </c>
      <c r="H314" s="24">
        <v>46094</v>
      </c>
      <c r="O314" s="23">
        <v>14788.72</v>
      </c>
      <c r="P314" s="23" t="s">
        <v>79</v>
      </c>
    </row>
    <row r="315" spans="2:28" x14ac:dyDescent="0.2">
      <c r="C315" s="23">
        <v>1100573539</v>
      </c>
      <c r="E315" s="23">
        <v>20</v>
      </c>
      <c r="F315" s="23" t="s">
        <v>2788</v>
      </c>
      <c r="G315" s="23" t="s">
        <v>2789</v>
      </c>
      <c r="H315" s="24">
        <v>46094</v>
      </c>
      <c r="I315" s="24">
        <v>46094</v>
      </c>
      <c r="J315" s="23" t="s">
        <v>844</v>
      </c>
      <c r="K315" s="23" t="s">
        <v>844</v>
      </c>
      <c r="L315" s="23">
        <v>3</v>
      </c>
      <c r="M315" s="23" t="s">
        <v>78</v>
      </c>
      <c r="N315" s="23" t="s">
        <v>78</v>
      </c>
      <c r="O315" s="23">
        <v>192.93</v>
      </c>
      <c r="P315" s="23" t="s">
        <v>79</v>
      </c>
      <c r="Q315" s="23" t="s">
        <v>83</v>
      </c>
      <c r="R315" s="23">
        <v>11100176</v>
      </c>
      <c r="S315" s="24">
        <v>46094</v>
      </c>
      <c r="T315" s="24">
        <v>46034</v>
      </c>
      <c r="U315" s="24">
        <v>46094</v>
      </c>
      <c r="X315" s="24">
        <v>46031</v>
      </c>
      <c r="Y315" s="23">
        <v>1111</v>
      </c>
      <c r="Z315" s="23">
        <v>11100137</v>
      </c>
      <c r="AA315" s="23">
        <v>5051</v>
      </c>
      <c r="AB315" s="24">
        <v>46029</v>
      </c>
    </row>
    <row r="316" spans="2:28" x14ac:dyDescent="0.2">
      <c r="C316" s="23">
        <v>1100573539</v>
      </c>
      <c r="E316" s="23">
        <v>30</v>
      </c>
      <c r="F316" s="23" t="s">
        <v>209</v>
      </c>
      <c r="G316" s="23" t="s">
        <v>210</v>
      </c>
      <c r="H316" s="24">
        <v>46094</v>
      </c>
      <c r="I316" s="24">
        <v>46094</v>
      </c>
      <c r="J316" s="23" t="s">
        <v>844</v>
      </c>
      <c r="K316" s="23" t="s">
        <v>844</v>
      </c>
      <c r="L316" s="23">
        <v>1</v>
      </c>
      <c r="M316" s="23" t="s">
        <v>78</v>
      </c>
      <c r="N316" s="23" t="s">
        <v>78</v>
      </c>
      <c r="O316" s="23">
        <v>0.01</v>
      </c>
      <c r="P316" s="23" t="s">
        <v>79</v>
      </c>
      <c r="Q316" s="23" t="s">
        <v>83</v>
      </c>
      <c r="R316" s="23">
        <v>11100176</v>
      </c>
      <c r="S316" s="24" t="s">
        <v>80</v>
      </c>
      <c r="T316" s="24">
        <v>46034</v>
      </c>
      <c r="U316" s="24">
        <v>46094</v>
      </c>
      <c r="X316" s="24">
        <v>46031</v>
      </c>
      <c r="Y316" s="23">
        <v>1111</v>
      </c>
      <c r="Z316" s="23">
        <v>11100137</v>
      </c>
      <c r="AA316" s="23">
        <v>5051</v>
      </c>
      <c r="AB316" s="24">
        <v>46029</v>
      </c>
    </row>
    <row r="317" spans="2:28" x14ac:dyDescent="0.2">
      <c r="B317" s="23" t="s">
        <v>81</v>
      </c>
      <c r="C317" s="23">
        <v>1100573539</v>
      </c>
      <c r="H317" s="24">
        <v>46094</v>
      </c>
      <c r="O317" s="23">
        <v>192.94</v>
      </c>
      <c r="P317" s="23" t="s">
        <v>79</v>
      </c>
    </row>
    <row r="318" spans="2:28" x14ac:dyDescent="0.2">
      <c r="C318" s="23">
        <v>1100573668</v>
      </c>
      <c r="E318" s="23">
        <v>10</v>
      </c>
      <c r="F318" s="23" t="s">
        <v>2790</v>
      </c>
      <c r="G318" s="23" t="s">
        <v>2791</v>
      </c>
      <c r="H318" s="24">
        <v>46094</v>
      </c>
      <c r="I318" s="24">
        <v>46094</v>
      </c>
      <c r="J318" s="23" t="s">
        <v>2792</v>
      </c>
      <c r="K318" s="23" t="s">
        <v>2792</v>
      </c>
      <c r="L318" s="23">
        <v>2</v>
      </c>
      <c r="M318" s="23" t="s">
        <v>78</v>
      </c>
      <c r="N318" s="23" t="s">
        <v>78</v>
      </c>
      <c r="O318" s="23">
        <v>14969.16</v>
      </c>
      <c r="P318" s="23" t="s">
        <v>79</v>
      </c>
      <c r="Q318" s="23" t="s">
        <v>83</v>
      </c>
      <c r="R318" s="23">
        <v>11100176</v>
      </c>
      <c r="S318" s="24">
        <v>46066</v>
      </c>
      <c r="T318" s="24">
        <v>46035</v>
      </c>
      <c r="U318" s="24">
        <v>46752</v>
      </c>
      <c r="X318" s="24">
        <v>46030</v>
      </c>
      <c r="Y318" s="23">
        <v>1111</v>
      </c>
      <c r="Z318" s="23">
        <v>11100137</v>
      </c>
      <c r="AA318" s="23">
        <v>5051</v>
      </c>
      <c r="AB318" s="24">
        <v>46030</v>
      </c>
    </row>
    <row r="319" spans="2:28" x14ac:dyDescent="0.2">
      <c r="B319" s="23" t="s">
        <v>81</v>
      </c>
      <c r="C319" s="23">
        <v>1100573668</v>
      </c>
      <c r="H319" s="24">
        <v>46094</v>
      </c>
      <c r="O319" s="23">
        <v>14969.16</v>
      </c>
      <c r="P319" s="23" t="s">
        <v>79</v>
      </c>
    </row>
    <row r="320" spans="2:28" x14ac:dyDescent="0.2">
      <c r="C320" s="23">
        <v>1100574057</v>
      </c>
      <c r="E320" s="23">
        <v>10</v>
      </c>
      <c r="F320" s="23" t="s">
        <v>2169</v>
      </c>
      <c r="G320" s="23" t="s">
        <v>2170</v>
      </c>
      <c r="H320" s="24">
        <v>46094</v>
      </c>
      <c r="I320" s="24">
        <v>46094</v>
      </c>
      <c r="J320" s="23" t="s">
        <v>670</v>
      </c>
      <c r="K320" s="23" t="s">
        <v>670</v>
      </c>
      <c r="L320" s="23">
        <v>2</v>
      </c>
      <c r="M320" s="23" t="s">
        <v>78</v>
      </c>
      <c r="N320" s="23" t="s">
        <v>78</v>
      </c>
      <c r="O320" s="23">
        <v>2655.72</v>
      </c>
      <c r="P320" s="23" t="s">
        <v>79</v>
      </c>
      <c r="Q320" s="23" t="s">
        <v>83</v>
      </c>
      <c r="R320" s="23">
        <v>11100176</v>
      </c>
      <c r="S320" s="24">
        <v>46094</v>
      </c>
      <c r="T320" s="24">
        <v>46038</v>
      </c>
      <c r="U320" s="24" t="s">
        <v>80</v>
      </c>
      <c r="X320" s="24">
        <v>46037</v>
      </c>
      <c r="Y320" s="23">
        <v>1111</v>
      </c>
      <c r="Z320" s="23">
        <v>11600001</v>
      </c>
      <c r="AA320" s="23">
        <v>335103</v>
      </c>
      <c r="AB320" s="24">
        <v>46037</v>
      </c>
    </row>
    <row r="321" spans="2:28" x14ac:dyDescent="0.2">
      <c r="C321" s="23">
        <v>1100574057</v>
      </c>
      <c r="E321" s="23">
        <v>20</v>
      </c>
      <c r="F321" s="23" t="s">
        <v>82</v>
      </c>
      <c r="G321" s="23" t="s">
        <v>139</v>
      </c>
      <c r="H321" s="24">
        <v>46094</v>
      </c>
      <c r="I321" s="24">
        <v>46094</v>
      </c>
      <c r="J321" s="23" t="s">
        <v>670</v>
      </c>
      <c r="K321" s="23" t="s">
        <v>670</v>
      </c>
      <c r="L321" s="23">
        <v>1</v>
      </c>
      <c r="M321" s="23" t="s">
        <v>78</v>
      </c>
      <c r="N321" s="23" t="s">
        <v>78</v>
      </c>
      <c r="O321" s="23">
        <v>0.01</v>
      </c>
      <c r="P321" s="23" t="s">
        <v>79</v>
      </c>
      <c r="Q321" s="23" t="s">
        <v>83</v>
      </c>
      <c r="R321" s="23">
        <v>11100176</v>
      </c>
      <c r="S321" s="24">
        <v>46094</v>
      </c>
      <c r="T321" s="24">
        <v>46038</v>
      </c>
      <c r="U321" s="24" t="s">
        <v>80</v>
      </c>
      <c r="X321" s="24">
        <v>46037</v>
      </c>
      <c r="Y321" s="23">
        <v>1111</v>
      </c>
      <c r="Z321" s="23">
        <v>11600001</v>
      </c>
      <c r="AA321" s="23">
        <v>335103</v>
      </c>
      <c r="AB321" s="24">
        <v>46037</v>
      </c>
    </row>
    <row r="322" spans="2:28" x14ac:dyDescent="0.2">
      <c r="B322" s="23" t="s">
        <v>81</v>
      </c>
      <c r="C322" s="23">
        <v>1100574057</v>
      </c>
      <c r="H322" s="24">
        <v>46094</v>
      </c>
      <c r="O322" s="23">
        <v>2655.73</v>
      </c>
      <c r="P322" s="23" t="s">
        <v>79</v>
      </c>
    </row>
    <row r="323" spans="2:28" x14ac:dyDescent="0.2">
      <c r="C323" s="23">
        <v>1100574464</v>
      </c>
      <c r="E323" s="23">
        <v>10</v>
      </c>
      <c r="F323" s="23" t="s">
        <v>790</v>
      </c>
      <c r="G323" s="23" t="s">
        <v>2269</v>
      </c>
      <c r="H323" s="24">
        <v>46094</v>
      </c>
      <c r="I323" s="24">
        <v>46094</v>
      </c>
      <c r="J323" s="23" t="s">
        <v>2793</v>
      </c>
      <c r="K323" s="23" t="s">
        <v>2793</v>
      </c>
      <c r="L323" s="23">
        <v>5</v>
      </c>
      <c r="M323" s="23" t="s">
        <v>78</v>
      </c>
      <c r="N323" s="23" t="s">
        <v>78</v>
      </c>
      <c r="O323" s="23">
        <v>241.25</v>
      </c>
      <c r="P323" s="23" t="s">
        <v>79</v>
      </c>
      <c r="Q323" s="23" t="s">
        <v>83</v>
      </c>
      <c r="R323" s="23">
        <v>11100176</v>
      </c>
      <c r="S323" s="24">
        <v>46065</v>
      </c>
      <c r="T323" s="24">
        <v>46044</v>
      </c>
      <c r="U323" s="24" t="s">
        <v>80</v>
      </c>
      <c r="X323" s="24">
        <v>46044</v>
      </c>
      <c r="Y323" s="23">
        <v>1111</v>
      </c>
      <c r="Z323" s="23">
        <v>11600007</v>
      </c>
      <c r="AA323" s="23">
        <v>335103</v>
      </c>
      <c r="AB323" s="24">
        <v>46042</v>
      </c>
    </row>
    <row r="324" spans="2:28" x14ac:dyDescent="0.2">
      <c r="C324" s="23">
        <v>1100574464</v>
      </c>
      <c r="E324" s="23">
        <v>20</v>
      </c>
      <c r="F324" s="23" t="s">
        <v>82</v>
      </c>
      <c r="G324" s="23" t="s">
        <v>139</v>
      </c>
      <c r="H324" s="24">
        <v>46094</v>
      </c>
      <c r="I324" s="24">
        <v>46094</v>
      </c>
      <c r="J324" s="23" t="s">
        <v>2793</v>
      </c>
      <c r="K324" s="23" t="s">
        <v>2793</v>
      </c>
      <c r="L324" s="23">
        <v>1</v>
      </c>
      <c r="M324" s="23" t="s">
        <v>78</v>
      </c>
      <c r="N324" s="23" t="s">
        <v>78</v>
      </c>
      <c r="O324" s="23">
        <v>0.01</v>
      </c>
      <c r="P324" s="23" t="s">
        <v>79</v>
      </c>
      <c r="Q324" s="23" t="s">
        <v>83</v>
      </c>
      <c r="R324" s="23">
        <v>11100176</v>
      </c>
      <c r="S324" s="24" t="s">
        <v>80</v>
      </c>
      <c r="T324" s="24">
        <v>46044</v>
      </c>
      <c r="U324" s="24" t="s">
        <v>80</v>
      </c>
      <c r="X324" s="24">
        <v>46044</v>
      </c>
      <c r="Y324" s="23">
        <v>1111</v>
      </c>
      <c r="Z324" s="23">
        <v>11600007</v>
      </c>
      <c r="AA324" s="23">
        <v>335103</v>
      </c>
      <c r="AB324" s="24">
        <v>46042</v>
      </c>
    </row>
    <row r="325" spans="2:28" x14ac:dyDescent="0.2">
      <c r="B325" s="23" t="s">
        <v>81</v>
      </c>
      <c r="C325" s="23">
        <v>1100574464</v>
      </c>
      <c r="H325" s="24">
        <v>46094</v>
      </c>
      <c r="O325" s="23">
        <v>241.26</v>
      </c>
      <c r="P325" s="23" t="s">
        <v>79</v>
      </c>
    </row>
    <row r="326" spans="2:28" x14ac:dyDescent="0.2">
      <c r="C326" s="23">
        <v>1100574604</v>
      </c>
      <c r="E326" s="23">
        <v>10</v>
      </c>
      <c r="F326" s="23" t="s">
        <v>2794</v>
      </c>
      <c r="G326" s="23" t="s">
        <v>2795</v>
      </c>
      <c r="H326" s="24">
        <v>46094</v>
      </c>
      <c r="I326" s="24">
        <v>46094</v>
      </c>
      <c r="J326" s="23" t="s">
        <v>2796</v>
      </c>
      <c r="K326" s="23" t="s">
        <v>2796</v>
      </c>
      <c r="L326" s="23">
        <v>20</v>
      </c>
      <c r="M326" s="23" t="s">
        <v>78</v>
      </c>
      <c r="N326" s="23" t="s">
        <v>78</v>
      </c>
      <c r="O326" s="23">
        <v>2134.1999999999998</v>
      </c>
      <c r="P326" s="23" t="s">
        <v>79</v>
      </c>
      <c r="Q326" s="23" t="s">
        <v>83</v>
      </c>
      <c r="R326" s="23">
        <v>11100176</v>
      </c>
      <c r="S326" s="24">
        <v>46094</v>
      </c>
      <c r="T326" s="24">
        <v>46045</v>
      </c>
      <c r="U326" s="24" t="s">
        <v>80</v>
      </c>
      <c r="X326" s="24">
        <v>46043</v>
      </c>
      <c r="Y326" s="23">
        <v>1111</v>
      </c>
      <c r="Z326" s="23">
        <v>11400811</v>
      </c>
      <c r="AA326" s="23">
        <v>3351</v>
      </c>
      <c r="AB326" s="24">
        <v>46043</v>
      </c>
    </row>
    <row r="327" spans="2:28" x14ac:dyDescent="0.2">
      <c r="B327" s="23" t="s">
        <v>81</v>
      </c>
      <c r="C327" s="23">
        <v>1100574604</v>
      </c>
      <c r="H327" s="24">
        <v>46094</v>
      </c>
      <c r="O327" s="23">
        <v>2134.1999999999998</v>
      </c>
      <c r="P327" s="23" t="s">
        <v>79</v>
      </c>
    </row>
    <row r="328" spans="2:28" x14ac:dyDescent="0.2">
      <c r="C328" s="23">
        <v>1100574795</v>
      </c>
      <c r="E328" s="23">
        <v>10</v>
      </c>
      <c r="F328" s="23" t="s">
        <v>2797</v>
      </c>
      <c r="G328" s="23" t="s">
        <v>2798</v>
      </c>
      <c r="H328" s="24">
        <v>46094</v>
      </c>
      <c r="I328" s="24">
        <v>46094</v>
      </c>
      <c r="J328" s="23" t="s">
        <v>2799</v>
      </c>
      <c r="K328" s="23" t="s">
        <v>2799</v>
      </c>
      <c r="L328" s="23">
        <v>3</v>
      </c>
      <c r="M328" s="23" t="s">
        <v>78</v>
      </c>
      <c r="N328" s="23" t="s">
        <v>78</v>
      </c>
      <c r="O328" s="23">
        <v>2775</v>
      </c>
      <c r="P328" s="23" t="s">
        <v>79</v>
      </c>
      <c r="Q328" s="23" t="s">
        <v>83</v>
      </c>
      <c r="R328" s="23">
        <v>11100176</v>
      </c>
      <c r="S328" s="24">
        <v>46090</v>
      </c>
      <c r="T328" s="24">
        <v>46048</v>
      </c>
      <c r="U328" s="24" t="s">
        <v>80</v>
      </c>
      <c r="X328" s="24">
        <v>46029</v>
      </c>
      <c r="Y328" s="23">
        <v>1111</v>
      </c>
      <c r="Z328" s="23">
        <v>11600001</v>
      </c>
      <c r="AA328" s="23">
        <v>515103</v>
      </c>
      <c r="AB328" s="24">
        <v>46032</v>
      </c>
    </row>
    <row r="329" spans="2:28" x14ac:dyDescent="0.2">
      <c r="B329" s="23" t="s">
        <v>81</v>
      </c>
      <c r="C329" s="23">
        <v>1100574795</v>
      </c>
      <c r="H329" s="24">
        <v>46094</v>
      </c>
      <c r="O329" s="23">
        <v>2775</v>
      </c>
      <c r="P329" s="23" t="s">
        <v>79</v>
      </c>
    </row>
    <row r="330" spans="2:28" x14ac:dyDescent="0.2">
      <c r="C330" s="23">
        <v>1100574797</v>
      </c>
      <c r="E330" s="23">
        <v>10</v>
      </c>
      <c r="F330" s="23" t="s">
        <v>2797</v>
      </c>
      <c r="G330" s="23" t="s">
        <v>2798</v>
      </c>
      <c r="H330" s="24">
        <v>46094</v>
      </c>
      <c r="I330" s="24">
        <v>46094</v>
      </c>
      <c r="J330" s="23" t="s">
        <v>2799</v>
      </c>
      <c r="K330" s="23" t="s">
        <v>2799</v>
      </c>
      <c r="L330" s="23">
        <v>1</v>
      </c>
      <c r="M330" s="23" t="s">
        <v>78</v>
      </c>
      <c r="N330" s="23" t="s">
        <v>78</v>
      </c>
      <c r="O330" s="23">
        <v>925</v>
      </c>
      <c r="P330" s="23" t="s">
        <v>79</v>
      </c>
      <c r="Q330" s="23" t="s">
        <v>83</v>
      </c>
      <c r="R330" s="23">
        <v>11100176</v>
      </c>
      <c r="S330" s="24">
        <v>46090</v>
      </c>
      <c r="T330" s="24">
        <v>46048</v>
      </c>
      <c r="U330" s="24" t="s">
        <v>80</v>
      </c>
      <c r="X330" s="24">
        <v>46029</v>
      </c>
      <c r="Y330" s="23">
        <v>1111</v>
      </c>
      <c r="Z330" s="23">
        <v>11600001</v>
      </c>
      <c r="AA330" s="23">
        <v>515103</v>
      </c>
      <c r="AB330" s="24">
        <v>46032</v>
      </c>
    </row>
    <row r="331" spans="2:28" x14ac:dyDescent="0.2">
      <c r="B331" s="23" t="s">
        <v>81</v>
      </c>
      <c r="C331" s="23">
        <v>1100574797</v>
      </c>
      <c r="H331" s="24">
        <v>46094</v>
      </c>
      <c r="O331" s="23">
        <v>925</v>
      </c>
      <c r="P331" s="23" t="s">
        <v>79</v>
      </c>
    </row>
    <row r="332" spans="2:28" x14ac:dyDescent="0.2">
      <c r="C332" s="23">
        <v>1100574798</v>
      </c>
      <c r="E332" s="23">
        <v>10</v>
      </c>
      <c r="F332" s="23" t="s">
        <v>2797</v>
      </c>
      <c r="G332" s="23" t="s">
        <v>2798</v>
      </c>
      <c r="H332" s="24">
        <v>46094</v>
      </c>
      <c r="I332" s="24">
        <v>46094</v>
      </c>
      <c r="J332" s="23" t="s">
        <v>2799</v>
      </c>
      <c r="K332" s="23" t="s">
        <v>2799</v>
      </c>
      <c r="L332" s="23">
        <v>3</v>
      </c>
      <c r="M332" s="23" t="s">
        <v>78</v>
      </c>
      <c r="N332" s="23" t="s">
        <v>78</v>
      </c>
      <c r="O332" s="23">
        <v>2775</v>
      </c>
      <c r="P332" s="23" t="s">
        <v>79</v>
      </c>
      <c r="Q332" s="23" t="s">
        <v>83</v>
      </c>
      <c r="R332" s="23">
        <v>11100176</v>
      </c>
      <c r="S332" s="24">
        <v>46094</v>
      </c>
      <c r="T332" s="24">
        <v>46048</v>
      </c>
      <c r="U332" s="24" t="s">
        <v>80</v>
      </c>
      <c r="X332" s="24">
        <v>46029</v>
      </c>
      <c r="Y332" s="23">
        <v>1111</v>
      </c>
      <c r="Z332" s="23">
        <v>11600003</v>
      </c>
      <c r="AA332" s="23">
        <v>515103</v>
      </c>
      <c r="AB332" s="24">
        <v>46035</v>
      </c>
    </row>
    <row r="333" spans="2:28" x14ac:dyDescent="0.2">
      <c r="B333" s="23" t="s">
        <v>81</v>
      </c>
      <c r="C333" s="23">
        <v>1100574798</v>
      </c>
      <c r="H333" s="24">
        <v>46094</v>
      </c>
      <c r="O333" s="23">
        <v>2775</v>
      </c>
      <c r="P333" s="23" t="s">
        <v>79</v>
      </c>
    </row>
    <row r="334" spans="2:28" x14ac:dyDescent="0.2">
      <c r="C334" s="23">
        <v>1100575415</v>
      </c>
      <c r="E334" s="23">
        <v>20</v>
      </c>
      <c r="F334" s="23" t="s">
        <v>923</v>
      </c>
      <c r="G334" s="23" t="s">
        <v>714</v>
      </c>
      <c r="H334" s="24">
        <v>46094</v>
      </c>
      <c r="I334" s="24">
        <v>46094</v>
      </c>
      <c r="J334" s="23" t="s">
        <v>102</v>
      </c>
      <c r="K334" s="23" t="s">
        <v>102</v>
      </c>
      <c r="L334" s="23">
        <v>2</v>
      </c>
      <c r="M334" s="23" t="s">
        <v>78</v>
      </c>
      <c r="N334" s="23" t="s">
        <v>78</v>
      </c>
      <c r="O334" s="23">
        <v>1785.1</v>
      </c>
      <c r="P334" s="23" t="s">
        <v>79</v>
      </c>
      <c r="Q334" s="23" t="s">
        <v>83</v>
      </c>
      <c r="R334" s="23">
        <v>11100189</v>
      </c>
      <c r="S334" s="24">
        <v>46065</v>
      </c>
      <c r="T334" s="24">
        <v>46051</v>
      </c>
      <c r="U334" s="24">
        <v>47116</v>
      </c>
      <c r="X334" s="24">
        <v>46051</v>
      </c>
      <c r="Y334" s="23">
        <v>1111</v>
      </c>
      <c r="Z334" s="23">
        <v>11400745</v>
      </c>
      <c r="AA334" s="23">
        <v>5151</v>
      </c>
      <c r="AB334" s="24">
        <v>46051</v>
      </c>
    </row>
    <row r="335" spans="2:28" x14ac:dyDescent="0.2">
      <c r="B335" s="23" t="s">
        <v>81</v>
      </c>
      <c r="C335" s="23">
        <v>1100575415</v>
      </c>
      <c r="H335" s="24">
        <v>46094</v>
      </c>
      <c r="O335" s="23">
        <v>1785.1</v>
      </c>
      <c r="P335" s="23" t="s">
        <v>79</v>
      </c>
    </row>
    <row r="336" spans="2:28" x14ac:dyDescent="0.2">
      <c r="C336" s="23">
        <v>1100575435</v>
      </c>
      <c r="E336" s="23">
        <v>10</v>
      </c>
      <c r="F336" s="23" t="s">
        <v>1059</v>
      </c>
      <c r="G336" s="23" t="s">
        <v>1060</v>
      </c>
      <c r="H336" s="24">
        <v>46094</v>
      </c>
      <c r="I336" s="24">
        <v>46094</v>
      </c>
      <c r="J336" s="23" t="s">
        <v>2800</v>
      </c>
      <c r="K336" s="23" t="s">
        <v>2800</v>
      </c>
      <c r="L336" s="23">
        <v>1</v>
      </c>
      <c r="M336" s="23" t="s">
        <v>78</v>
      </c>
      <c r="N336" s="23" t="s">
        <v>78</v>
      </c>
      <c r="O336" s="23">
        <v>2086.88</v>
      </c>
      <c r="P336" s="23" t="s">
        <v>79</v>
      </c>
      <c r="Q336" s="23" t="s">
        <v>83</v>
      </c>
      <c r="R336" s="23">
        <v>11100176</v>
      </c>
      <c r="S336" s="24">
        <v>46094</v>
      </c>
      <c r="T336" s="24">
        <v>46051</v>
      </c>
      <c r="U336" s="24" t="s">
        <v>80</v>
      </c>
      <c r="X336" s="24">
        <v>46051</v>
      </c>
      <c r="Y336" s="23">
        <v>1111</v>
      </c>
      <c r="Z336" s="23">
        <v>11400797</v>
      </c>
      <c r="AA336" s="23">
        <v>3351</v>
      </c>
      <c r="AB336" s="24">
        <v>46049</v>
      </c>
    </row>
    <row r="337" spans="2:28" x14ac:dyDescent="0.2">
      <c r="C337" s="23">
        <v>1100575435</v>
      </c>
      <c r="E337" s="23">
        <v>20</v>
      </c>
      <c r="F337" s="23" t="s">
        <v>82</v>
      </c>
      <c r="G337" s="23" t="s">
        <v>139</v>
      </c>
      <c r="H337" s="24">
        <v>46094</v>
      </c>
      <c r="I337" s="24">
        <v>46094</v>
      </c>
      <c r="J337" s="23" t="s">
        <v>2800</v>
      </c>
      <c r="K337" s="23" t="s">
        <v>2800</v>
      </c>
      <c r="L337" s="23">
        <v>1</v>
      </c>
      <c r="M337" s="23" t="s">
        <v>78</v>
      </c>
      <c r="N337" s="23" t="s">
        <v>78</v>
      </c>
      <c r="O337" s="23">
        <v>0.01</v>
      </c>
      <c r="P337" s="23" t="s">
        <v>79</v>
      </c>
      <c r="Q337" s="23" t="s">
        <v>83</v>
      </c>
      <c r="R337" s="23">
        <v>11100176</v>
      </c>
      <c r="S337" s="24" t="s">
        <v>80</v>
      </c>
      <c r="T337" s="24">
        <v>46051</v>
      </c>
      <c r="U337" s="24" t="s">
        <v>80</v>
      </c>
      <c r="X337" s="24">
        <v>46051</v>
      </c>
      <c r="Y337" s="23">
        <v>1111</v>
      </c>
      <c r="Z337" s="23">
        <v>11400797</v>
      </c>
      <c r="AA337" s="23">
        <v>3351</v>
      </c>
      <c r="AB337" s="24">
        <v>46049</v>
      </c>
    </row>
    <row r="338" spans="2:28" x14ac:dyDescent="0.2">
      <c r="B338" s="23" t="s">
        <v>81</v>
      </c>
      <c r="C338" s="23">
        <v>1100575435</v>
      </c>
      <c r="H338" s="24">
        <v>46094</v>
      </c>
      <c r="O338" s="23">
        <v>2086.89</v>
      </c>
      <c r="P338" s="23" t="s">
        <v>79</v>
      </c>
    </row>
    <row r="339" spans="2:28" x14ac:dyDescent="0.2">
      <c r="C339" s="23">
        <v>1100575520</v>
      </c>
      <c r="E339" s="23">
        <v>20</v>
      </c>
      <c r="F339" s="23" t="s">
        <v>82</v>
      </c>
      <c r="G339" s="23" t="s">
        <v>139</v>
      </c>
      <c r="H339" s="24">
        <v>46094</v>
      </c>
      <c r="I339" s="24">
        <v>46094</v>
      </c>
      <c r="J339" s="23" t="s">
        <v>708</v>
      </c>
      <c r="K339" s="23" t="s">
        <v>708</v>
      </c>
      <c r="L339" s="23">
        <v>1</v>
      </c>
      <c r="M339" s="23" t="s">
        <v>78</v>
      </c>
      <c r="N339" s="23" t="s">
        <v>78</v>
      </c>
      <c r="O339" s="23">
        <v>0.01</v>
      </c>
      <c r="P339" s="23" t="s">
        <v>79</v>
      </c>
      <c r="Q339" s="23" t="s">
        <v>83</v>
      </c>
      <c r="R339" s="23">
        <v>11100176</v>
      </c>
      <c r="S339" s="24" t="s">
        <v>80</v>
      </c>
      <c r="T339" s="24">
        <v>46052</v>
      </c>
      <c r="U339" s="24">
        <v>46094</v>
      </c>
      <c r="X339" s="24">
        <v>46051</v>
      </c>
      <c r="Y339" s="23">
        <v>1111</v>
      </c>
      <c r="Z339" s="23">
        <v>11400811</v>
      </c>
      <c r="AA339" s="23">
        <v>335103</v>
      </c>
      <c r="AB339" s="24">
        <v>46051</v>
      </c>
    </row>
    <row r="340" spans="2:28" x14ac:dyDescent="0.2">
      <c r="B340" s="23" t="s">
        <v>81</v>
      </c>
      <c r="C340" s="23">
        <v>1100575520</v>
      </c>
      <c r="H340" s="24">
        <v>46094</v>
      </c>
      <c r="O340" s="23">
        <v>0.01</v>
      </c>
      <c r="P340" s="23" t="s">
        <v>79</v>
      </c>
    </row>
    <row r="341" spans="2:28" x14ac:dyDescent="0.2">
      <c r="C341" s="23">
        <v>1100576014</v>
      </c>
      <c r="E341" s="23">
        <v>10</v>
      </c>
      <c r="F341" s="23" t="s">
        <v>124</v>
      </c>
      <c r="G341" s="23" t="s">
        <v>125</v>
      </c>
      <c r="H341" s="24">
        <v>46094</v>
      </c>
      <c r="I341" s="24">
        <v>46094</v>
      </c>
      <c r="J341" s="23" t="s">
        <v>2302</v>
      </c>
      <c r="K341" s="23" t="s">
        <v>2302</v>
      </c>
      <c r="L341" s="23">
        <v>1</v>
      </c>
      <c r="M341" s="23" t="s">
        <v>78</v>
      </c>
      <c r="N341" s="23" t="s">
        <v>78</v>
      </c>
      <c r="O341" s="23">
        <v>1370.83</v>
      </c>
      <c r="P341" s="23" t="s">
        <v>79</v>
      </c>
      <c r="Q341" s="23" t="s">
        <v>83</v>
      </c>
      <c r="R341" s="23">
        <v>11100176</v>
      </c>
      <c r="S341" s="24">
        <v>46087</v>
      </c>
      <c r="T341" s="24">
        <v>46058</v>
      </c>
      <c r="U341" s="24" t="s">
        <v>80</v>
      </c>
      <c r="X341" s="24">
        <v>46056</v>
      </c>
      <c r="Y341" s="23">
        <v>1111</v>
      </c>
      <c r="Z341" s="23">
        <v>11100320</v>
      </c>
      <c r="AA341" s="23">
        <v>5151</v>
      </c>
      <c r="AB341" s="24">
        <v>46057</v>
      </c>
    </row>
    <row r="342" spans="2:28" x14ac:dyDescent="0.2">
      <c r="C342" s="23">
        <v>1100576014</v>
      </c>
      <c r="E342" s="23">
        <v>20</v>
      </c>
      <c r="F342" s="23" t="s">
        <v>82</v>
      </c>
      <c r="G342" s="23" t="s">
        <v>139</v>
      </c>
      <c r="H342" s="24">
        <v>46094</v>
      </c>
      <c r="I342" s="24">
        <v>46094</v>
      </c>
      <c r="J342" s="23" t="s">
        <v>2302</v>
      </c>
      <c r="K342" s="23" t="s">
        <v>2302</v>
      </c>
      <c r="L342" s="23">
        <v>1</v>
      </c>
      <c r="M342" s="23" t="s">
        <v>78</v>
      </c>
      <c r="N342" s="23" t="s">
        <v>78</v>
      </c>
      <c r="O342" s="23">
        <v>0.01</v>
      </c>
      <c r="P342" s="23" t="s">
        <v>79</v>
      </c>
      <c r="Q342" s="23" t="s">
        <v>83</v>
      </c>
      <c r="R342" s="23">
        <v>11100176</v>
      </c>
      <c r="S342" s="24">
        <v>46087</v>
      </c>
      <c r="T342" s="24">
        <v>46058</v>
      </c>
      <c r="U342" s="24" t="s">
        <v>80</v>
      </c>
      <c r="X342" s="24">
        <v>46056</v>
      </c>
      <c r="Y342" s="23">
        <v>1111</v>
      </c>
      <c r="Z342" s="23">
        <v>11100320</v>
      </c>
      <c r="AA342" s="23">
        <v>5151</v>
      </c>
      <c r="AB342" s="24">
        <v>46057</v>
      </c>
    </row>
    <row r="343" spans="2:28" x14ac:dyDescent="0.2">
      <c r="B343" s="23" t="s">
        <v>81</v>
      </c>
      <c r="C343" s="23">
        <v>1100576014</v>
      </c>
      <c r="H343" s="24">
        <v>46094</v>
      </c>
      <c r="O343" s="23">
        <v>1370.84</v>
      </c>
      <c r="P343" s="23" t="s">
        <v>79</v>
      </c>
    </row>
    <row r="344" spans="2:28" x14ac:dyDescent="0.2">
      <c r="C344" s="23">
        <v>1100576117</v>
      </c>
      <c r="E344" s="23">
        <v>10</v>
      </c>
      <c r="F344" s="23" t="s">
        <v>2803</v>
      </c>
      <c r="G344" s="23" t="s">
        <v>2804</v>
      </c>
      <c r="H344" s="24">
        <v>46094</v>
      </c>
      <c r="I344" s="24">
        <v>46094</v>
      </c>
      <c r="J344" s="23" t="s">
        <v>2805</v>
      </c>
      <c r="K344" s="23" t="s">
        <v>2805</v>
      </c>
      <c r="L344" s="23">
        <v>1</v>
      </c>
      <c r="M344" s="23" t="s">
        <v>78</v>
      </c>
      <c r="N344" s="23" t="s">
        <v>78</v>
      </c>
      <c r="O344" s="23">
        <v>5196.79</v>
      </c>
      <c r="P344" s="23" t="s">
        <v>79</v>
      </c>
      <c r="Q344" s="23" t="s">
        <v>83</v>
      </c>
      <c r="R344" s="23">
        <v>11100176</v>
      </c>
      <c r="S344" s="24">
        <v>46094</v>
      </c>
      <c r="T344" s="24">
        <v>46059</v>
      </c>
      <c r="U344" s="24" t="s">
        <v>80</v>
      </c>
      <c r="X344" s="24">
        <v>46055</v>
      </c>
      <c r="Y344" s="23">
        <v>1111</v>
      </c>
      <c r="Z344" s="23">
        <v>11400937</v>
      </c>
      <c r="AA344" s="23">
        <v>335103</v>
      </c>
      <c r="AB344" s="24">
        <v>46058</v>
      </c>
    </row>
    <row r="345" spans="2:28" x14ac:dyDescent="0.2">
      <c r="C345" s="23">
        <v>1100576117</v>
      </c>
      <c r="E345" s="23">
        <v>20</v>
      </c>
      <c r="F345" s="23" t="s">
        <v>82</v>
      </c>
      <c r="G345" s="23" t="s">
        <v>139</v>
      </c>
      <c r="H345" s="24">
        <v>46094</v>
      </c>
      <c r="I345" s="24">
        <v>46094</v>
      </c>
      <c r="J345" s="23" t="s">
        <v>2805</v>
      </c>
      <c r="K345" s="23" t="s">
        <v>2805</v>
      </c>
      <c r="L345" s="23">
        <v>1</v>
      </c>
      <c r="M345" s="23" t="s">
        <v>78</v>
      </c>
      <c r="N345" s="23" t="s">
        <v>78</v>
      </c>
      <c r="O345" s="23">
        <v>0.01</v>
      </c>
      <c r="P345" s="23" t="s">
        <v>79</v>
      </c>
      <c r="Q345" s="23" t="s">
        <v>83</v>
      </c>
      <c r="R345" s="23">
        <v>11100176</v>
      </c>
      <c r="S345" s="24" t="s">
        <v>80</v>
      </c>
      <c r="T345" s="24">
        <v>46059</v>
      </c>
      <c r="U345" s="24" t="s">
        <v>80</v>
      </c>
      <c r="X345" s="24">
        <v>46055</v>
      </c>
      <c r="Y345" s="23">
        <v>1111</v>
      </c>
      <c r="Z345" s="23">
        <v>11400937</v>
      </c>
      <c r="AA345" s="23">
        <v>335103</v>
      </c>
      <c r="AB345" s="24">
        <v>46058</v>
      </c>
    </row>
    <row r="346" spans="2:28" x14ac:dyDescent="0.2">
      <c r="B346" s="23" t="s">
        <v>81</v>
      </c>
      <c r="C346" s="23">
        <v>1100576117</v>
      </c>
      <c r="H346" s="24">
        <v>46094</v>
      </c>
      <c r="O346" s="23">
        <v>5196.8</v>
      </c>
      <c r="P346" s="23" t="s">
        <v>79</v>
      </c>
    </row>
    <row r="347" spans="2:28" x14ac:dyDescent="0.2">
      <c r="C347" s="23">
        <v>1100576745</v>
      </c>
      <c r="E347" s="23">
        <v>30</v>
      </c>
      <c r="F347" s="23" t="s">
        <v>124</v>
      </c>
      <c r="G347" s="23" t="s">
        <v>125</v>
      </c>
      <c r="H347" s="24">
        <v>46094</v>
      </c>
      <c r="I347" s="24">
        <v>46094</v>
      </c>
      <c r="J347" s="23" t="s">
        <v>386</v>
      </c>
      <c r="K347" s="23" t="s">
        <v>386</v>
      </c>
      <c r="L347" s="23">
        <v>2</v>
      </c>
      <c r="M347" s="23" t="s">
        <v>78</v>
      </c>
      <c r="N347" s="23" t="s">
        <v>78</v>
      </c>
      <c r="O347" s="23">
        <v>2741.66</v>
      </c>
      <c r="P347" s="23" t="s">
        <v>79</v>
      </c>
      <c r="Q347" s="23" t="s">
        <v>83</v>
      </c>
      <c r="R347" s="23">
        <v>11100176</v>
      </c>
      <c r="S347" s="24" t="s">
        <v>80</v>
      </c>
      <c r="T347" s="24">
        <v>46066</v>
      </c>
      <c r="U347" s="24">
        <v>47116</v>
      </c>
      <c r="X347" s="24">
        <v>46065</v>
      </c>
      <c r="Y347" s="23">
        <v>1111</v>
      </c>
      <c r="Z347" s="23">
        <v>11100137</v>
      </c>
      <c r="AA347" s="23">
        <v>5051</v>
      </c>
      <c r="AB347" s="24">
        <v>46063</v>
      </c>
    </row>
    <row r="348" spans="2:28" x14ac:dyDescent="0.2">
      <c r="B348" s="23" t="s">
        <v>81</v>
      </c>
      <c r="C348" s="23">
        <v>1100576745</v>
      </c>
      <c r="H348" s="24">
        <v>46094</v>
      </c>
      <c r="O348" s="23">
        <v>2741.66</v>
      </c>
      <c r="P348" s="23" t="s">
        <v>79</v>
      </c>
    </row>
    <row r="349" spans="2:28" x14ac:dyDescent="0.2">
      <c r="C349" s="23">
        <v>1100577010</v>
      </c>
      <c r="E349" s="23">
        <v>10</v>
      </c>
      <c r="F349" s="23" t="s">
        <v>124</v>
      </c>
      <c r="G349" s="23" t="s">
        <v>125</v>
      </c>
      <c r="H349" s="24">
        <v>46094</v>
      </c>
      <c r="I349" s="24">
        <v>46094</v>
      </c>
      <c r="J349" s="23" t="s">
        <v>650</v>
      </c>
      <c r="K349" s="23" t="s">
        <v>650</v>
      </c>
      <c r="L349" s="23">
        <v>1</v>
      </c>
      <c r="M349" s="23" t="s">
        <v>78</v>
      </c>
      <c r="N349" s="23" t="s">
        <v>78</v>
      </c>
      <c r="O349" s="23">
        <v>1370.83</v>
      </c>
      <c r="P349" s="23" t="s">
        <v>79</v>
      </c>
      <c r="Q349" s="23" t="s">
        <v>83</v>
      </c>
      <c r="R349" s="23">
        <v>11100176</v>
      </c>
      <c r="S349" s="24">
        <v>46091</v>
      </c>
      <c r="T349" s="24">
        <v>46070</v>
      </c>
      <c r="U349" s="24" t="s">
        <v>80</v>
      </c>
      <c r="X349" s="24">
        <v>46064</v>
      </c>
      <c r="Y349" s="23">
        <v>1111</v>
      </c>
      <c r="Z349" s="23">
        <v>11400895</v>
      </c>
      <c r="AA349" s="23">
        <v>5251</v>
      </c>
      <c r="AB349" s="24">
        <v>46065</v>
      </c>
    </row>
    <row r="350" spans="2:28" x14ac:dyDescent="0.2">
      <c r="C350" s="23">
        <v>1100577010</v>
      </c>
      <c r="E350" s="23">
        <v>20</v>
      </c>
      <c r="F350" s="23" t="s">
        <v>82</v>
      </c>
      <c r="G350" s="23" t="s">
        <v>139</v>
      </c>
      <c r="H350" s="24">
        <v>46094</v>
      </c>
      <c r="I350" s="24">
        <v>46094</v>
      </c>
      <c r="J350" s="23" t="s">
        <v>650</v>
      </c>
      <c r="K350" s="23" t="s">
        <v>650</v>
      </c>
      <c r="L350" s="23">
        <v>1</v>
      </c>
      <c r="M350" s="23" t="s">
        <v>78</v>
      </c>
      <c r="N350" s="23" t="s">
        <v>78</v>
      </c>
      <c r="O350" s="23">
        <v>0.01</v>
      </c>
      <c r="P350" s="23" t="s">
        <v>79</v>
      </c>
      <c r="Q350" s="23" t="s">
        <v>83</v>
      </c>
      <c r="R350" s="23">
        <v>11100176</v>
      </c>
      <c r="S350" s="24" t="s">
        <v>80</v>
      </c>
      <c r="T350" s="24">
        <v>46070</v>
      </c>
      <c r="U350" s="24" t="s">
        <v>80</v>
      </c>
      <c r="X350" s="24">
        <v>46064</v>
      </c>
      <c r="Y350" s="23">
        <v>1111</v>
      </c>
      <c r="Z350" s="23">
        <v>11400895</v>
      </c>
      <c r="AA350" s="23">
        <v>5251</v>
      </c>
      <c r="AB350" s="24">
        <v>46065</v>
      </c>
    </row>
    <row r="351" spans="2:28" x14ac:dyDescent="0.2">
      <c r="B351" s="23" t="s">
        <v>81</v>
      </c>
      <c r="C351" s="23">
        <v>1100577010</v>
      </c>
      <c r="H351" s="24">
        <v>46094</v>
      </c>
      <c r="O351" s="23">
        <v>1370.84</v>
      </c>
      <c r="P351" s="23" t="s">
        <v>79</v>
      </c>
    </row>
    <row r="352" spans="2:28" x14ac:dyDescent="0.2">
      <c r="C352" s="23">
        <v>1100577484</v>
      </c>
      <c r="E352" s="23">
        <v>120</v>
      </c>
      <c r="F352" s="23" t="s">
        <v>1098</v>
      </c>
      <c r="G352" s="23" t="s">
        <v>1099</v>
      </c>
      <c r="H352" s="24">
        <v>46094</v>
      </c>
      <c r="I352" s="24">
        <v>46094</v>
      </c>
      <c r="J352" s="23" t="s">
        <v>1401</v>
      </c>
      <c r="K352" s="23" t="s">
        <v>1401</v>
      </c>
      <c r="L352" s="23">
        <v>1</v>
      </c>
      <c r="M352" s="23" t="s">
        <v>78</v>
      </c>
      <c r="N352" s="23" t="s">
        <v>78</v>
      </c>
      <c r="O352" s="23">
        <v>96.23</v>
      </c>
      <c r="P352" s="23" t="s">
        <v>79</v>
      </c>
      <c r="Q352" s="23" t="s">
        <v>83</v>
      </c>
      <c r="R352" s="23">
        <v>11100176</v>
      </c>
      <c r="S352" s="24">
        <v>46080</v>
      </c>
      <c r="T352" s="24">
        <v>46074</v>
      </c>
      <c r="U352" s="24">
        <v>47116</v>
      </c>
      <c r="X352" s="24">
        <v>46070</v>
      </c>
      <c r="Y352" s="23">
        <v>1111</v>
      </c>
      <c r="Z352" s="23">
        <v>11100137</v>
      </c>
      <c r="AA352" s="23">
        <v>3351</v>
      </c>
      <c r="AB352" s="24">
        <v>46070</v>
      </c>
    </row>
    <row r="353" spans="2:28" x14ac:dyDescent="0.2">
      <c r="B353" s="23" t="s">
        <v>81</v>
      </c>
      <c r="C353" s="23">
        <v>1100577484</v>
      </c>
      <c r="H353" s="24">
        <v>46094</v>
      </c>
      <c r="O353" s="23">
        <v>96.23</v>
      </c>
      <c r="P353" s="23" t="s">
        <v>79</v>
      </c>
    </row>
    <row r="354" spans="2:28" x14ac:dyDescent="0.2">
      <c r="C354" s="23">
        <v>1100570366</v>
      </c>
      <c r="E354" s="23">
        <v>20</v>
      </c>
      <c r="F354" s="23" t="s">
        <v>1824</v>
      </c>
      <c r="G354" s="23" t="s">
        <v>1825</v>
      </c>
      <c r="H354" s="24">
        <v>46096</v>
      </c>
      <c r="I354" s="24">
        <v>46096</v>
      </c>
      <c r="J354" s="23" t="s">
        <v>98</v>
      </c>
      <c r="K354" s="23" t="s">
        <v>98</v>
      </c>
      <c r="L354" s="23">
        <v>9</v>
      </c>
      <c r="M354" s="23" t="s">
        <v>78</v>
      </c>
      <c r="N354" s="23" t="s">
        <v>78</v>
      </c>
      <c r="O354" s="23">
        <v>6696</v>
      </c>
      <c r="P354" s="23" t="s">
        <v>79</v>
      </c>
      <c r="Q354" s="23" t="s">
        <v>83</v>
      </c>
      <c r="R354" s="23">
        <v>11100176</v>
      </c>
      <c r="S354" s="24">
        <v>46080</v>
      </c>
      <c r="T354" s="24">
        <v>45994</v>
      </c>
      <c r="U354" s="24">
        <v>47116</v>
      </c>
      <c r="X354" s="24">
        <v>45982</v>
      </c>
      <c r="Y354" s="23">
        <v>1111</v>
      </c>
      <c r="Z354" s="23">
        <v>11600003</v>
      </c>
      <c r="AA354" s="23">
        <v>3151</v>
      </c>
      <c r="AB354" s="24">
        <v>45992</v>
      </c>
    </row>
    <row r="355" spans="2:28" x14ac:dyDescent="0.2">
      <c r="B355" s="23" t="s">
        <v>81</v>
      </c>
      <c r="C355" s="23">
        <v>1100570366</v>
      </c>
      <c r="H355" s="24">
        <v>46096</v>
      </c>
      <c r="O355" s="23">
        <v>6696</v>
      </c>
      <c r="P355" s="23" t="s">
        <v>79</v>
      </c>
    </row>
    <row r="356" spans="2:28" x14ac:dyDescent="0.2">
      <c r="C356" s="23">
        <v>1100576433</v>
      </c>
      <c r="E356" s="23">
        <v>10</v>
      </c>
      <c r="F356" s="23" t="s">
        <v>1895</v>
      </c>
      <c r="G356" s="23" t="s">
        <v>1896</v>
      </c>
      <c r="H356" s="24">
        <v>46096</v>
      </c>
      <c r="I356" s="24">
        <v>46096</v>
      </c>
      <c r="J356" s="23" t="s">
        <v>381</v>
      </c>
      <c r="K356" s="23" t="s">
        <v>381</v>
      </c>
      <c r="L356" s="23">
        <v>4</v>
      </c>
      <c r="M356" s="23" t="s">
        <v>78</v>
      </c>
      <c r="N356" s="23" t="s">
        <v>78</v>
      </c>
      <c r="O356" s="23">
        <v>10084.56</v>
      </c>
      <c r="P356" s="23" t="s">
        <v>79</v>
      </c>
      <c r="Q356" s="23" t="s">
        <v>83</v>
      </c>
      <c r="R356" s="23">
        <v>11100176</v>
      </c>
      <c r="S356" s="24">
        <v>46084</v>
      </c>
      <c r="T356" s="24">
        <v>46063</v>
      </c>
      <c r="U356" s="24" t="s">
        <v>80</v>
      </c>
      <c r="X356" s="24">
        <v>46057</v>
      </c>
      <c r="Y356" s="23">
        <v>1111</v>
      </c>
      <c r="Z356" s="23">
        <v>11600003</v>
      </c>
      <c r="AA356" s="23">
        <v>5051</v>
      </c>
      <c r="AB356" s="24">
        <v>46059</v>
      </c>
    </row>
    <row r="357" spans="2:28" x14ac:dyDescent="0.2">
      <c r="C357" s="23">
        <v>1100576433</v>
      </c>
      <c r="E357" s="23">
        <v>20</v>
      </c>
      <c r="F357" s="23" t="s">
        <v>82</v>
      </c>
      <c r="G357" s="23" t="s">
        <v>139</v>
      </c>
      <c r="H357" s="24">
        <v>46096</v>
      </c>
      <c r="I357" s="24">
        <v>46096</v>
      </c>
      <c r="J357" s="23" t="s">
        <v>381</v>
      </c>
      <c r="K357" s="23" t="s">
        <v>381</v>
      </c>
      <c r="L357" s="23">
        <v>1</v>
      </c>
      <c r="M357" s="23" t="s">
        <v>78</v>
      </c>
      <c r="N357" s="23" t="s">
        <v>78</v>
      </c>
      <c r="O357" s="23">
        <v>0.01</v>
      </c>
      <c r="P357" s="23" t="s">
        <v>79</v>
      </c>
      <c r="Q357" s="23" t="s">
        <v>83</v>
      </c>
      <c r="R357" s="23">
        <v>11100176</v>
      </c>
      <c r="S357" s="24">
        <v>46084</v>
      </c>
      <c r="T357" s="24">
        <v>46063</v>
      </c>
      <c r="U357" s="24" t="s">
        <v>80</v>
      </c>
      <c r="X357" s="24">
        <v>46057</v>
      </c>
      <c r="Y357" s="23">
        <v>1111</v>
      </c>
      <c r="Z357" s="23">
        <v>11600003</v>
      </c>
      <c r="AA357" s="23">
        <v>5051</v>
      </c>
      <c r="AB357" s="24">
        <v>46059</v>
      </c>
    </row>
    <row r="358" spans="2:28" x14ac:dyDescent="0.2">
      <c r="B358" s="23" t="s">
        <v>81</v>
      </c>
      <c r="C358" s="23">
        <v>1100576433</v>
      </c>
      <c r="H358" s="24">
        <v>46096</v>
      </c>
      <c r="O358" s="23">
        <v>10084.57</v>
      </c>
      <c r="P358" s="23" t="s">
        <v>79</v>
      </c>
    </row>
    <row r="359" spans="2:28" x14ac:dyDescent="0.2">
      <c r="C359" s="23">
        <v>1100555200</v>
      </c>
      <c r="E359" s="23">
        <v>10</v>
      </c>
      <c r="F359" s="23" t="s">
        <v>2807</v>
      </c>
      <c r="G359" s="23" t="s">
        <v>2808</v>
      </c>
      <c r="H359" s="24">
        <v>46097</v>
      </c>
      <c r="I359" s="24">
        <v>46097</v>
      </c>
      <c r="J359" s="23" t="s">
        <v>279</v>
      </c>
      <c r="K359" s="23" t="s">
        <v>279</v>
      </c>
      <c r="L359" s="23">
        <v>5</v>
      </c>
      <c r="M359" s="23" t="s">
        <v>78</v>
      </c>
      <c r="N359" s="23" t="s">
        <v>78</v>
      </c>
      <c r="O359" s="23">
        <v>1912.5</v>
      </c>
      <c r="P359" s="23" t="s">
        <v>79</v>
      </c>
      <c r="Q359" s="23" t="s">
        <v>119</v>
      </c>
      <c r="R359" s="23">
        <v>11100189</v>
      </c>
      <c r="S359" s="24">
        <v>45866</v>
      </c>
      <c r="T359" s="24">
        <v>45838</v>
      </c>
      <c r="U359" s="24">
        <v>46752</v>
      </c>
      <c r="X359" s="24">
        <v>45838</v>
      </c>
      <c r="Y359" s="23">
        <v>1111</v>
      </c>
      <c r="Z359" s="23">
        <v>11400742</v>
      </c>
      <c r="AA359" s="23">
        <v>5051</v>
      </c>
      <c r="AB359" s="24">
        <v>45833</v>
      </c>
    </row>
    <row r="360" spans="2:28" x14ac:dyDescent="0.2">
      <c r="B360" s="23" t="s">
        <v>81</v>
      </c>
      <c r="C360" s="23">
        <v>1100555200</v>
      </c>
      <c r="H360" s="24">
        <v>46097</v>
      </c>
      <c r="O360" s="23">
        <v>1912.5</v>
      </c>
      <c r="P360" s="23" t="s">
        <v>79</v>
      </c>
    </row>
    <row r="361" spans="2:28" x14ac:dyDescent="0.2">
      <c r="C361" s="23">
        <v>1100556327</v>
      </c>
      <c r="E361" s="23">
        <v>10</v>
      </c>
      <c r="F361" s="23" t="s">
        <v>1072</v>
      </c>
      <c r="G361" s="23" t="s">
        <v>1073</v>
      </c>
      <c r="H361" s="24">
        <v>46097</v>
      </c>
      <c r="I361" s="24">
        <v>46097</v>
      </c>
      <c r="J361" s="23" t="s">
        <v>414</v>
      </c>
      <c r="K361" s="23" t="s">
        <v>414</v>
      </c>
      <c r="L361" s="23">
        <v>8</v>
      </c>
      <c r="M361" s="23" t="s">
        <v>78</v>
      </c>
      <c r="N361" s="23" t="s">
        <v>78</v>
      </c>
      <c r="O361" s="23">
        <v>8983.76</v>
      </c>
      <c r="P361" s="23" t="s">
        <v>79</v>
      </c>
      <c r="Q361" s="23" t="s">
        <v>83</v>
      </c>
      <c r="R361" s="23">
        <v>11100008</v>
      </c>
      <c r="S361" s="24">
        <v>45887</v>
      </c>
      <c r="T361" s="24">
        <v>45852</v>
      </c>
      <c r="U361" s="24">
        <v>45971</v>
      </c>
      <c r="X361" s="24">
        <v>45846</v>
      </c>
      <c r="Y361" s="23">
        <v>1111</v>
      </c>
      <c r="Z361" s="23">
        <v>11400704</v>
      </c>
      <c r="AA361" s="23">
        <v>5151</v>
      </c>
      <c r="AB361" s="24">
        <v>45832</v>
      </c>
    </row>
    <row r="362" spans="2:28" x14ac:dyDescent="0.2">
      <c r="B362" s="23" t="s">
        <v>81</v>
      </c>
      <c r="C362" s="23">
        <v>1100556327</v>
      </c>
      <c r="H362" s="24">
        <v>46097</v>
      </c>
      <c r="O362" s="23">
        <v>8983.76</v>
      </c>
      <c r="P362" s="23" t="s">
        <v>79</v>
      </c>
    </row>
    <row r="363" spans="2:28" x14ac:dyDescent="0.2">
      <c r="C363" s="23">
        <v>1100560972</v>
      </c>
      <c r="E363" s="23">
        <v>10</v>
      </c>
      <c r="F363" s="23" t="s">
        <v>1725</v>
      </c>
      <c r="G363" s="23" t="s">
        <v>1726</v>
      </c>
      <c r="H363" s="24">
        <v>46097</v>
      </c>
      <c r="I363" s="24">
        <v>46097</v>
      </c>
      <c r="J363" s="23" t="s">
        <v>1879</v>
      </c>
      <c r="K363" s="23" t="s">
        <v>1879</v>
      </c>
      <c r="L363" s="23">
        <v>3</v>
      </c>
      <c r="M363" s="23" t="s">
        <v>78</v>
      </c>
      <c r="N363" s="23" t="s">
        <v>78</v>
      </c>
      <c r="O363" s="23">
        <v>3092.04</v>
      </c>
      <c r="P363" s="23" t="s">
        <v>79</v>
      </c>
      <c r="Q363" s="23" t="s">
        <v>83</v>
      </c>
      <c r="R363" s="23">
        <v>11100008</v>
      </c>
      <c r="S363" s="24">
        <v>45930</v>
      </c>
      <c r="T363" s="24">
        <v>45896</v>
      </c>
      <c r="U363" s="24" t="s">
        <v>80</v>
      </c>
      <c r="X363" s="24">
        <v>45894</v>
      </c>
      <c r="Y363" s="23">
        <v>1111</v>
      </c>
      <c r="Z363" s="23">
        <v>11400811</v>
      </c>
      <c r="AA363" s="23">
        <v>5151</v>
      </c>
      <c r="AB363" s="24">
        <v>45856</v>
      </c>
    </row>
    <row r="364" spans="2:28" x14ac:dyDescent="0.2">
      <c r="C364" s="23">
        <v>1100560972</v>
      </c>
      <c r="E364" s="23">
        <v>20</v>
      </c>
      <c r="F364" s="23" t="s">
        <v>82</v>
      </c>
      <c r="G364" s="23" t="s">
        <v>139</v>
      </c>
      <c r="H364" s="24">
        <v>46097</v>
      </c>
      <c r="I364" s="24">
        <v>46097</v>
      </c>
      <c r="J364" s="23" t="s">
        <v>1879</v>
      </c>
      <c r="K364" s="23" t="s">
        <v>1879</v>
      </c>
      <c r="L364" s="23">
        <v>1</v>
      </c>
      <c r="M364" s="23" t="s">
        <v>78</v>
      </c>
      <c r="N364" s="23" t="s">
        <v>78</v>
      </c>
      <c r="O364" s="23">
        <v>0.01</v>
      </c>
      <c r="P364" s="23" t="s">
        <v>79</v>
      </c>
      <c r="Q364" s="23" t="s">
        <v>83</v>
      </c>
      <c r="R364" s="23">
        <v>11100008</v>
      </c>
      <c r="S364" s="24" t="s">
        <v>80</v>
      </c>
      <c r="T364" s="24">
        <v>45896</v>
      </c>
      <c r="U364" s="24" t="s">
        <v>80</v>
      </c>
      <c r="X364" s="24">
        <v>45894</v>
      </c>
      <c r="Y364" s="23">
        <v>1111</v>
      </c>
      <c r="Z364" s="23">
        <v>11400811</v>
      </c>
      <c r="AA364" s="23">
        <v>5151</v>
      </c>
      <c r="AB364" s="24">
        <v>45856</v>
      </c>
    </row>
    <row r="365" spans="2:28" x14ac:dyDescent="0.2">
      <c r="B365" s="23" t="s">
        <v>81</v>
      </c>
      <c r="C365" s="23">
        <v>1100560972</v>
      </c>
      <c r="H365" s="24">
        <v>46097</v>
      </c>
      <c r="O365" s="23">
        <v>3092.05</v>
      </c>
      <c r="P365" s="23" t="s">
        <v>79</v>
      </c>
    </row>
    <row r="366" spans="2:28" x14ac:dyDescent="0.2">
      <c r="C366" s="23">
        <v>1100569927</v>
      </c>
      <c r="E366" s="23">
        <v>10</v>
      </c>
      <c r="F366" s="23" t="s">
        <v>942</v>
      </c>
      <c r="G366" s="23" t="s">
        <v>943</v>
      </c>
      <c r="H366" s="24">
        <v>46097</v>
      </c>
      <c r="I366" s="24">
        <v>46097</v>
      </c>
      <c r="J366" s="23" t="s">
        <v>935</v>
      </c>
      <c r="K366" s="23" t="s">
        <v>935</v>
      </c>
      <c r="L366" s="23">
        <v>21</v>
      </c>
      <c r="M366" s="23" t="s">
        <v>78</v>
      </c>
      <c r="N366" s="23" t="s">
        <v>78</v>
      </c>
      <c r="O366" s="23">
        <v>4996.74</v>
      </c>
      <c r="P366" s="23" t="s">
        <v>79</v>
      </c>
      <c r="Q366" s="23" t="s">
        <v>83</v>
      </c>
      <c r="R366" s="23">
        <v>11100018</v>
      </c>
      <c r="S366" s="24">
        <v>46052</v>
      </c>
      <c r="T366" s="24">
        <v>45986</v>
      </c>
      <c r="U366" s="24" t="s">
        <v>80</v>
      </c>
      <c r="X366" s="24">
        <v>45981</v>
      </c>
      <c r="Y366" s="23">
        <v>1111</v>
      </c>
      <c r="Z366" s="23">
        <v>11400704</v>
      </c>
      <c r="AA366" s="23">
        <v>505103</v>
      </c>
      <c r="AB366" s="24">
        <v>45980</v>
      </c>
    </row>
    <row r="367" spans="2:28" x14ac:dyDescent="0.2">
      <c r="C367" s="23">
        <v>1100569927</v>
      </c>
      <c r="E367" s="23">
        <v>20</v>
      </c>
      <c r="F367" s="23" t="s">
        <v>297</v>
      </c>
      <c r="G367" s="23" t="s">
        <v>298</v>
      </c>
      <c r="H367" s="24">
        <v>46097</v>
      </c>
      <c r="I367" s="24">
        <v>46097</v>
      </c>
      <c r="J367" s="23" t="s">
        <v>935</v>
      </c>
      <c r="K367" s="23" t="s">
        <v>935</v>
      </c>
      <c r="L367" s="23">
        <v>1</v>
      </c>
      <c r="M367" s="23" t="s">
        <v>78</v>
      </c>
      <c r="N367" s="23" t="s">
        <v>78</v>
      </c>
      <c r="O367" s="23">
        <v>0.01</v>
      </c>
      <c r="P367" s="23" t="s">
        <v>79</v>
      </c>
      <c r="Q367" s="23" t="s">
        <v>83</v>
      </c>
      <c r="R367" s="23">
        <v>11100018</v>
      </c>
      <c r="S367" s="24" t="s">
        <v>80</v>
      </c>
      <c r="T367" s="24">
        <v>45986</v>
      </c>
      <c r="U367" s="24" t="s">
        <v>80</v>
      </c>
      <c r="X367" s="24">
        <v>45981</v>
      </c>
      <c r="Y367" s="23">
        <v>1111</v>
      </c>
      <c r="Z367" s="23">
        <v>11400704</v>
      </c>
      <c r="AA367" s="23">
        <v>505103</v>
      </c>
      <c r="AB367" s="24">
        <v>45980</v>
      </c>
    </row>
    <row r="368" spans="2:28" x14ac:dyDescent="0.2">
      <c r="B368" s="23" t="s">
        <v>81</v>
      </c>
      <c r="C368" s="23">
        <v>1100569927</v>
      </c>
      <c r="H368" s="24">
        <v>46097</v>
      </c>
      <c r="O368" s="23">
        <v>4996.75</v>
      </c>
      <c r="P368" s="23" t="s">
        <v>79</v>
      </c>
    </row>
    <row r="369" spans="2:28" x14ac:dyDescent="0.2">
      <c r="C369" s="23">
        <v>1100571000</v>
      </c>
      <c r="E369" s="23">
        <v>10</v>
      </c>
      <c r="F369" s="23" t="s">
        <v>1978</v>
      </c>
      <c r="G369" s="23" t="s">
        <v>1979</v>
      </c>
      <c r="H369" s="24">
        <v>46097</v>
      </c>
      <c r="I369" s="24">
        <v>46097</v>
      </c>
      <c r="J369" s="23" t="s">
        <v>1980</v>
      </c>
      <c r="K369" s="23" t="s">
        <v>1980</v>
      </c>
      <c r="L369" s="23">
        <v>2</v>
      </c>
      <c r="M369" s="23" t="s">
        <v>78</v>
      </c>
      <c r="N369" s="23" t="s">
        <v>78</v>
      </c>
      <c r="O369" s="23">
        <v>848.2</v>
      </c>
      <c r="P369" s="23" t="s">
        <v>79</v>
      </c>
      <c r="Q369" s="23" t="s">
        <v>83</v>
      </c>
      <c r="R369" s="23">
        <v>11100176</v>
      </c>
      <c r="S369" s="24">
        <v>46059</v>
      </c>
      <c r="T369" s="24">
        <v>46001</v>
      </c>
      <c r="U369" s="24" t="s">
        <v>80</v>
      </c>
      <c r="X369" s="24">
        <v>45992</v>
      </c>
      <c r="Y369" s="23">
        <v>1111</v>
      </c>
      <c r="Z369" s="23">
        <v>11400937</v>
      </c>
      <c r="AA369" s="23">
        <v>395103</v>
      </c>
      <c r="AB369" s="24">
        <v>45979</v>
      </c>
    </row>
    <row r="370" spans="2:28" x14ac:dyDescent="0.2">
      <c r="B370" s="23" t="s">
        <v>81</v>
      </c>
      <c r="C370" s="23">
        <v>1100571000</v>
      </c>
      <c r="H370" s="24">
        <v>46097</v>
      </c>
      <c r="O370" s="23">
        <v>848.2</v>
      </c>
      <c r="P370" s="23" t="s">
        <v>79</v>
      </c>
    </row>
    <row r="371" spans="2:28" x14ac:dyDescent="0.2">
      <c r="C371" s="23">
        <v>1100571977</v>
      </c>
      <c r="E371" s="23">
        <v>10</v>
      </c>
      <c r="F371" s="23" t="s">
        <v>2809</v>
      </c>
      <c r="G371" s="23" t="s">
        <v>2810</v>
      </c>
      <c r="H371" s="24">
        <v>46097</v>
      </c>
      <c r="I371" s="24">
        <v>46097</v>
      </c>
      <c r="J371" s="23" t="s">
        <v>802</v>
      </c>
      <c r="K371" s="23" t="s">
        <v>802</v>
      </c>
      <c r="L371" s="23">
        <v>1</v>
      </c>
      <c r="M371" s="23" t="s">
        <v>78</v>
      </c>
      <c r="N371" s="23" t="s">
        <v>78</v>
      </c>
      <c r="O371" s="23">
        <v>9625</v>
      </c>
      <c r="P371" s="23" t="s">
        <v>79</v>
      </c>
      <c r="Q371" s="23" t="s">
        <v>83</v>
      </c>
      <c r="R371" s="23">
        <v>11100018</v>
      </c>
      <c r="S371" s="24">
        <v>46072</v>
      </c>
      <c r="T371" s="24">
        <v>46009</v>
      </c>
      <c r="U371" s="24" t="s">
        <v>80</v>
      </c>
      <c r="X371" s="24">
        <v>46008</v>
      </c>
      <c r="Y371" s="23">
        <v>1111</v>
      </c>
      <c r="Z371" s="23">
        <v>11400742</v>
      </c>
      <c r="AA371" s="23">
        <v>395103</v>
      </c>
      <c r="AB371" s="24">
        <v>45995</v>
      </c>
    </row>
    <row r="372" spans="2:28" x14ac:dyDescent="0.2">
      <c r="C372" s="23">
        <v>1100571977</v>
      </c>
      <c r="E372" s="23">
        <v>20</v>
      </c>
      <c r="F372" s="23" t="s">
        <v>536</v>
      </c>
      <c r="G372" s="23" t="s">
        <v>537</v>
      </c>
      <c r="H372" s="24">
        <v>46097</v>
      </c>
      <c r="I372" s="24">
        <v>46097</v>
      </c>
      <c r="J372" s="23" t="s">
        <v>802</v>
      </c>
      <c r="K372" s="23" t="s">
        <v>802</v>
      </c>
      <c r="L372" s="23">
        <v>1</v>
      </c>
      <c r="M372" s="23" t="s">
        <v>78</v>
      </c>
      <c r="N372" s="23" t="s">
        <v>78</v>
      </c>
      <c r="O372" s="23">
        <v>5586.67</v>
      </c>
      <c r="P372" s="23" t="s">
        <v>79</v>
      </c>
      <c r="Q372" s="23" t="s">
        <v>83</v>
      </c>
      <c r="R372" s="23">
        <v>11100018</v>
      </c>
      <c r="S372" s="24">
        <v>46072</v>
      </c>
      <c r="T372" s="24">
        <v>46009</v>
      </c>
      <c r="U372" s="24" t="s">
        <v>80</v>
      </c>
      <c r="X372" s="24">
        <v>46008</v>
      </c>
      <c r="Y372" s="23">
        <v>1111</v>
      </c>
      <c r="Z372" s="23">
        <v>11400742</v>
      </c>
      <c r="AA372" s="23">
        <v>395103</v>
      </c>
      <c r="AB372" s="24">
        <v>45995</v>
      </c>
    </row>
    <row r="373" spans="2:28" x14ac:dyDescent="0.2">
      <c r="C373" s="23">
        <v>1100571977</v>
      </c>
      <c r="E373" s="23">
        <v>30</v>
      </c>
      <c r="F373" s="23" t="s">
        <v>84</v>
      </c>
      <c r="G373" s="23" t="s">
        <v>123</v>
      </c>
      <c r="H373" s="24">
        <v>46097</v>
      </c>
      <c r="I373" s="24">
        <v>46097</v>
      </c>
      <c r="J373" s="23" t="s">
        <v>802</v>
      </c>
      <c r="K373" s="23" t="s">
        <v>802</v>
      </c>
      <c r="L373" s="23">
        <v>1</v>
      </c>
      <c r="M373" s="23" t="s">
        <v>78</v>
      </c>
      <c r="N373" s="23" t="s">
        <v>78</v>
      </c>
      <c r="O373" s="23">
        <v>0.01</v>
      </c>
      <c r="P373" s="23" t="s">
        <v>79</v>
      </c>
      <c r="Q373" s="23" t="s">
        <v>83</v>
      </c>
      <c r="R373" s="23">
        <v>11100018</v>
      </c>
      <c r="S373" s="24">
        <v>46072</v>
      </c>
      <c r="T373" s="24">
        <v>46009</v>
      </c>
      <c r="U373" s="24" t="s">
        <v>80</v>
      </c>
      <c r="X373" s="24">
        <v>46008</v>
      </c>
      <c r="Y373" s="23">
        <v>1111</v>
      </c>
      <c r="Z373" s="23">
        <v>11400742</v>
      </c>
      <c r="AA373" s="23">
        <v>395103</v>
      </c>
      <c r="AB373" s="24">
        <v>45995</v>
      </c>
    </row>
    <row r="374" spans="2:28" x14ac:dyDescent="0.2">
      <c r="C374" s="23">
        <v>1100571977</v>
      </c>
      <c r="E374" s="23">
        <v>40</v>
      </c>
      <c r="F374" s="23" t="s">
        <v>82</v>
      </c>
      <c r="G374" s="23" t="s">
        <v>139</v>
      </c>
      <c r="H374" s="24">
        <v>46097</v>
      </c>
      <c r="I374" s="24">
        <v>46097</v>
      </c>
      <c r="J374" s="23" t="s">
        <v>802</v>
      </c>
      <c r="K374" s="23" t="s">
        <v>802</v>
      </c>
      <c r="L374" s="23">
        <v>1</v>
      </c>
      <c r="M374" s="23" t="s">
        <v>78</v>
      </c>
      <c r="N374" s="23" t="s">
        <v>78</v>
      </c>
      <c r="O374" s="23">
        <v>0.01</v>
      </c>
      <c r="P374" s="23" t="s">
        <v>79</v>
      </c>
      <c r="Q374" s="23" t="s">
        <v>83</v>
      </c>
      <c r="R374" s="23">
        <v>11100018</v>
      </c>
      <c r="S374" s="24" t="s">
        <v>80</v>
      </c>
      <c r="T374" s="24">
        <v>46009</v>
      </c>
      <c r="U374" s="24" t="s">
        <v>80</v>
      </c>
      <c r="X374" s="24">
        <v>46008</v>
      </c>
      <c r="Y374" s="23">
        <v>1111</v>
      </c>
      <c r="Z374" s="23">
        <v>11400742</v>
      </c>
      <c r="AA374" s="23">
        <v>395103</v>
      </c>
      <c r="AB374" s="24">
        <v>45995</v>
      </c>
    </row>
    <row r="375" spans="2:28" x14ac:dyDescent="0.2">
      <c r="B375" s="23" t="s">
        <v>81</v>
      </c>
      <c r="C375" s="23">
        <v>1100571977</v>
      </c>
      <c r="H375" s="24">
        <v>46097</v>
      </c>
      <c r="O375" s="23">
        <v>15211.69</v>
      </c>
      <c r="P375" s="23" t="s">
        <v>79</v>
      </c>
    </row>
    <row r="376" spans="2:28" x14ac:dyDescent="0.2">
      <c r="C376" s="23">
        <v>1100572545</v>
      </c>
      <c r="E376" s="23">
        <v>10</v>
      </c>
      <c r="F376" s="23" t="s">
        <v>2154</v>
      </c>
      <c r="G376" s="23" t="s">
        <v>2155</v>
      </c>
      <c r="H376" s="24">
        <v>46097</v>
      </c>
      <c r="I376" s="24">
        <v>46097</v>
      </c>
      <c r="J376" s="23" t="s">
        <v>1932</v>
      </c>
      <c r="K376" s="23" t="s">
        <v>1932</v>
      </c>
      <c r="L376" s="23">
        <v>2</v>
      </c>
      <c r="M376" s="23" t="s">
        <v>566</v>
      </c>
      <c r="N376" s="23" t="s">
        <v>566</v>
      </c>
      <c r="O376" s="23">
        <v>8609.7199999999993</v>
      </c>
      <c r="P376" s="23" t="s">
        <v>79</v>
      </c>
      <c r="Q376" s="23" t="s">
        <v>83</v>
      </c>
      <c r="R376" s="23">
        <v>11100299</v>
      </c>
      <c r="S376" s="24">
        <v>46133</v>
      </c>
      <c r="T376" s="24">
        <v>46021</v>
      </c>
      <c r="U376" s="24">
        <v>46097</v>
      </c>
      <c r="X376" s="24">
        <v>46015</v>
      </c>
      <c r="Y376" s="23">
        <v>1111</v>
      </c>
      <c r="Z376" s="23">
        <v>11400704</v>
      </c>
      <c r="AA376" s="23">
        <v>315103</v>
      </c>
      <c r="AB376" s="24">
        <v>46014</v>
      </c>
    </row>
    <row r="377" spans="2:28" x14ac:dyDescent="0.2">
      <c r="C377" s="23">
        <v>1100572545</v>
      </c>
      <c r="E377" s="23">
        <v>20</v>
      </c>
      <c r="F377" s="23" t="s">
        <v>2156</v>
      </c>
      <c r="G377" s="23" t="s">
        <v>2157</v>
      </c>
      <c r="H377" s="24">
        <v>46097</v>
      </c>
      <c r="I377" s="24">
        <v>46097</v>
      </c>
      <c r="J377" s="23" t="s">
        <v>1932</v>
      </c>
      <c r="K377" s="23" t="s">
        <v>1932</v>
      </c>
      <c r="L377" s="23">
        <v>2</v>
      </c>
      <c r="M377" s="23" t="s">
        <v>78</v>
      </c>
      <c r="N377" s="23" t="s">
        <v>78</v>
      </c>
      <c r="O377" s="23">
        <v>7684.28</v>
      </c>
      <c r="P377" s="23" t="s">
        <v>79</v>
      </c>
      <c r="Q377" s="23" t="s">
        <v>83</v>
      </c>
      <c r="R377" s="23">
        <v>11100299</v>
      </c>
      <c r="S377" s="24">
        <v>46133</v>
      </c>
      <c r="T377" s="24">
        <v>46021</v>
      </c>
      <c r="U377" s="24">
        <v>46097</v>
      </c>
      <c r="X377" s="24">
        <v>46015</v>
      </c>
      <c r="Y377" s="23">
        <v>1111</v>
      </c>
      <c r="Z377" s="23">
        <v>11400704</v>
      </c>
      <c r="AA377" s="23">
        <v>315103</v>
      </c>
      <c r="AB377" s="24">
        <v>46014</v>
      </c>
    </row>
    <row r="378" spans="2:28" x14ac:dyDescent="0.2">
      <c r="B378" s="23" t="s">
        <v>81</v>
      </c>
      <c r="C378" s="23">
        <v>1100572545</v>
      </c>
      <c r="H378" s="24">
        <v>46097</v>
      </c>
      <c r="O378" s="23">
        <v>16294</v>
      </c>
      <c r="P378" s="23" t="s">
        <v>79</v>
      </c>
    </row>
    <row r="379" spans="2:28" x14ac:dyDescent="0.2">
      <c r="C379" s="23">
        <v>1100572698</v>
      </c>
      <c r="E379" s="23">
        <v>10</v>
      </c>
      <c r="F379" s="23" t="s">
        <v>2129</v>
      </c>
      <c r="G379" s="23" t="s">
        <v>2130</v>
      </c>
      <c r="H379" s="24">
        <v>46097</v>
      </c>
      <c r="I379" s="24">
        <v>46097</v>
      </c>
      <c r="J379" s="23" t="s">
        <v>572</v>
      </c>
      <c r="K379" s="23" t="s">
        <v>572</v>
      </c>
      <c r="L379" s="23">
        <v>1</v>
      </c>
      <c r="M379" s="23" t="s">
        <v>78</v>
      </c>
      <c r="N379" s="23" t="s">
        <v>78</v>
      </c>
      <c r="O379" s="23">
        <v>0</v>
      </c>
      <c r="P379" s="23" t="s">
        <v>79</v>
      </c>
      <c r="Q379" s="23" t="s">
        <v>83</v>
      </c>
      <c r="R379" s="23">
        <v>11100008</v>
      </c>
      <c r="S379" s="24" t="s">
        <v>80</v>
      </c>
      <c r="T379" s="24">
        <v>46024</v>
      </c>
      <c r="U379" s="24" t="s">
        <v>80</v>
      </c>
      <c r="X379" s="24">
        <v>46024</v>
      </c>
      <c r="Y379" s="23">
        <v>1111</v>
      </c>
      <c r="Z379" s="23">
        <v>11400606</v>
      </c>
      <c r="AA379" s="23">
        <v>330103</v>
      </c>
      <c r="AB379" s="24">
        <v>46024</v>
      </c>
    </row>
    <row r="380" spans="2:28" x14ac:dyDescent="0.2">
      <c r="C380" s="23">
        <v>1100572698</v>
      </c>
      <c r="E380" s="23">
        <v>20</v>
      </c>
      <c r="F380" s="23" t="s">
        <v>2131</v>
      </c>
      <c r="G380" s="23" t="s">
        <v>2132</v>
      </c>
      <c r="H380" s="24">
        <v>46097</v>
      </c>
      <c r="I380" s="24">
        <v>46097</v>
      </c>
      <c r="J380" s="23" t="s">
        <v>572</v>
      </c>
      <c r="K380" s="23" t="s">
        <v>572</v>
      </c>
      <c r="L380" s="23">
        <v>1</v>
      </c>
      <c r="M380" s="23" t="s">
        <v>78</v>
      </c>
      <c r="N380" s="23" t="s">
        <v>78</v>
      </c>
      <c r="O380" s="23">
        <v>0</v>
      </c>
      <c r="P380" s="23" t="s">
        <v>79</v>
      </c>
      <c r="Q380" s="23" t="s">
        <v>83</v>
      </c>
      <c r="R380" s="23">
        <v>11100008</v>
      </c>
      <c r="S380" s="24" t="s">
        <v>80</v>
      </c>
      <c r="T380" s="24">
        <v>46024</v>
      </c>
      <c r="U380" s="24" t="s">
        <v>80</v>
      </c>
      <c r="X380" s="24">
        <v>46024</v>
      </c>
      <c r="Y380" s="23">
        <v>1111</v>
      </c>
      <c r="Z380" s="23">
        <v>11400606</v>
      </c>
      <c r="AA380" s="23">
        <v>330103</v>
      </c>
      <c r="AB380" s="24">
        <v>46024</v>
      </c>
    </row>
    <row r="381" spans="2:28" x14ac:dyDescent="0.2">
      <c r="B381" s="23" t="s">
        <v>81</v>
      </c>
      <c r="C381" s="23">
        <v>1100572698</v>
      </c>
      <c r="H381" s="24">
        <v>46097</v>
      </c>
      <c r="O381" s="23">
        <v>0</v>
      </c>
      <c r="P381" s="23" t="s">
        <v>79</v>
      </c>
    </row>
    <row r="382" spans="2:28" x14ac:dyDescent="0.2">
      <c r="C382" s="23">
        <v>1100573816</v>
      </c>
      <c r="E382" s="23">
        <v>20</v>
      </c>
      <c r="F382" s="23" t="s">
        <v>2811</v>
      </c>
      <c r="G382" s="23" t="s">
        <v>2812</v>
      </c>
      <c r="H382" s="24">
        <v>46097</v>
      </c>
      <c r="I382" s="24">
        <v>46097</v>
      </c>
      <c r="J382" s="23" t="s">
        <v>854</v>
      </c>
      <c r="K382" s="23" t="s">
        <v>854</v>
      </c>
      <c r="L382" s="23">
        <v>1</v>
      </c>
      <c r="M382" s="23" t="s">
        <v>78</v>
      </c>
      <c r="N382" s="23" t="s">
        <v>78</v>
      </c>
      <c r="O382" s="23">
        <v>2171.0700000000002</v>
      </c>
      <c r="P382" s="23" t="s">
        <v>79</v>
      </c>
      <c r="Q382" s="23" t="s">
        <v>83</v>
      </c>
      <c r="R382" s="23">
        <v>11100176</v>
      </c>
      <c r="S382" s="24">
        <v>46064</v>
      </c>
      <c r="T382" s="24">
        <v>46036</v>
      </c>
      <c r="U382" s="24">
        <v>46752</v>
      </c>
      <c r="X382" s="24">
        <v>46036</v>
      </c>
      <c r="Y382" s="23">
        <v>1111</v>
      </c>
      <c r="Z382" s="23">
        <v>11600007</v>
      </c>
      <c r="AA382" s="23">
        <v>335103</v>
      </c>
      <c r="AB382" s="24">
        <v>46035</v>
      </c>
    </row>
    <row r="383" spans="2:28" x14ac:dyDescent="0.2">
      <c r="B383" s="23" t="s">
        <v>81</v>
      </c>
      <c r="C383" s="23">
        <v>1100573816</v>
      </c>
      <c r="H383" s="24">
        <v>46097</v>
      </c>
      <c r="O383" s="23">
        <v>2171.0700000000002</v>
      </c>
      <c r="P383" s="23" t="s">
        <v>79</v>
      </c>
    </row>
    <row r="384" spans="2:28" x14ac:dyDescent="0.2">
      <c r="C384" s="23">
        <v>1100574008</v>
      </c>
      <c r="E384" s="23">
        <v>10</v>
      </c>
      <c r="F384" s="23" t="s">
        <v>2813</v>
      </c>
      <c r="G384" s="23" t="s">
        <v>2814</v>
      </c>
      <c r="H384" s="24">
        <v>46097</v>
      </c>
      <c r="I384" s="24">
        <v>46097</v>
      </c>
      <c r="J384" s="23" t="s">
        <v>815</v>
      </c>
      <c r="K384" s="23" t="s">
        <v>815</v>
      </c>
      <c r="L384" s="23">
        <v>1</v>
      </c>
      <c r="M384" s="23" t="s">
        <v>78</v>
      </c>
      <c r="N384" s="23" t="s">
        <v>78</v>
      </c>
      <c r="O384" s="23">
        <v>2173.48</v>
      </c>
      <c r="P384" s="23" t="s">
        <v>79</v>
      </c>
      <c r="Q384" s="23" t="s">
        <v>83</v>
      </c>
      <c r="R384" s="23">
        <v>11100176</v>
      </c>
      <c r="S384" s="24">
        <v>46097</v>
      </c>
      <c r="T384" s="24">
        <v>46038</v>
      </c>
      <c r="U384" s="24" t="s">
        <v>80</v>
      </c>
      <c r="X384" s="24">
        <v>46036</v>
      </c>
      <c r="Y384" s="23">
        <v>1111</v>
      </c>
      <c r="Z384" s="23">
        <v>11600001</v>
      </c>
      <c r="AA384" s="23">
        <v>335103</v>
      </c>
      <c r="AB384" s="24">
        <v>46035</v>
      </c>
    </row>
    <row r="385" spans="2:28" x14ac:dyDescent="0.2">
      <c r="C385" s="23">
        <v>1100574008</v>
      </c>
      <c r="E385" s="23">
        <v>20</v>
      </c>
      <c r="F385" s="23" t="s">
        <v>2815</v>
      </c>
      <c r="G385" s="23" t="s">
        <v>2816</v>
      </c>
      <c r="H385" s="24">
        <v>46097</v>
      </c>
      <c r="I385" s="24">
        <v>46097</v>
      </c>
      <c r="J385" s="23" t="s">
        <v>815</v>
      </c>
      <c r="K385" s="23" t="s">
        <v>815</v>
      </c>
      <c r="L385" s="23">
        <v>1</v>
      </c>
      <c r="M385" s="23" t="s">
        <v>78</v>
      </c>
      <c r="N385" s="23" t="s">
        <v>78</v>
      </c>
      <c r="O385" s="23">
        <v>8779.68</v>
      </c>
      <c r="P385" s="23" t="s">
        <v>79</v>
      </c>
      <c r="Q385" s="23" t="s">
        <v>83</v>
      </c>
      <c r="R385" s="23">
        <v>11100176</v>
      </c>
      <c r="S385" s="24">
        <v>46097</v>
      </c>
      <c r="T385" s="24">
        <v>46038</v>
      </c>
      <c r="U385" s="24" t="s">
        <v>80</v>
      </c>
      <c r="X385" s="24">
        <v>46036</v>
      </c>
      <c r="Y385" s="23">
        <v>1111</v>
      </c>
      <c r="Z385" s="23">
        <v>11600001</v>
      </c>
      <c r="AA385" s="23">
        <v>335103</v>
      </c>
      <c r="AB385" s="24">
        <v>46035</v>
      </c>
    </row>
    <row r="386" spans="2:28" x14ac:dyDescent="0.2">
      <c r="C386" s="23">
        <v>1100574008</v>
      </c>
      <c r="E386" s="23">
        <v>30</v>
      </c>
      <c r="F386" s="23" t="s">
        <v>82</v>
      </c>
      <c r="G386" s="23" t="s">
        <v>139</v>
      </c>
      <c r="H386" s="24">
        <v>46097</v>
      </c>
      <c r="I386" s="24">
        <v>46097</v>
      </c>
      <c r="J386" s="23" t="s">
        <v>815</v>
      </c>
      <c r="K386" s="23" t="s">
        <v>815</v>
      </c>
      <c r="L386" s="23">
        <v>1</v>
      </c>
      <c r="M386" s="23" t="s">
        <v>78</v>
      </c>
      <c r="N386" s="23" t="s">
        <v>78</v>
      </c>
      <c r="O386" s="23">
        <v>0.01</v>
      </c>
      <c r="P386" s="23" t="s">
        <v>79</v>
      </c>
      <c r="Q386" s="23" t="s">
        <v>83</v>
      </c>
      <c r="R386" s="23">
        <v>11100176</v>
      </c>
      <c r="S386" s="24">
        <v>46097</v>
      </c>
      <c r="T386" s="24">
        <v>46038</v>
      </c>
      <c r="U386" s="24" t="s">
        <v>80</v>
      </c>
      <c r="X386" s="24">
        <v>46036</v>
      </c>
      <c r="Y386" s="23">
        <v>1111</v>
      </c>
      <c r="Z386" s="23">
        <v>11600001</v>
      </c>
      <c r="AA386" s="23">
        <v>335103</v>
      </c>
      <c r="AB386" s="24">
        <v>46035</v>
      </c>
    </row>
    <row r="387" spans="2:28" x14ac:dyDescent="0.2">
      <c r="B387" s="23" t="s">
        <v>81</v>
      </c>
      <c r="C387" s="23">
        <v>1100574008</v>
      </c>
      <c r="H387" s="24">
        <v>46097</v>
      </c>
      <c r="O387" s="23">
        <v>10953.17</v>
      </c>
      <c r="P387" s="23" t="s">
        <v>79</v>
      </c>
    </row>
    <row r="388" spans="2:28" x14ac:dyDescent="0.2">
      <c r="C388" s="23">
        <v>1100574059</v>
      </c>
      <c r="E388" s="23">
        <v>10</v>
      </c>
      <c r="F388" s="23" t="s">
        <v>2817</v>
      </c>
      <c r="G388" s="23" t="s">
        <v>2818</v>
      </c>
      <c r="H388" s="24">
        <v>46097</v>
      </c>
      <c r="I388" s="24">
        <v>46097</v>
      </c>
      <c r="J388" s="23" t="s">
        <v>2251</v>
      </c>
      <c r="K388" s="23" t="s">
        <v>2251</v>
      </c>
      <c r="L388" s="23">
        <v>4</v>
      </c>
      <c r="M388" s="23" t="s">
        <v>78</v>
      </c>
      <c r="N388" s="23" t="s">
        <v>78</v>
      </c>
      <c r="O388" s="23">
        <v>21.12</v>
      </c>
      <c r="P388" s="23" t="s">
        <v>79</v>
      </c>
      <c r="Q388" s="23" t="s">
        <v>83</v>
      </c>
      <c r="R388" s="23">
        <v>11100299</v>
      </c>
      <c r="S388" s="24">
        <v>46052</v>
      </c>
      <c r="T388" s="24">
        <v>46038</v>
      </c>
      <c r="U388" s="24">
        <v>47116</v>
      </c>
      <c r="X388" s="24">
        <v>46029</v>
      </c>
      <c r="Y388" s="23">
        <v>1111</v>
      </c>
      <c r="Z388" s="23">
        <v>11600003</v>
      </c>
      <c r="AA388" s="23">
        <v>335103</v>
      </c>
      <c r="AB388" s="24">
        <v>46037</v>
      </c>
    </row>
    <row r="389" spans="2:28" x14ac:dyDescent="0.2">
      <c r="C389" s="23">
        <v>1100574059</v>
      </c>
      <c r="E389" s="23">
        <v>20</v>
      </c>
      <c r="F389" s="23" t="s">
        <v>763</v>
      </c>
      <c r="G389" s="23" t="s">
        <v>764</v>
      </c>
      <c r="H389" s="24">
        <v>46097</v>
      </c>
      <c r="I389" s="24">
        <v>46097</v>
      </c>
      <c r="J389" s="23" t="s">
        <v>2251</v>
      </c>
      <c r="K389" s="23" t="s">
        <v>2251</v>
      </c>
      <c r="L389" s="23">
        <v>2</v>
      </c>
      <c r="M389" s="23" t="s">
        <v>78</v>
      </c>
      <c r="N389" s="23" t="s">
        <v>78</v>
      </c>
      <c r="O389" s="23">
        <v>451.76</v>
      </c>
      <c r="P389" s="23" t="s">
        <v>79</v>
      </c>
      <c r="Q389" s="23" t="s">
        <v>83</v>
      </c>
      <c r="R389" s="23">
        <v>11100299</v>
      </c>
      <c r="S389" s="24">
        <v>46052</v>
      </c>
      <c r="T389" s="24">
        <v>46038</v>
      </c>
      <c r="U389" s="24">
        <v>47116</v>
      </c>
      <c r="X389" s="24">
        <v>46029</v>
      </c>
      <c r="Y389" s="23">
        <v>1111</v>
      </c>
      <c r="Z389" s="23">
        <v>11600003</v>
      </c>
      <c r="AA389" s="23">
        <v>335103</v>
      </c>
      <c r="AB389" s="24">
        <v>46037</v>
      </c>
    </row>
    <row r="390" spans="2:28" x14ac:dyDescent="0.2">
      <c r="C390" s="23">
        <v>1100574059</v>
      </c>
      <c r="E390" s="23">
        <v>30</v>
      </c>
      <c r="F390" s="23" t="s">
        <v>2033</v>
      </c>
      <c r="G390" s="23" t="s">
        <v>2034</v>
      </c>
      <c r="H390" s="24">
        <v>46097</v>
      </c>
      <c r="I390" s="24">
        <v>46097</v>
      </c>
      <c r="J390" s="23" t="s">
        <v>2251</v>
      </c>
      <c r="K390" s="23" t="s">
        <v>2251</v>
      </c>
      <c r="L390" s="23">
        <v>8</v>
      </c>
      <c r="M390" s="23" t="s">
        <v>78</v>
      </c>
      <c r="N390" s="23" t="s">
        <v>78</v>
      </c>
      <c r="O390" s="23">
        <v>52.64</v>
      </c>
      <c r="P390" s="23" t="s">
        <v>79</v>
      </c>
      <c r="Q390" s="23" t="s">
        <v>83</v>
      </c>
      <c r="R390" s="23">
        <v>11100299</v>
      </c>
      <c r="S390" s="24">
        <v>46052</v>
      </c>
      <c r="T390" s="24">
        <v>46038</v>
      </c>
      <c r="U390" s="24">
        <v>47116</v>
      </c>
      <c r="X390" s="24">
        <v>46029</v>
      </c>
      <c r="Y390" s="23">
        <v>1111</v>
      </c>
      <c r="Z390" s="23">
        <v>11600003</v>
      </c>
      <c r="AA390" s="23">
        <v>335103</v>
      </c>
      <c r="AB390" s="24">
        <v>46037</v>
      </c>
    </row>
    <row r="391" spans="2:28" x14ac:dyDescent="0.2">
      <c r="C391" s="23">
        <v>1100574059</v>
      </c>
      <c r="E391" s="23">
        <v>40</v>
      </c>
      <c r="F391" s="23" t="s">
        <v>2819</v>
      </c>
      <c r="G391" s="23" t="s">
        <v>2820</v>
      </c>
      <c r="H391" s="24">
        <v>46097</v>
      </c>
      <c r="I391" s="24">
        <v>46097</v>
      </c>
      <c r="J391" s="23" t="s">
        <v>2251</v>
      </c>
      <c r="K391" s="23" t="s">
        <v>2251</v>
      </c>
      <c r="L391" s="23">
        <v>4</v>
      </c>
      <c r="M391" s="23" t="s">
        <v>78</v>
      </c>
      <c r="N391" s="23" t="s">
        <v>78</v>
      </c>
      <c r="O391" s="23">
        <v>17.2</v>
      </c>
      <c r="P391" s="23" t="s">
        <v>79</v>
      </c>
      <c r="Q391" s="23" t="s">
        <v>83</v>
      </c>
      <c r="R391" s="23">
        <v>11100299</v>
      </c>
      <c r="S391" s="24">
        <v>46052</v>
      </c>
      <c r="T391" s="24">
        <v>46038</v>
      </c>
      <c r="U391" s="24">
        <v>47116</v>
      </c>
      <c r="X391" s="24">
        <v>46029</v>
      </c>
      <c r="Y391" s="23">
        <v>1111</v>
      </c>
      <c r="Z391" s="23">
        <v>11600003</v>
      </c>
      <c r="AA391" s="23">
        <v>335103</v>
      </c>
      <c r="AB391" s="24">
        <v>46037</v>
      </c>
    </row>
    <row r="392" spans="2:28" x14ac:dyDescent="0.2">
      <c r="C392" s="23">
        <v>1100574059</v>
      </c>
      <c r="E392" s="23">
        <v>50</v>
      </c>
      <c r="F392" s="23" t="s">
        <v>675</v>
      </c>
      <c r="G392" s="23" t="s">
        <v>2031</v>
      </c>
      <c r="H392" s="24">
        <v>46097</v>
      </c>
      <c r="I392" s="24">
        <v>46097</v>
      </c>
      <c r="J392" s="23" t="s">
        <v>2251</v>
      </c>
      <c r="K392" s="23" t="s">
        <v>2251</v>
      </c>
      <c r="L392" s="23">
        <v>14</v>
      </c>
      <c r="M392" s="23" t="s">
        <v>78</v>
      </c>
      <c r="N392" s="23" t="s">
        <v>78</v>
      </c>
      <c r="O392" s="23">
        <v>138.18</v>
      </c>
      <c r="P392" s="23" t="s">
        <v>79</v>
      </c>
      <c r="Q392" s="23" t="s">
        <v>83</v>
      </c>
      <c r="R392" s="23">
        <v>11100299</v>
      </c>
      <c r="S392" s="24">
        <v>46052</v>
      </c>
      <c r="T392" s="24">
        <v>46038</v>
      </c>
      <c r="U392" s="24">
        <v>47116</v>
      </c>
      <c r="X392" s="24">
        <v>46029</v>
      </c>
      <c r="Y392" s="23">
        <v>1111</v>
      </c>
      <c r="Z392" s="23">
        <v>11600003</v>
      </c>
      <c r="AA392" s="23">
        <v>335103</v>
      </c>
      <c r="AB392" s="24">
        <v>46037</v>
      </c>
    </row>
    <row r="393" spans="2:28" x14ac:dyDescent="0.2">
      <c r="C393" s="23">
        <v>1100574059</v>
      </c>
      <c r="E393" s="23">
        <v>60</v>
      </c>
      <c r="F393" s="23" t="s">
        <v>748</v>
      </c>
      <c r="G393" s="23" t="s">
        <v>749</v>
      </c>
      <c r="H393" s="24">
        <v>46097</v>
      </c>
      <c r="I393" s="24">
        <v>46097</v>
      </c>
      <c r="J393" s="23" t="s">
        <v>2251</v>
      </c>
      <c r="K393" s="23" t="s">
        <v>2251</v>
      </c>
      <c r="L393" s="23">
        <v>4</v>
      </c>
      <c r="M393" s="23" t="s">
        <v>78</v>
      </c>
      <c r="N393" s="23" t="s">
        <v>78</v>
      </c>
      <c r="O393" s="23">
        <v>622.79999999999995</v>
      </c>
      <c r="P393" s="23" t="s">
        <v>79</v>
      </c>
      <c r="Q393" s="23" t="s">
        <v>83</v>
      </c>
      <c r="R393" s="23">
        <v>11100299</v>
      </c>
      <c r="S393" s="24">
        <v>46052</v>
      </c>
      <c r="T393" s="24">
        <v>46038</v>
      </c>
      <c r="U393" s="24">
        <v>47116</v>
      </c>
      <c r="X393" s="24">
        <v>46029</v>
      </c>
      <c r="Y393" s="23">
        <v>1111</v>
      </c>
      <c r="Z393" s="23">
        <v>11600003</v>
      </c>
      <c r="AA393" s="23">
        <v>335103</v>
      </c>
      <c r="AB393" s="24">
        <v>46037</v>
      </c>
    </row>
    <row r="394" spans="2:28" x14ac:dyDescent="0.2">
      <c r="C394" s="23">
        <v>1100574059</v>
      </c>
      <c r="E394" s="23">
        <v>70</v>
      </c>
      <c r="F394" s="23" t="s">
        <v>2821</v>
      </c>
      <c r="G394" s="23" t="s">
        <v>2822</v>
      </c>
      <c r="H394" s="24">
        <v>46097</v>
      </c>
      <c r="I394" s="24">
        <v>46097</v>
      </c>
      <c r="J394" s="23" t="s">
        <v>2251</v>
      </c>
      <c r="K394" s="23" t="s">
        <v>2251</v>
      </c>
      <c r="L394" s="23">
        <v>4</v>
      </c>
      <c r="M394" s="23" t="s">
        <v>78</v>
      </c>
      <c r="N394" s="23" t="s">
        <v>78</v>
      </c>
      <c r="O394" s="23">
        <v>17.2</v>
      </c>
      <c r="P394" s="23" t="s">
        <v>79</v>
      </c>
      <c r="Q394" s="23" t="s">
        <v>83</v>
      </c>
      <c r="R394" s="23">
        <v>11100299</v>
      </c>
      <c r="S394" s="24">
        <v>46052</v>
      </c>
      <c r="T394" s="24">
        <v>46038</v>
      </c>
      <c r="U394" s="24">
        <v>47116</v>
      </c>
      <c r="X394" s="24">
        <v>46029</v>
      </c>
      <c r="Y394" s="23">
        <v>1111</v>
      </c>
      <c r="Z394" s="23">
        <v>11600003</v>
      </c>
      <c r="AA394" s="23">
        <v>335103</v>
      </c>
      <c r="AB394" s="24">
        <v>46037</v>
      </c>
    </row>
    <row r="395" spans="2:28" x14ac:dyDescent="0.2">
      <c r="C395" s="23">
        <v>1100574059</v>
      </c>
      <c r="E395" s="23">
        <v>80</v>
      </c>
      <c r="F395" s="23" t="s">
        <v>806</v>
      </c>
      <c r="G395" s="23" t="s">
        <v>807</v>
      </c>
      <c r="H395" s="24">
        <v>46097</v>
      </c>
      <c r="I395" s="24">
        <v>46097</v>
      </c>
      <c r="J395" s="23" t="s">
        <v>2251</v>
      </c>
      <c r="K395" s="23" t="s">
        <v>2251</v>
      </c>
      <c r="L395" s="23">
        <v>2</v>
      </c>
      <c r="M395" s="23" t="s">
        <v>78</v>
      </c>
      <c r="N395" s="23" t="s">
        <v>78</v>
      </c>
      <c r="O395" s="23">
        <v>703.96</v>
      </c>
      <c r="P395" s="23" t="s">
        <v>79</v>
      </c>
      <c r="Q395" s="23" t="s">
        <v>83</v>
      </c>
      <c r="R395" s="23">
        <v>11100299</v>
      </c>
      <c r="S395" s="24">
        <v>46052</v>
      </c>
      <c r="T395" s="24">
        <v>46038</v>
      </c>
      <c r="U395" s="24">
        <v>47116</v>
      </c>
      <c r="X395" s="24">
        <v>46029</v>
      </c>
      <c r="Y395" s="23">
        <v>1111</v>
      </c>
      <c r="Z395" s="23">
        <v>11600003</v>
      </c>
      <c r="AA395" s="23">
        <v>335103</v>
      </c>
      <c r="AB395" s="24">
        <v>46037</v>
      </c>
    </row>
    <row r="396" spans="2:28" x14ac:dyDescent="0.2">
      <c r="C396" s="23">
        <v>1100574059</v>
      </c>
      <c r="E396" s="23">
        <v>90</v>
      </c>
      <c r="F396" s="23" t="s">
        <v>702</v>
      </c>
      <c r="G396" s="23" t="s">
        <v>1797</v>
      </c>
      <c r="H396" s="24">
        <v>46097</v>
      </c>
      <c r="I396" s="24">
        <v>46097</v>
      </c>
      <c r="J396" s="23" t="s">
        <v>2251</v>
      </c>
      <c r="K396" s="23" t="s">
        <v>2251</v>
      </c>
      <c r="L396" s="23">
        <v>2</v>
      </c>
      <c r="M396" s="23" t="s">
        <v>78</v>
      </c>
      <c r="N396" s="23" t="s">
        <v>78</v>
      </c>
      <c r="O396" s="23">
        <v>256.58</v>
      </c>
      <c r="P396" s="23" t="s">
        <v>79</v>
      </c>
      <c r="Q396" s="23" t="s">
        <v>83</v>
      </c>
      <c r="R396" s="23">
        <v>11100299</v>
      </c>
      <c r="S396" s="24">
        <v>46052</v>
      </c>
      <c r="T396" s="24">
        <v>46038</v>
      </c>
      <c r="U396" s="24">
        <v>47116</v>
      </c>
      <c r="X396" s="24">
        <v>46029</v>
      </c>
      <c r="Y396" s="23">
        <v>1111</v>
      </c>
      <c r="Z396" s="23">
        <v>11600003</v>
      </c>
      <c r="AA396" s="23">
        <v>335103</v>
      </c>
      <c r="AB396" s="24">
        <v>46037</v>
      </c>
    </row>
    <row r="397" spans="2:28" x14ac:dyDescent="0.2">
      <c r="C397" s="23">
        <v>1100574059</v>
      </c>
      <c r="E397" s="23">
        <v>100</v>
      </c>
      <c r="F397" s="23" t="s">
        <v>536</v>
      </c>
      <c r="G397" s="23" t="s">
        <v>537</v>
      </c>
      <c r="H397" s="24">
        <v>46097</v>
      </c>
      <c r="I397" s="24">
        <v>46097</v>
      </c>
      <c r="J397" s="23" t="s">
        <v>2251</v>
      </c>
      <c r="K397" s="23" t="s">
        <v>2251</v>
      </c>
      <c r="L397" s="23">
        <v>2</v>
      </c>
      <c r="M397" s="23" t="s">
        <v>78</v>
      </c>
      <c r="N397" s="23" t="s">
        <v>78</v>
      </c>
      <c r="O397" s="23">
        <v>11173.34</v>
      </c>
      <c r="P397" s="23" t="s">
        <v>79</v>
      </c>
      <c r="Q397" s="23" t="s">
        <v>83</v>
      </c>
      <c r="R397" s="23">
        <v>11100299</v>
      </c>
      <c r="S397" s="24">
        <v>46052</v>
      </c>
      <c r="T397" s="24">
        <v>46038</v>
      </c>
      <c r="U397" s="24">
        <v>47116</v>
      </c>
      <c r="X397" s="24">
        <v>46029</v>
      </c>
      <c r="Y397" s="23">
        <v>1111</v>
      </c>
      <c r="Z397" s="23">
        <v>11600003</v>
      </c>
      <c r="AA397" s="23">
        <v>335103</v>
      </c>
      <c r="AB397" s="24">
        <v>46037</v>
      </c>
    </row>
    <row r="398" spans="2:28" x14ac:dyDescent="0.2">
      <c r="B398" s="23" t="s">
        <v>81</v>
      </c>
      <c r="C398" s="23">
        <v>1100574059</v>
      </c>
      <c r="H398" s="24">
        <v>46097</v>
      </c>
      <c r="O398" s="23">
        <v>13454.78</v>
      </c>
      <c r="P398" s="23" t="s">
        <v>79</v>
      </c>
    </row>
    <row r="399" spans="2:28" x14ac:dyDescent="0.2">
      <c r="C399" s="23">
        <v>1100574130</v>
      </c>
      <c r="E399" s="23">
        <v>10</v>
      </c>
      <c r="F399" s="23" t="s">
        <v>722</v>
      </c>
      <c r="G399" s="23" t="s">
        <v>723</v>
      </c>
      <c r="H399" s="24">
        <v>46097</v>
      </c>
      <c r="I399" s="24">
        <v>46097</v>
      </c>
      <c r="J399" s="23" t="s">
        <v>1130</v>
      </c>
      <c r="K399" s="23" t="s">
        <v>1130</v>
      </c>
      <c r="L399" s="23">
        <v>1</v>
      </c>
      <c r="M399" s="23" t="s">
        <v>78</v>
      </c>
      <c r="N399" s="23" t="s">
        <v>78</v>
      </c>
      <c r="O399" s="23">
        <v>2870.64</v>
      </c>
      <c r="P399" s="23" t="s">
        <v>79</v>
      </c>
      <c r="Q399" s="23" t="s">
        <v>83</v>
      </c>
      <c r="R399" s="23">
        <v>11100176</v>
      </c>
      <c r="S399" s="24">
        <v>46108</v>
      </c>
      <c r="T399" s="24">
        <v>46038</v>
      </c>
      <c r="U399" s="24">
        <v>46133</v>
      </c>
      <c r="X399" s="24">
        <v>46006</v>
      </c>
      <c r="Y399" s="23">
        <v>1111</v>
      </c>
      <c r="Z399" s="23">
        <v>11400704</v>
      </c>
      <c r="AA399" s="23">
        <v>335103</v>
      </c>
      <c r="AB399" s="24">
        <v>46029</v>
      </c>
    </row>
    <row r="400" spans="2:28" x14ac:dyDescent="0.2">
      <c r="C400" s="23">
        <v>1100574130</v>
      </c>
      <c r="E400" s="23">
        <v>20</v>
      </c>
      <c r="F400" s="23" t="s">
        <v>209</v>
      </c>
      <c r="G400" s="23" t="s">
        <v>210</v>
      </c>
      <c r="H400" s="24">
        <v>46097</v>
      </c>
      <c r="I400" s="24">
        <v>46097</v>
      </c>
      <c r="J400" s="23" t="s">
        <v>1130</v>
      </c>
      <c r="K400" s="23" t="s">
        <v>1130</v>
      </c>
      <c r="L400" s="23">
        <v>1</v>
      </c>
      <c r="M400" s="23" t="s">
        <v>78</v>
      </c>
      <c r="N400" s="23" t="s">
        <v>78</v>
      </c>
      <c r="O400" s="23">
        <v>0</v>
      </c>
      <c r="P400" s="23" t="s">
        <v>79</v>
      </c>
      <c r="Q400" s="23" t="s">
        <v>83</v>
      </c>
      <c r="R400" s="23">
        <v>11100176</v>
      </c>
      <c r="S400" s="24" t="s">
        <v>80</v>
      </c>
      <c r="T400" s="24">
        <v>46038</v>
      </c>
      <c r="U400" s="24">
        <v>46133</v>
      </c>
      <c r="X400" s="24">
        <v>46006</v>
      </c>
      <c r="Y400" s="23">
        <v>1111</v>
      </c>
      <c r="Z400" s="23">
        <v>11400704</v>
      </c>
      <c r="AA400" s="23">
        <v>335103</v>
      </c>
      <c r="AB400" s="24">
        <v>46029</v>
      </c>
    </row>
    <row r="401" spans="2:28" x14ac:dyDescent="0.2">
      <c r="B401" s="23" t="s">
        <v>81</v>
      </c>
      <c r="C401" s="23">
        <v>1100574130</v>
      </c>
      <c r="H401" s="24">
        <v>46097</v>
      </c>
      <c r="O401" s="23">
        <v>2870.64</v>
      </c>
      <c r="P401" s="23" t="s">
        <v>79</v>
      </c>
    </row>
    <row r="402" spans="2:28" x14ac:dyDescent="0.2">
      <c r="C402" s="23">
        <v>1100575592</v>
      </c>
      <c r="E402" s="23">
        <v>10</v>
      </c>
      <c r="F402" s="23" t="s">
        <v>2823</v>
      </c>
      <c r="G402" s="23" t="s">
        <v>2824</v>
      </c>
      <c r="H402" s="24">
        <v>46097</v>
      </c>
      <c r="I402" s="24">
        <v>46097</v>
      </c>
      <c r="J402" s="23" t="s">
        <v>113</v>
      </c>
      <c r="K402" s="23" t="s">
        <v>113</v>
      </c>
      <c r="L402" s="23">
        <v>4</v>
      </c>
      <c r="M402" s="23" t="s">
        <v>78</v>
      </c>
      <c r="N402" s="23" t="s">
        <v>78</v>
      </c>
      <c r="O402" s="23">
        <v>4097.08</v>
      </c>
      <c r="P402" s="23" t="s">
        <v>79</v>
      </c>
      <c r="Q402" s="23" t="s">
        <v>83</v>
      </c>
      <c r="R402" s="23">
        <v>11100176</v>
      </c>
      <c r="S402" s="24">
        <v>46122</v>
      </c>
      <c r="T402" s="24">
        <v>46052</v>
      </c>
      <c r="U402" s="24" t="s">
        <v>80</v>
      </c>
      <c r="X402" s="24">
        <v>46052</v>
      </c>
      <c r="Y402" s="23">
        <v>1111</v>
      </c>
      <c r="Z402" s="23">
        <v>11400937</v>
      </c>
      <c r="AA402" s="23">
        <v>3351</v>
      </c>
      <c r="AB402" s="24">
        <v>46051</v>
      </c>
    </row>
    <row r="403" spans="2:28" x14ac:dyDescent="0.2">
      <c r="C403" s="23">
        <v>1100575592</v>
      </c>
      <c r="E403" s="23">
        <v>20</v>
      </c>
      <c r="F403" s="23" t="s">
        <v>82</v>
      </c>
      <c r="G403" s="23" t="s">
        <v>139</v>
      </c>
      <c r="H403" s="24">
        <v>46097</v>
      </c>
      <c r="I403" s="24">
        <v>46097</v>
      </c>
      <c r="J403" s="23" t="s">
        <v>113</v>
      </c>
      <c r="K403" s="23" t="s">
        <v>113</v>
      </c>
      <c r="L403" s="23">
        <v>1</v>
      </c>
      <c r="M403" s="23" t="s">
        <v>78</v>
      </c>
      <c r="N403" s="23" t="s">
        <v>78</v>
      </c>
      <c r="O403" s="23">
        <v>0.01</v>
      </c>
      <c r="P403" s="23" t="s">
        <v>79</v>
      </c>
      <c r="Q403" s="23" t="s">
        <v>83</v>
      </c>
      <c r="R403" s="23">
        <v>11100176</v>
      </c>
      <c r="S403" s="24" t="s">
        <v>80</v>
      </c>
      <c r="T403" s="24">
        <v>46052</v>
      </c>
      <c r="U403" s="24" t="s">
        <v>80</v>
      </c>
      <c r="X403" s="24">
        <v>46052</v>
      </c>
      <c r="Y403" s="23">
        <v>1111</v>
      </c>
      <c r="Z403" s="23">
        <v>11400937</v>
      </c>
      <c r="AA403" s="23">
        <v>3351</v>
      </c>
      <c r="AB403" s="24">
        <v>46051</v>
      </c>
    </row>
    <row r="404" spans="2:28" x14ac:dyDescent="0.2">
      <c r="B404" s="23" t="s">
        <v>81</v>
      </c>
      <c r="C404" s="23">
        <v>1100575592</v>
      </c>
      <c r="H404" s="24">
        <v>46097</v>
      </c>
      <c r="O404" s="23">
        <v>4097.09</v>
      </c>
      <c r="P404" s="23" t="s">
        <v>79</v>
      </c>
    </row>
    <row r="405" spans="2:28" x14ac:dyDescent="0.2">
      <c r="C405" s="23">
        <v>1100575651</v>
      </c>
      <c r="E405" s="23">
        <v>10</v>
      </c>
      <c r="F405" s="23" t="s">
        <v>2825</v>
      </c>
      <c r="G405" s="23" t="s">
        <v>2826</v>
      </c>
      <c r="H405" s="24">
        <v>46097</v>
      </c>
      <c r="I405" s="24">
        <v>46097</v>
      </c>
      <c r="J405" s="23" t="s">
        <v>416</v>
      </c>
      <c r="K405" s="23" t="s">
        <v>416</v>
      </c>
      <c r="L405" s="23">
        <v>1</v>
      </c>
      <c r="M405" s="23" t="s">
        <v>78</v>
      </c>
      <c r="N405" s="23" t="s">
        <v>78</v>
      </c>
      <c r="O405" s="23">
        <v>3770.97</v>
      </c>
      <c r="P405" s="23" t="s">
        <v>79</v>
      </c>
      <c r="Q405" s="23" t="s">
        <v>83</v>
      </c>
      <c r="R405" s="23">
        <v>11100176</v>
      </c>
      <c r="S405" s="24">
        <v>46097</v>
      </c>
      <c r="T405" s="24">
        <v>46055</v>
      </c>
      <c r="U405" s="24" t="s">
        <v>80</v>
      </c>
      <c r="X405" s="24">
        <v>46050</v>
      </c>
      <c r="Y405" s="23">
        <v>1111</v>
      </c>
      <c r="Z405" s="23">
        <v>11400937</v>
      </c>
      <c r="AA405" s="23">
        <v>335103</v>
      </c>
      <c r="AB405" s="24">
        <v>46055</v>
      </c>
    </row>
    <row r="406" spans="2:28" x14ac:dyDescent="0.2">
      <c r="C406" s="23">
        <v>1100575651</v>
      </c>
      <c r="E406" s="23">
        <v>20</v>
      </c>
      <c r="F406" s="23" t="s">
        <v>82</v>
      </c>
      <c r="G406" s="23" t="s">
        <v>139</v>
      </c>
      <c r="H406" s="24">
        <v>46097</v>
      </c>
      <c r="I406" s="24">
        <v>46097</v>
      </c>
      <c r="J406" s="23" t="s">
        <v>416</v>
      </c>
      <c r="K406" s="23" t="s">
        <v>416</v>
      </c>
      <c r="L406" s="23">
        <v>1</v>
      </c>
      <c r="M406" s="23" t="s">
        <v>78</v>
      </c>
      <c r="N406" s="23" t="s">
        <v>78</v>
      </c>
      <c r="O406" s="23">
        <v>0.01</v>
      </c>
      <c r="P406" s="23" t="s">
        <v>79</v>
      </c>
      <c r="Q406" s="23" t="s">
        <v>83</v>
      </c>
      <c r="R406" s="23">
        <v>11100176</v>
      </c>
      <c r="S406" s="24" t="s">
        <v>80</v>
      </c>
      <c r="T406" s="24">
        <v>46055</v>
      </c>
      <c r="U406" s="24" t="s">
        <v>80</v>
      </c>
      <c r="X406" s="24">
        <v>46050</v>
      </c>
      <c r="Y406" s="23">
        <v>1111</v>
      </c>
      <c r="Z406" s="23">
        <v>11400937</v>
      </c>
      <c r="AA406" s="23">
        <v>335103</v>
      </c>
      <c r="AB406" s="24">
        <v>46055</v>
      </c>
    </row>
    <row r="407" spans="2:28" x14ac:dyDescent="0.2">
      <c r="B407" s="23" t="s">
        <v>81</v>
      </c>
      <c r="C407" s="23">
        <v>1100575651</v>
      </c>
      <c r="H407" s="24">
        <v>46097</v>
      </c>
      <c r="O407" s="23">
        <v>3770.98</v>
      </c>
      <c r="P407" s="23" t="s">
        <v>79</v>
      </c>
    </row>
    <row r="408" spans="2:28" x14ac:dyDescent="0.2">
      <c r="C408" s="23">
        <v>1100575664</v>
      </c>
      <c r="E408" s="23">
        <v>10</v>
      </c>
      <c r="F408" s="23" t="s">
        <v>127</v>
      </c>
      <c r="G408" s="23" t="s">
        <v>128</v>
      </c>
      <c r="H408" s="24">
        <v>46097</v>
      </c>
      <c r="I408" s="24">
        <v>46097</v>
      </c>
      <c r="J408" s="23" t="s">
        <v>2254</v>
      </c>
      <c r="K408" s="23" t="s">
        <v>2254</v>
      </c>
      <c r="L408" s="23">
        <v>1</v>
      </c>
      <c r="M408" s="23" t="s">
        <v>78</v>
      </c>
      <c r="N408" s="23" t="s">
        <v>78</v>
      </c>
      <c r="O408" s="23">
        <v>1486.03</v>
      </c>
      <c r="P408" s="23" t="s">
        <v>79</v>
      </c>
      <c r="Q408" s="23" t="s">
        <v>83</v>
      </c>
      <c r="R408" s="23">
        <v>11100176</v>
      </c>
      <c r="S408" s="24">
        <v>46097</v>
      </c>
      <c r="T408" s="24">
        <v>46055</v>
      </c>
      <c r="U408" s="24" t="s">
        <v>80</v>
      </c>
      <c r="X408" s="24">
        <v>46051</v>
      </c>
      <c r="Y408" s="23">
        <v>1111</v>
      </c>
      <c r="Z408" s="23">
        <v>11400937</v>
      </c>
      <c r="AA408" s="23">
        <v>3951</v>
      </c>
      <c r="AB408" s="24">
        <v>46050</v>
      </c>
    </row>
    <row r="409" spans="2:28" x14ac:dyDescent="0.2">
      <c r="C409" s="23">
        <v>1100575664</v>
      </c>
      <c r="E409" s="23">
        <v>20</v>
      </c>
      <c r="F409" s="23" t="s">
        <v>82</v>
      </c>
      <c r="G409" s="23" t="s">
        <v>139</v>
      </c>
      <c r="H409" s="24">
        <v>46097</v>
      </c>
      <c r="I409" s="24">
        <v>46097</v>
      </c>
      <c r="J409" s="23" t="s">
        <v>2254</v>
      </c>
      <c r="K409" s="23" t="s">
        <v>2254</v>
      </c>
      <c r="L409" s="23">
        <v>1</v>
      </c>
      <c r="M409" s="23" t="s">
        <v>78</v>
      </c>
      <c r="N409" s="23" t="s">
        <v>78</v>
      </c>
      <c r="O409" s="23">
        <v>0.01</v>
      </c>
      <c r="P409" s="23" t="s">
        <v>79</v>
      </c>
      <c r="Q409" s="23" t="s">
        <v>83</v>
      </c>
      <c r="R409" s="23">
        <v>11100176</v>
      </c>
      <c r="S409" s="24" t="s">
        <v>80</v>
      </c>
      <c r="T409" s="24">
        <v>46055</v>
      </c>
      <c r="U409" s="24" t="s">
        <v>80</v>
      </c>
      <c r="X409" s="24">
        <v>46051</v>
      </c>
      <c r="Y409" s="23">
        <v>1111</v>
      </c>
      <c r="Z409" s="23">
        <v>11400937</v>
      </c>
      <c r="AA409" s="23">
        <v>3951</v>
      </c>
      <c r="AB409" s="24">
        <v>46050</v>
      </c>
    </row>
    <row r="410" spans="2:28" x14ac:dyDescent="0.2">
      <c r="B410" s="23" t="s">
        <v>81</v>
      </c>
      <c r="C410" s="23">
        <v>1100575664</v>
      </c>
      <c r="H410" s="24">
        <v>46097</v>
      </c>
      <c r="O410" s="23">
        <v>1486.04</v>
      </c>
      <c r="P410" s="23" t="s">
        <v>79</v>
      </c>
    </row>
    <row r="411" spans="2:28" x14ac:dyDescent="0.2">
      <c r="C411" s="23">
        <v>1100575676</v>
      </c>
      <c r="E411" s="23">
        <v>10</v>
      </c>
      <c r="F411" s="23" t="s">
        <v>2827</v>
      </c>
      <c r="G411" s="23" t="s">
        <v>2828</v>
      </c>
      <c r="H411" s="24">
        <v>46097</v>
      </c>
      <c r="I411" s="24">
        <v>46097</v>
      </c>
      <c r="J411" s="23" t="s">
        <v>1784</v>
      </c>
      <c r="K411" s="23" t="s">
        <v>1784</v>
      </c>
      <c r="L411" s="23">
        <v>2</v>
      </c>
      <c r="M411" s="23" t="s">
        <v>78</v>
      </c>
      <c r="N411" s="23" t="s">
        <v>78</v>
      </c>
      <c r="O411" s="23">
        <v>2712.92</v>
      </c>
      <c r="P411" s="23" t="s">
        <v>79</v>
      </c>
      <c r="Q411" s="23" t="s">
        <v>83</v>
      </c>
      <c r="R411" s="23">
        <v>11100176</v>
      </c>
      <c r="S411" s="24">
        <v>46097</v>
      </c>
      <c r="T411" s="24">
        <v>46055</v>
      </c>
      <c r="U411" s="24" t="s">
        <v>80</v>
      </c>
      <c r="X411" s="24">
        <v>46052</v>
      </c>
      <c r="Y411" s="23">
        <v>1111</v>
      </c>
      <c r="Z411" s="23">
        <v>11400937</v>
      </c>
      <c r="AA411" s="23">
        <v>5051</v>
      </c>
      <c r="AB411" s="24">
        <v>46051</v>
      </c>
    </row>
    <row r="412" spans="2:28" x14ac:dyDescent="0.2">
      <c r="C412" s="23">
        <v>1100575676</v>
      </c>
      <c r="E412" s="23">
        <v>20</v>
      </c>
      <c r="F412" s="23" t="s">
        <v>263</v>
      </c>
      <c r="G412" s="23" t="s">
        <v>264</v>
      </c>
      <c r="H412" s="24">
        <v>46097</v>
      </c>
      <c r="I412" s="24">
        <v>46097</v>
      </c>
      <c r="J412" s="23" t="s">
        <v>1784</v>
      </c>
      <c r="K412" s="23" t="s">
        <v>1784</v>
      </c>
      <c r="L412" s="23">
        <v>2</v>
      </c>
      <c r="M412" s="23" t="s">
        <v>78</v>
      </c>
      <c r="N412" s="23" t="s">
        <v>78</v>
      </c>
      <c r="O412" s="23">
        <v>2585.92</v>
      </c>
      <c r="P412" s="23" t="s">
        <v>79</v>
      </c>
      <c r="Q412" s="23" t="s">
        <v>83</v>
      </c>
      <c r="R412" s="23">
        <v>11100176</v>
      </c>
      <c r="S412" s="24">
        <v>46097</v>
      </c>
      <c r="T412" s="24">
        <v>46055</v>
      </c>
      <c r="U412" s="24" t="s">
        <v>80</v>
      </c>
      <c r="X412" s="24">
        <v>46052</v>
      </c>
      <c r="Y412" s="23">
        <v>1111</v>
      </c>
      <c r="Z412" s="23">
        <v>11400937</v>
      </c>
      <c r="AA412" s="23">
        <v>5051</v>
      </c>
      <c r="AB412" s="24">
        <v>46051</v>
      </c>
    </row>
    <row r="413" spans="2:28" x14ac:dyDescent="0.2">
      <c r="C413" s="23">
        <v>1100575676</v>
      </c>
      <c r="E413" s="23">
        <v>30</v>
      </c>
      <c r="F413" s="23" t="s">
        <v>2829</v>
      </c>
      <c r="G413" s="23" t="s">
        <v>2830</v>
      </c>
      <c r="H413" s="24">
        <v>46097</v>
      </c>
      <c r="I413" s="24">
        <v>46097</v>
      </c>
      <c r="J413" s="23" t="s">
        <v>1784</v>
      </c>
      <c r="K413" s="23" t="s">
        <v>1784</v>
      </c>
      <c r="L413" s="23">
        <v>2</v>
      </c>
      <c r="M413" s="23" t="s">
        <v>78</v>
      </c>
      <c r="N413" s="23" t="s">
        <v>78</v>
      </c>
      <c r="O413" s="23">
        <v>1328.1</v>
      </c>
      <c r="P413" s="23" t="s">
        <v>79</v>
      </c>
      <c r="Q413" s="23" t="s">
        <v>83</v>
      </c>
      <c r="R413" s="23">
        <v>11100176</v>
      </c>
      <c r="S413" s="24">
        <v>46097</v>
      </c>
      <c r="T413" s="24">
        <v>46055</v>
      </c>
      <c r="U413" s="24" t="s">
        <v>80</v>
      </c>
      <c r="X413" s="24">
        <v>46052</v>
      </c>
      <c r="Y413" s="23">
        <v>1111</v>
      </c>
      <c r="Z413" s="23">
        <v>11400937</v>
      </c>
      <c r="AA413" s="23">
        <v>5051</v>
      </c>
      <c r="AB413" s="24">
        <v>46051</v>
      </c>
    </row>
    <row r="414" spans="2:28" x14ac:dyDescent="0.2">
      <c r="C414" s="23">
        <v>1100575676</v>
      </c>
      <c r="E414" s="23">
        <v>40</v>
      </c>
      <c r="F414" s="23" t="s">
        <v>82</v>
      </c>
      <c r="G414" s="23" t="s">
        <v>139</v>
      </c>
      <c r="H414" s="24">
        <v>46097</v>
      </c>
      <c r="I414" s="24">
        <v>46097</v>
      </c>
      <c r="J414" s="23" t="s">
        <v>1784</v>
      </c>
      <c r="K414" s="23" t="s">
        <v>1784</v>
      </c>
      <c r="L414" s="23">
        <v>1</v>
      </c>
      <c r="M414" s="23" t="s">
        <v>78</v>
      </c>
      <c r="N414" s="23" t="s">
        <v>78</v>
      </c>
      <c r="O414" s="23">
        <v>0.01</v>
      </c>
      <c r="P414" s="23" t="s">
        <v>79</v>
      </c>
      <c r="Q414" s="23" t="s">
        <v>83</v>
      </c>
      <c r="R414" s="23">
        <v>11100176</v>
      </c>
      <c r="S414" s="24" t="s">
        <v>80</v>
      </c>
      <c r="T414" s="24">
        <v>46055</v>
      </c>
      <c r="U414" s="24" t="s">
        <v>80</v>
      </c>
      <c r="X414" s="24">
        <v>46052</v>
      </c>
      <c r="Y414" s="23">
        <v>1111</v>
      </c>
      <c r="Z414" s="23">
        <v>11400937</v>
      </c>
      <c r="AA414" s="23">
        <v>5051</v>
      </c>
      <c r="AB414" s="24">
        <v>46051</v>
      </c>
    </row>
    <row r="415" spans="2:28" x14ac:dyDescent="0.2">
      <c r="B415" s="23" t="s">
        <v>81</v>
      </c>
      <c r="C415" s="23">
        <v>1100575676</v>
      </c>
      <c r="H415" s="24">
        <v>46097</v>
      </c>
      <c r="O415" s="23">
        <v>6626.95</v>
      </c>
      <c r="P415" s="23" t="s">
        <v>79</v>
      </c>
    </row>
    <row r="416" spans="2:28" x14ac:dyDescent="0.2">
      <c r="C416" s="23">
        <v>1100576758</v>
      </c>
      <c r="E416" s="23">
        <v>10</v>
      </c>
      <c r="F416" s="23" t="s">
        <v>680</v>
      </c>
      <c r="G416" s="23" t="s">
        <v>681</v>
      </c>
      <c r="H416" s="24">
        <v>46097</v>
      </c>
      <c r="I416" s="24">
        <v>46097</v>
      </c>
      <c r="J416" s="23" t="s">
        <v>2831</v>
      </c>
      <c r="K416" s="23" t="s">
        <v>2831</v>
      </c>
      <c r="L416" s="23">
        <v>1</v>
      </c>
      <c r="M416" s="23" t="s">
        <v>78</v>
      </c>
      <c r="N416" s="23" t="s">
        <v>78</v>
      </c>
      <c r="O416" s="23">
        <v>1010.97</v>
      </c>
      <c r="P416" s="23" t="s">
        <v>79</v>
      </c>
      <c r="Q416" s="23" t="s">
        <v>83</v>
      </c>
      <c r="R416" s="23">
        <v>11100176</v>
      </c>
      <c r="S416" s="24">
        <v>46087</v>
      </c>
      <c r="T416" s="24">
        <v>46066</v>
      </c>
      <c r="U416" s="24" t="s">
        <v>80</v>
      </c>
      <c r="X416" s="24">
        <v>46062</v>
      </c>
      <c r="Y416" s="23">
        <v>1111</v>
      </c>
      <c r="Z416" s="23">
        <v>11600003</v>
      </c>
      <c r="AA416" s="23">
        <v>505103</v>
      </c>
      <c r="AB416" s="24">
        <v>46064</v>
      </c>
    </row>
    <row r="417" spans="2:28" x14ac:dyDescent="0.2">
      <c r="C417" s="23">
        <v>1100576758</v>
      </c>
      <c r="E417" s="23">
        <v>20</v>
      </c>
      <c r="F417" s="23" t="s">
        <v>2832</v>
      </c>
      <c r="G417" s="23" t="s">
        <v>2833</v>
      </c>
      <c r="H417" s="24">
        <v>46097</v>
      </c>
      <c r="I417" s="24">
        <v>46097</v>
      </c>
      <c r="J417" s="23" t="s">
        <v>2831</v>
      </c>
      <c r="K417" s="23" t="s">
        <v>2831</v>
      </c>
      <c r="L417" s="23">
        <v>2</v>
      </c>
      <c r="M417" s="23" t="s">
        <v>78</v>
      </c>
      <c r="N417" s="23" t="s">
        <v>78</v>
      </c>
      <c r="O417" s="23">
        <v>346.5</v>
      </c>
      <c r="P417" s="23" t="s">
        <v>79</v>
      </c>
      <c r="Q417" s="23" t="s">
        <v>83</v>
      </c>
      <c r="R417" s="23">
        <v>11100176</v>
      </c>
      <c r="S417" s="24">
        <v>46087</v>
      </c>
      <c r="T417" s="24">
        <v>46066</v>
      </c>
      <c r="U417" s="24" t="s">
        <v>80</v>
      </c>
      <c r="X417" s="24">
        <v>46062</v>
      </c>
      <c r="Y417" s="23">
        <v>1111</v>
      </c>
      <c r="Z417" s="23">
        <v>11600003</v>
      </c>
      <c r="AA417" s="23">
        <v>505103</v>
      </c>
      <c r="AB417" s="24">
        <v>46064</v>
      </c>
    </row>
    <row r="418" spans="2:28" x14ac:dyDescent="0.2">
      <c r="C418" s="23">
        <v>1100576758</v>
      </c>
      <c r="E418" s="23">
        <v>30</v>
      </c>
      <c r="F418" s="23" t="s">
        <v>787</v>
      </c>
      <c r="G418" s="23" t="s">
        <v>788</v>
      </c>
      <c r="H418" s="24">
        <v>46097</v>
      </c>
      <c r="I418" s="24">
        <v>46097</v>
      </c>
      <c r="J418" s="23" t="s">
        <v>2831</v>
      </c>
      <c r="K418" s="23" t="s">
        <v>2831</v>
      </c>
      <c r="L418" s="23">
        <v>1</v>
      </c>
      <c r="M418" s="23" t="s">
        <v>78</v>
      </c>
      <c r="N418" s="23" t="s">
        <v>78</v>
      </c>
      <c r="O418" s="23">
        <v>892.55</v>
      </c>
      <c r="P418" s="23" t="s">
        <v>79</v>
      </c>
      <c r="Q418" s="23" t="s">
        <v>83</v>
      </c>
      <c r="R418" s="23">
        <v>11100176</v>
      </c>
      <c r="S418" s="24">
        <v>46087</v>
      </c>
      <c r="T418" s="24">
        <v>46066</v>
      </c>
      <c r="U418" s="24" t="s">
        <v>80</v>
      </c>
      <c r="X418" s="24">
        <v>46062</v>
      </c>
      <c r="Y418" s="23">
        <v>1111</v>
      </c>
      <c r="Z418" s="23">
        <v>11600003</v>
      </c>
      <c r="AA418" s="23">
        <v>505103</v>
      </c>
      <c r="AB418" s="24">
        <v>46064</v>
      </c>
    </row>
    <row r="419" spans="2:28" x14ac:dyDescent="0.2">
      <c r="C419" s="23">
        <v>1100576758</v>
      </c>
      <c r="E419" s="23">
        <v>40</v>
      </c>
      <c r="F419" s="23" t="s">
        <v>209</v>
      </c>
      <c r="G419" s="23" t="s">
        <v>210</v>
      </c>
      <c r="H419" s="24">
        <v>46097</v>
      </c>
      <c r="I419" s="24">
        <v>46097</v>
      </c>
      <c r="J419" s="23" t="s">
        <v>2831</v>
      </c>
      <c r="K419" s="23" t="s">
        <v>2831</v>
      </c>
      <c r="L419" s="23">
        <v>1</v>
      </c>
      <c r="M419" s="23" t="s">
        <v>78</v>
      </c>
      <c r="N419" s="23" t="s">
        <v>78</v>
      </c>
      <c r="O419" s="23">
        <v>0</v>
      </c>
      <c r="P419" s="23" t="s">
        <v>79</v>
      </c>
      <c r="Q419" s="23" t="s">
        <v>83</v>
      </c>
      <c r="R419" s="23">
        <v>11100176</v>
      </c>
      <c r="S419" s="24">
        <v>46087</v>
      </c>
      <c r="T419" s="24">
        <v>46066</v>
      </c>
      <c r="U419" s="24" t="s">
        <v>80</v>
      </c>
      <c r="X419" s="24">
        <v>46062</v>
      </c>
      <c r="Y419" s="23">
        <v>1111</v>
      </c>
      <c r="Z419" s="23">
        <v>11600003</v>
      </c>
      <c r="AA419" s="23">
        <v>505103</v>
      </c>
      <c r="AB419" s="24">
        <v>46064</v>
      </c>
    </row>
    <row r="420" spans="2:28" x14ac:dyDescent="0.2">
      <c r="B420" s="23" t="s">
        <v>81</v>
      </c>
      <c r="C420" s="23">
        <v>1100576758</v>
      </c>
      <c r="H420" s="24">
        <v>46097</v>
      </c>
      <c r="O420" s="23">
        <v>2250.02</v>
      </c>
      <c r="P420" s="23" t="s">
        <v>79</v>
      </c>
    </row>
    <row r="421" spans="2:28" x14ac:dyDescent="0.2">
      <c r="C421" s="23">
        <v>1100576886</v>
      </c>
      <c r="E421" s="23">
        <v>10</v>
      </c>
      <c r="F421" s="23" t="s">
        <v>1116</v>
      </c>
      <c r="G421" s="23" t="s">
        <v>2147</v>
      </c>
      <c r="H421" s="24">
        <v>46097</v>
      </c>
      <c r="I421" s="24">
        <v>46097</v>
      </c>
      <c r="J421" s="23" t="s">
        <v>1777</v>
      </c>
      <c r="K421" s="23" t="s">
        <v>1777</v>
      </c>
      <c r="L421" s="23">
        <v>5</v>
      </c>
      <c r="M421" s="23" t="s">
        <v>78</v>
      </c>
      <c r="N421" s="23" t="s">
        <v>78</v>
      </c>
      <c r="O421" s="23">
        <v>2247.85</v>
      </c>
      <c r="P421" s="23" t="s">
        <v>79</v>
      </c>
      <c r="Q421" s="23" t="s">
        <v>83</v>
      </c>
      <c r="R421" s="23">
        <v>11100008</v>
      </c>
      <c r="S421" s="24">
        <v>46097</v>
      </c>
      <c r="T421" s="24">
        <v>46069</v>
      </c>
      <c r="U421" s="24" t="s">
        <v>80</v>
      </c>
      <c r="X421" s="24">
        <v>46069</v>
      </c>
      <c r="Y421" s="23">
        <v>1111</v>
      </c>
      <c r="Z421" s="23">
        <v>11400789</v>
      </c>
      <c r="AA421" s="23">
        <v>335103</v>
      </c>
      <c r="AB421" s="24">
        <v>46001</v>
      </c>
    </row>
    <row r="422" spans="2:28" x14ac:dyDescent="0.2">
      <c r="C422" s="23">
        <v>1100576886</v>
      </c>
      <c r="E422" s="23">
        <v>20</v>
      </c>
      <c r="F422" s="23" t="s">
        <v>82</v>
      </c>
      <c r="G422" s="23" t="s">
        <v>139</v>
      </c>
      <c r="H422" s="24">
        <v>46097</v>
      </c>
      <c r="I422" s="24">
        <v>46097</v>
      </c>
      <c r="J422" s="23" t="s">
        <v>1777</v>
      </c>
      <c r="K422" s="23" t="s">
        <v>1777</v>
      </c>
      <c r="L422" s="23">
        <v>1</v>
      </c>
      <c r="M422" s="23" t="s">
        <v>78</v>
      </c>
      <c r="N422" s="23" t="s">
        <v>78</v>
      </c>
      <c r="O422" s="23">
        <v>0.01</v>
      </c>
      <c r="P422" s="23" t="s">
        <v>79</v>
      </c>
      <c r="Q422" s="23" t="s">
        <v>83</v>
      </c>
      <c r="R422" s="23">
        <v>11100008</v>
      </c>
      <c r="S422" s="24" t="s">
        <v>80</v>
      </c>
      <c r="T422" s="24">
        <v>46069</v>
      </c>
      <c r="U422" s="24" t="s">
        <v>80</v>
      </c>
      <c r="X422" s="24">
        <v>46069</v>
      </c>
      <c r="Y422" s="23">
        <v>1111</v>
      </c>
      <c r="Z422" s="23">
        <v>11400789</v>
      </c>
      <c r="AA422" s="23">
        <v>335103</v>
      </c>
      <c r="AB422" s="24">
        <v>46001</v>
      </c>
    </row>
    <row r="423" spans="2:28" x14ac:dyDescent="0.2">
      <c r="B423" s="23" t="s">
        <v>81</v>
      </c>
      <c r="C423" s="23">
        <v>1100576886</v>
      </c>
      <c r="H423" s="24">
        <v>46097</v>
      </c>
      <c r="O423" s="23">
        <v>2247.86</v>
      </c>
      <c r="P423" s="23" t="s">
        <v>79</v>
      </c>
    </row>
    <row r="424" spans="2:28" x14ac:dyDescent="0.2">
      <c r="C424" s="23">
        <v>1100577610</v>
      </c>
      <c r="E424" s="23">
        <v>10</v>
      </c>
      <c r="F424" s="23" t="s">
        <v>2834</v>
      </c>
      <c r="G424" s="23" t="s">
        <v>2835</v>
      </c>
      <c r="H424" s="24">
        <v>46097</v>
      </c>
      <c r="I424" s="24">
        <v>46097</v>
      </c>
      <c r="J424" s="23" t="s">
        <v>1416</v>
      </c>
      <c r="K424" s="23" t="s">
        <v>1416</v>
      </c>
      <c r="L424" s="23">
        <v>2</v>
      </c>
      <c r="M424" s="23" t="s">
        <v>78</v>
      </c>
      <c r="N424" s="23" t="s">
        <v>78</v>
      </c>
      <c r="O424" s="23">
        <v>736.47</v>
      </c>
      <c r="P424" s="23" t="s">
        <v>79</v>
      </c>
      <c r="Q424" s="23" t="s">
        <v>83</v>
      </c>
      <c r="R424" s="23">
        <v>11100008</v>
      </c>
      <c r="S424" s="24">
        <v>46097</v>
      </c>
      <c r="T424" s="24">
        <v>46076</v>
      </c>
      <c r="U424" s="24" t="s">
        <v>80</v>
      </c>
      <c r="X424" s="24">
        <v>46064</v>
      </c>
      <c r="Y424" s="23">
        <v>1111</v>
      </c>
      <c r="Z424" s="23">
        <v>11600001</v>
      </c>
      <c r="AA424" s="23">
        <v>5051</v>
      </c>
      <c r="AB424" s="24">
        <v>46072</v>
      </c>
    </row>
    <row r="425" spans="2:28" x14ac:dyDescent="0.2">
      <c r="B425" s="23" t="s">
        <v>81</v>
      </c>
      <c r="C425" s="23">
        <v>1100577610</v>
      </c>
      <c r="H425" s="24">
        <v>46097</v>
      </c>
      <c r="O425" s="23">
        <v>736.47</v>
      </c>
      <c r="P425" s="23" t="s">
        <v>79</v>
      </c>
    </row>
    <row r="426" spans="2:28" x14ac:dyDescent="0.2">
      <c r="C426" s="23">
        <v>1100577612</v>
      </c>
      <c r="E426" s="23">
        <v>10</v>
      </c>
      <c r="F426" s="23" t="s">
        <v>2836</v>
      </c>
      <c r="G426" s="23" t="s">
        <v>2837</v>
      </c>
      <c r="H426" s="24">
        <v>46097</v>
      </c>
      <c r="I426" s="24">
        <v>46097</v>
      </c>
      <c r="J426" s="23" t="s">
        <v>168</v>
      </c>
      <c r="K426" s="23" t="s">
        <v>168</v>
      </c>
      <c r="L426" s="23">
        <v>8</v>
      </c>
      <c r="M426" s="23" t="s">
        <v>122</v>
      </c>
      <c r="N426" s="23" t="s">
        <v>122</v>
      </c>
      <c r="O426" s="23">
        <v>0.08</v>
      </c>
      <c r="P426" s="23" t="s">
        <v>79</v>
      </c>
      <c r="Q426" s="23" t="s">
        <v>83</v>
      </c>
      <c r="R426" s="23">
        <v>11100008</v>
      </c>
      <c r="S426" s="24" t="s">
        <v>80</v>
      </c>
      <c r="T426" s="24">
        <v>46076</v>
      </c>
      <c r="U426" s="24">
        <v>46097</v>
      </c>
      <c r="X426" s="24">
        <v>46071</v>
      </c>
      <c r="Y426" s="23">
        <v>1111</v>
      </c>
      <c r="Z426" s="23">
        <v>11400797</v>
      </c>
      <c r="AA426" s="23">
        <v>5251</v>
      </c>
      <c r="AB426" s="24">
        <v>46038</v>
      </c>
    </row>
    <row r="427" spans="2:28" x14ac:dyDescent="0.2">
      <c r="B427" s="23" t="s">
        <v>81</v>
      </c>
      <c r="C427" s="23">
        <v>1100577612</v>
      </c>
      <c r="H427" s="24">
        <v>46097</v>
      </c>
      <c r="O427" s="23">
        <v>0.08</v>
      </c>
      <c r="P427" s="23" t="s">
        <v>79</v>
      </c>
    </row>
    <row r="428" spans="2:28" x14ac:dyDescent="0.2">
      <c r="C428" s="23">
        <v>1100571579</v>
      </c>
      <c r="E428" s="23">
        <v>10</v>
      </c>
      <c r="F428" s="23" t="s">
        <v>2133</v>
      </c>
      <c r="G428" s="23" t="s">
        <v>2134</v>
      </c>
      <c r="H428" s="24">
        <v>46098</v>
      </c>
      <c r="I428" s="24">
        <v>46098</v>
      </c>
      <c r="J428" s="23" t="s">
        <v>782</v>
      </c>
      <c r="K428" s="23" t="s">
        <v>782</v>
      </c>
      <c r="L428" s="23">
        <v>2</v>
      </c>
      <c r="M428" s="23" t="s">
        <v>78</v>
      </c>
      <c r="N428" s="23" t="s">
        <v>78</v>
      </c>
      <c r="O428" s="23">
        <v>6600</v>
      </c>
      <c r="P428" s="23" t="s">
        <v>79</v>
      </c>
      <c r="Q428" s="23" t="s">
        <v>83</v>
      </c>
      <c r="R428" s="23">
        <v>11100176</v>
      </c>
      <c r="S428" s="24">
        <v>46098</v>
      </c>
      <c r="T428" s="24">
        <v>46007</v>
      </c>
      <c r="U428" s="24">
        <v>47116</v>
      </c>
      <c r="X428" s="24">
        <v>46006</v>
      </c>
      <c r="Y428" s="23">
        <v>1111</v>
      </c>
      <c r="Z428" s="23">
        <v>11400811</v>
      </c>
      <c r="AA428" s="23">
        <v>395103</v>
      </c>
      <c r="AB428" s="24">
        <v>45961</v>
      </c>
    </row>
    <row r="429" spans="2:28" x14ac:dyDescent="0.2">
      <c r="C429" s="23">
        <v>1100571579</v>
      </c>
      <c r="E429" s="23">
        <v>30</v>
      </c>
      <c r="F429" s="23" t="s">
        <v>2135</v>
      </c>
      <c r="G429" s="23" t="s">
        <v>2136</v>
      </c>
      <c r="H429" s="24">
        <v>46098</v>
      </c>
      <c r="I429" s="24">
        <v>46098</v>
      </c>
      <c r="J429" s="23" t="s">
        <v>782</v>
      </c>
      <c r="K429" s="23" t="s">
        <v>782</v>
      </c>
      <c r="L429" s="23">
        <v>2</v>
      </c>
      <c r="M429" s="23" t="s">
        <v>78</v>
      </c>
      <c r="N429" s="23" t="s">
        <v>78</v>
      </c>
      <c r="O429" s="23">
        <v>6204</v>
      </c>
      <c r="P429" s="23" t="s">
        <v>79</v>
      </c>
      <c r="Q429" s="23" t="s">
        <v>83</v>
      </c>
      <c r="R429" s="23">
        <v>11100176</v>
      </c>
      <c r="S429" s="24">
        <v>46098</v>
      </c>
      <c r="T429" s="24">
        <v>46007</v>
      </c>
      <c r="U429" s="24">
        <v>47116</v>
      </c>
      <c r="X429" s="24">
        <v>46006</v>
      </c>
      <c r="Y429" s="23">
        <v>1111</v>
      </c>
      <c r="Z429" s="23">
        <v>11400811</v>
      </c>
      <c r="AA429" s="23">
        <v>395103</v>
      </c>
      <c r="AB429" s="24">
        <v>45961</v>
      </c>
    </row>
    <row r="430" spans="2:28" x14ac:dyDescent="0.2">
      <c r="C430" s="23">
        <v>1100571579</v>
      </c>
      <c r="E430" s="23">
        <v>50</v>
      </c>
      <c r="F430" s="23" t="s">
        <v>2137</v>
      </c>
      <c r="G430" s="23" t="s">
        <v>2138</v>
      </c>
      <c r="H430" s="24">
        <v>46098</v>
      </c>
      <c r="I430" s="24">
        <v>46098</v>
      </c>
      <c r="J430" s="23" t="s">
        <v>782</v>
      </c>
      <c r="K430" s="23" t="s">
        <v>782</v>
      </c>
      <c r="L430" s="23">
        <v>2</v>
      </c>
      <c r="M430" s="23" t="s">
        <v>566</v>
      </c>
      <c r="N430" s="23" t="s">
        <v>566</v>
      </c>
      <c r="O430" s="23">
        <v>9300.52</v>
      </c>
      <c r="P430" s="23" t="s">
        <v>79</v>
      </c>
      <c r="Q430" s="23" t="s">
        <v>83</v>
      </c>
      <c r="R430" s="23">
        <v>11100176</v>
      </c>
      <c r="S430" s="24">
        <v>46098</v>
      </c>
      <c r="T430" s="24">
        <v>46007</v>
      </c>
      <c r="U430" s="24">
        <v>47116</v>
      </c>
      <c r="X430" s="24">
        <v>46006</v>
      </c>
      <c r="Y430" s="23">
        <v>1111</v>
      </c>
      <c r="Z430" s="23">
        <v>11400811</v>
      </c>
      <c r="AA430" s="23">
        <v>395103</v>
      </c>
      <c r="AB430" s="24">
        <v>45961</v>
      </c>
    </row>
    <row r="431" spans="2:28" x14ac:dyDescent="0.2">
      <c r="C431" s="23">
        <v>1100571579</v>
      </c>
      <c r="E431" s="23">
        <v>60</v>
      </c>
      <c r="F431" s="23" t="s">
        <v>82</v>
      </c>
      <c r="G431" s="23" t="s">
        <v>139</v>
      </c>
      <c r="H431" s="24">
        <v>46098</v>
      </c>
      <c r="I431" s="24">
        <v>46098</v>
      </c>
      <c r="J431" s="23" t="s">
        <v>782</v>
      </c>
      <c r="K431" s="23" t="s">
        <v>782</v>
      </c>
      <c r="L431" s="23">
        <v>1</v>
      </c>
      <c r="M431" s="23" t="s">
        <v>78</v>
      </c>
      <c r="N431" s="23" t="s">
        <v>78</v>
      </c>
      <c r="O431" s="23">
        <v>0.01</v>
      </c>
      <c r="P431" s="23" t="s">
        <v>79</v>
      </c>
      <c r="Q431" s="23" t="s">
        <v>83</v>
      </c>
      <c r="R431" s="23">
        <v>11100176</v>
      </c>
      <c r="S431" s="24" t="s">
        <v>80</v>
      </c>
      <c r="T431" s="24">
        <v>46007</v>
      </c>
      <c r="U431" s="24">
        <v>47116</v>
      </c>
      <c r="X431" s="24">
        <v>46006</v>
      </c>
      <c r="Y431" s="23">
        <v>1111</v>
      </c>
      <c r="Z431" s="23">
        <v>11400811</v>
      </c>
      <c r="AA431" s="23">
        <v>395103</v>
      </c>
      <c r="AB431" s="24">
        <v>45961</v>
      </c>
    </row>
    <row r="432" spans="2:28" x14ac:dyDescent="0.2">
      <c r="B432" s="23" t="s">
        <v>81</v>
      </c>
      <c r="C432" s="23">
        <v>1100571579</v>
      </c>
      <c r="H432" s="24">
        <v>46098</v>
      </c>
      <c r="O432" s="23">
        <v>22104.53</v>
      </c>
      <c r="P432" s="23" t="s">
        <v>79</v>
      </c>
    </row>
    <row r="433" spans="2:28" x14ac:dyDescent="0.2">
      <c r="C433" s="23">
        <v>1100573202</v>
      </c>
      <c r="E433" s="23">
        <v>10</v>
      </c>
      <c r="F433" s="23" t="s">
        <v>536</v>
      </c>
      <c r="G433" s="23" t="s">
        <v>537</v>
      </c>
      <c r="H433" s="24">
        <v>46098</v>
      </c>
      <c r="I433" s="24">
        <v>46098</v>
      </c>
      <c r="J433" s="23" t="s">
        <v>2101</v>
      </c>
      <c r="K433" s="23" t="s">
        <v>2101</v>
      </c>
      <c r="L433" s="23">
        <v>1</v>
      </c>
      <c r="M433" s="23" t="s">
        <v>78</v>
      </c>
      <c r="N433" s="23" t="s">
        <v>78</v>
      </c>
      <c r="O433" s="23">
        <v>5028.01</v>
      </c>
      <c r="P433" s="23" t="s">
        <v>79</v>
      </c>
      <c r="Q433" s="23" t="s">
        <v>83</v>
      </c>
      <c r="R433" s="23">
        <v>11100176</v>
      </c>
      <c r="S433" s="24">
        <v>46087</v>
      </c>
      <c r="T433" s="24">
        <v>46031</v>
      </c>
      <c r="U433" s="24">
        <v>46087</v>
      </c>
      <c r="X433" s="24">
        <v>46028</v>
      </c>
      <c r="Y433" s="23">
        <v>1111</v>
      </c>
      <c r="Z433" s="23">
        <v>11600003</v>
      </c>
      <c r="AA433" s="23">
        <v>335103</v>
      </c>
      <c r="AB433" s="24">
        <v>46028</v>
      </c>
    </row>
    <row r="434" spans="2:28" x14ac:dyDescent="0.2">
      <c r="C434" s="23">
        <v>1100573202</v>
      </c>
      <c r="E434" s="23">
        <v>20</v>
      </c>
      <c r="F434" s="23" t="s">
        <v>2102</v>
      </c>
      <c r="G434" s="23" t="s">
        <v>2103</v>
      </c>
      <c r="H434" s="24">
        <v>46098</v>
      </c>
      <c r="I434" s="24">
        <v>46098</v>
      </c>
      <c r="J434" s="23" t="s">
        <v>2101</v>
      </c>
      <c r="K434" s="23" t="s">
        <v>2101</v>
      </c>
      <c r="L434" s="23">
        <v>1</v>
      </c>
      <c r="M434" s="23" t="s">
        <v>566</v>
      </c>
      <c r="N434" s="23" t="s">
        <v>566</v>
      </c>
      <c r="O434" s="23">
        <v>2687.52</v>
      </c>
      <c r="P434" s="23" t="s">
        <v>79</v>
      </c>
      <c r="Q434" s="23" t="s">
        <v>83</v>
      </c>
      <c r="R434" s="23">
        <v>11100176</v>
      </c>
      <c r="S434" s="24">
        <v>46087</v>
      </c>
      <c r="T434" s="24">
        <v>46031</v>
      </c>
      <c r="U434" s="24">
        <v>46087</v>
      </c>
      <c r="X434" s="24">
        <v>46028</v>
      </c>
      <c r="Y434" s="23">
        <v>1111</v>
      </c>
      <c r="Z434" s="23">
        <v>11600003</v>
      </c>
      <c r="AA434" s="23">
        <v>335103</v>
      </c>
      <c r="AB434" s="24">
        <v>46028</v>
      </c>
    </row>
    <row r="435" spans="2:28" x14ac:dyDescent="0.2">
      <c r="B435" s="23" t="s">
        <v>81</v>
      </c>
      <c r="C435" s="23">
        <v>1100573202</v>
      </c>
      <c r="H435" s="24">
        <v>46098</v>
      </c>
      <c r="O435" s="23">
        <v>7715.53</v>
      </c>
      <c r="P435" s="23" t="s">
        <v>79</v>
      </c>
    </row>
    <row r="436" spans="2:28" x14ac:dyDescent="0.2">
      <c r="C436" s="23">
        <v>1100573900</v>
      </c>
      <c r="E436" s="23">
        <v>10</v>
      </c>
      <c r="F436" s="23" t="s">
        <v>2838</v>
      </c>
      <c r="G436" s="23" t="s">
        <v>2839</v>
      </c>
      <c r="H436" s="24">
        <v>46098</v>
      </c>
      <c r="I436" s="24">
        <v>46098</v>
      </c>
      <c r="J436" s="23" t="s">
        <v>282</v>
      </c>
      <c r="K436" s="23" t="s">
        <v>282</v>
      </c>
      <c r="L436" s="23">
        <v>1</v>
      </c>
      <c r="M436" s="23" t="s">
        <v>78</v>
      </c>
      <c r="N436" s="23" t="s">
        <v>78</v>
      </c>
      <c r="O436" s="23">
        <v>2262.6999999999998</v>
      </c>
      <c r="P436" s="23" t="s">
        <v>79</v>
      </c>
      <c r="Q436" s="23" t="s">
        <v>83</v>
      </c>
      <c r="R436" s="23">
        <v>11100176</v>
      </c>
      <c r="S436" s="24">
        <v>46079</v>
      </c>
      <c r="T436" s="24">
        <v>46037</v>
      </c>
      <c r="U436" s="24" t="s">
        <v>80</v>
      </c>
      <c r="X436" s="24">
        <v>46006</v>
      </c>
      <c r="Y436" s="23">
        <v>1111</v>
      </c>
      <c r="Z436" s="23">
        <v>11400937</v>
      </c>
      <c r="AA436" s="23">
        <v>5051</v>
      </c>
      <c r="AB436" s="24">
        <v>46035</v>
      </c>
    </row>
    <row r="437" spans="2:28" x14ac:dyDescent="0.2">
      <c r="C437" s="23">
        <v>1100573900</v>
      </c>
      <c r="E437" s="23">
        <v>20</v>
      </c>
      <c r="F437" s="23" t="s">
        <v>82</v>
      </c>
      <c r="G437" s="23" t="s">
        <v>139</v>
      </c>
      <c r="H437" s="24">
        <v>46098</v>
      </c>
      <c r="I437" s="24">
        <v>46098</v>
      </c>
      <c r="J437" s="23" t="s">
        <v>282</v>
      </c>
      <c r="K437" s="23" t="s">
        <v>282</v>
      </c>
      <c r="L437" s="23">
        <v>1</v>
      </c>
      <c r="M437" s="23" t="s">
        <v>78</v>
      </c>
      <c r="N437" s="23" t="s">
        <v>78</v>
      </c>
      <c r="O437" s="23">
        <v>0.01</v>
      </c>
      <c r="P437" s="23" t="s">
        <v>79</v>
      </c>
      <c r="Q437" s="23" t="s">
        <v>83</v>
      </c>
      <c r="R437" s="23">
        <v>11100176</v>
      </c>
      <c r="S437" s="24" t="s">
        <v>80</v>
      </c>
      <c r="T437" s="24">
        <v>46037</v>
      </c>
      <c r="U437" s="24" t="s">
        <v>80</v>
      </c>
      <c r="X437" s="24">
        <v>46006</v>
      </c>
      <c r="Y437" s="23">
        <v>1111</v>
      </c>
      <c r="Z437" s="23">
        <v>11400937</v>
      </c>
      <c r="AA437" s="23">
        <v>5051</v>
      </c>
      <c r="AB437" s="24">
        <v>46035</v>
      </c>
    </row>
    <row r="438" spans="2:28" x14ac:dyDescent="0.2">
      <c r="B438" s="23" t="s">
        <v>81</v>
      </c>
      <c r="C438" s="23">
        <v>1100573900</v>
      </c>
      <c r="H438" s="24">
        <v>46098</v>
      </c>
      <c r="O438" s="23">
        <v>2262.71</v>
      </c>
      <c r="P438" s="23" t="s">
        <v>79</v>
      </c>
    </row>
    <row r="439" spans="2:28" x14ac:dyDescent="0.2">
      <c r="C439" s="23">
        <v>1100574191</v>
      </c>
      <c r="E439" s="23">
        <v>10</v>
      </c>
      <c r="F439" s="23" t="s">
        <v>2844</v>
      </c>
      <c r="G439" s="23" t="s">
        <v>2845</v>
      </c>
      <c r="H439" s="24">
        <v>46098</v>
      </c>
      <c r="I439" s="24">
        <v>46098</v>
      </c>
      <c r="J439" s="23" t="s">
        <v>2846</v>
      </c>
      <c r="K439" s="23" t="s">
        <v>2846</v>
      </c>
      <c r="L439" s="23">
        <v>1</v>
      </c>
      <c r="M439" s="23" t="s">
        <v>78</v>
      </c>
      <c r="N439" s="23" t="s">
        <v>78</v>
      </c>
      <c r="O439" s="23">
        <v>13191.99</v>
      </c>
      <c r="P439" s="23" t="s">
        <v>79</v>
      </c>
      <c r="Q439" s="23" t="s">
        <v>83</v>
      </c>
      <c r="R439" s="23">
        <v>11100176</v>
      </c>
      <c r="S439" s="24" t="s">
        <v>80</v>
      </c>
      <c r="T439" s="24">
        <v>46042</v>
      </c>
      <c r="U439" s="24">
        <v>47116</v>
      </c>
      <c r="X439" s="24">
        <v>46042</v>
      </c>
      <c r="Y439" s="23">
        <v>1111</v>
      </c>
      <c r="Z439" s="23">
        <v>11400606</v>
      </c>
      <c r="AA439" s="23">
        <v>505103</v>
      </c>
      <c r="AB439" s="24">
        <v>46042</v>
      </c>
    </row>
    <row r="440" spans="2:28" x14ac:dyDescent="0.2">
      <c r="C440" s="23">
        <v>1100574191</v>
      </c>
      <c r="E440" s="23">
        <v>20</v>
      </c>
      <c r="F440" s="23" t="s">
        <v>2847</v>
      </c>
      <c r="G440" s="23" t="s">
        <v>2848</v>
      </c>
      <c r="H440" s="24">
        <v>46098</v>
      </c>
      <c r="I440" s="24">
        <v>46098</v>
      </c>
      <c r="J440" s="23" t="s">
        <v>2846</v>
      </c>
      <c r="K440" s="23" t="s">
        <v>2846</v>
      </c>
      <c r="L440" s="23">
        <v>30</v>
      </c>
      <c r="M440" s="23" t="s">
        <v>78</v>
      </c>
      <c r="N440" s="23" t="s">
        <v>78</v>
      </c>
      <c r="O440" s="23">
        <v>244.8</v>
      </c>
      <c r="P440" s="23" t="s">
        <v>79</v>
      </c>
      <c r="Q440" s="23" t="s">
        <v>83</v>
      </c>
      <c r="R440" s="23">
        <v>11100176</v>
      </c>
      <c r="S440" s="24" t="s">
        <v>80</v>
      </c>
      <c r="T440" s="24">
        <v>46042</v>
      </c>
      <c r="U440" s="24">
        <v>47116</v>
      </c>
      <c r="X440" s="24">
        <v>46042</v>
      </c>
      <c r="Y440" s="23">
        <v>1111</v>
      </c>
      <c r="Z440" s="23">
        <v>11400606</v>
      </c>
      <c r="AA440" s="23">
        <v>505103</v>
      </c>
      <c r="AB440" s="24">
        <v>46042</v>
      </c>
    </row>
    <row r="441" spans="2:28" x14ac:dyDescent="0.2">
      <c r="B441" s="23" t="s">
        <v>81</v>
      </c>
      <c r="C441" s="23">
        <v>1100574191</v>
      </c>
      <c r="H441" s="24">
        <v>46098</v>
      </c>
      <c r="O441" s="23">
        <v>13436.79</v>
      </c>
      <c r="P441" s="23" t="s">
        <v>79</v>
      </c>
    </row>
    <row r="442" spans="2:28" x14ac:dyDescent="0.2">
      <c r="C442" s="23">
        <v>1100574217</v>
      </c>
      <c r="E442" s="23">
        <v>10</v>
      </c>
      <c r="F442" s="23" t="s">
        <v>2849</v>
      </c>
      <c r="G442" s="23" t="s">
        <v>2850</v>
      </c>
      <c r="H442" s="24">
        <v>46098</v>
      </c>
      <c r="I442" s="24">
        <v>46098</v>
      </c>
      <c r="J442" s="23" t="s">
        <v>2851</v>
      </c>
      <c r="K442" s="23" t="s">
        <v>2851</v>
      </c>
      <c r="L442" s="23">
        <v>1</v>
      </c>
      <c r="M442" s="23" t="s">
        <v>78</v>
      </c>
      <c r="N442" s="23" t="s">
        <v>78</v>
      </c>
      <c r="O442" s="23">
        <v>2896.66</v>
      </c>
      <c r="P442" s="23" t="s">
        <v>79</v>
      </c>
      <c r="Q442" s="23" t="s">
        <v>83</v>
      </c>
      <c r="R442" s="23">
        <v>11100176</v>
      </c>
      <c r="S442" s="24">
        <v>46098</v>
      </c>
      <c r="T442" s="24">
        <v>46042</v>
      </c>
      <c r="U442" s="24" t="s">
        <v>80</v>
      </c>
      <c r="X442" s="24">
        <v>46038</v>
      </c>
      <c r="Y442" s="23">
        <v>1111</v>
      </c>
      <c r="Z442" s="23">
        <v>11600001</v>
      </c>
      <c r="AA442" s="23">
        <v>3951</v>
      </c>
      <c r="AB442" s="24">
        <v>46024</v>
      </c>
    </row>
    <row r="443" spans="2:28" x14ac:dyDescent="0.2">
      <c r="B443" s="23" t="s">
        <v>81</v>
      </c>
      <c r="C443" s="23">
        <v>1100574217</v>
      </c>
      <c r="H443" s="24">
        <v>46098</v>
      </c>
      <c r="O443" s="23">
        <v>2896.66</v>
      </c>
      <c r="P443" s="23" t="s">
        <v>79</v>
      </c>
    </row>
    <row r="444" spans="2:28" x14ac:dyDescent="0.2">
      <c r="C444" s="23">
        <v>1100574449</v>
      </c>
      <c r="E444" s="23">
        <v>10</v>
      </c>
      <c r="F444" s="23" t="s">
        <v>1821</v>
      </c>
      <c r="G444" s="23" t="s">
        <v>1822</v>
      </c>
      <c r="H444" s="24">
        <v>46098</v>
      </c>
      <c r="I444" s="24">
        <v>46098</v>
      </c>
      <c r="J444" s="23" t="s">
        <v>502</v>
      </c>
      <c r="K444" s="23" t="s">
        <v>502</v>
      </c>
      <c r="L444" s="23">
        <v>1</v>
      </c>
      <c r="M444" s="23" t="s">
        <v>78</v>
      </c>
      <c r="N444" s="23" t="s">
        <v>78</v>
      </c>
      <c r="O444" s="23">
        <v>656.8</v>
      </c>
      <c r="P444" s="23" t="s">
        <v>79</v>
      </c>
      <c r="Q444" s="23" t="s">
        <v>83</v>
      </c>
      <c r="R444" s="23">
        <v>11100176</v>
      </c>
      <c r="S444" s="24">
        <v>46058</v>
      </c>
      <c r="T444" s="24">
        <v>46044</v>
      </c>
      <c r="U444" s="24" t="s">
        <v>80</v>
      </c>
      <c r="X444" s="24">
        <v>46041</v>
      </c>
      <c r="Y444" s="23">
        <v>1111</v>
      </c>
      <c r="Z444" s="23">
        <v>11400895</v>
      </c>
      <c r="AA444" s="23">
        <v>335103</v>
      </c>
      <c r="AB444" s="24">
        <v>46043</v>
      </c>
    </row>
    <row r="445" spans="2:28" x14ac:dyDescent="0.2">
      <c r="C445" s="23">
        <v>1100574449</v>
      </c>
      <c r="E445" s="23">
        <v>20</v>
      </c>
      <c r="F445" s="23" t="s">
        <v>82</v>
      </c>
      <c r="G445" s="23" t="s">
        <v>139</v>
      </c>
      <c r="H445" s="24">
        <v>46098</v>
      </c>
      <c r="I445" s="24">
        <v>46098</v>
      </c>
      <c r="J445" s="23" t="s">
        <v>502</v>
      </c>
      <c r="K445" s="23" t="s">
        <v>502</v>
      </c>
      <c r="L445" s="23">
        <v>1</v>
      </c>
      <c r="M445" s="23" t="s">
        <v>78</v>
      </c>
      <c r="N445" s="23" t="s">
        <v>78</v>
      </c>
      <c r="O445" s="23">
        <v>0.01</v>
      </c>
      <c r="P445" s="23" t="s">
        <v>79</v>
      </c>
      <c r="Q445" s="23" t="s">
        <v>83</v>
      </c>
      <c r="R445" s="23">
        <v>11100176</v>
      </c>
      <c r="S445" s="24" t="s">
        <v>80</v>
      </c>
      <c r="T445" s="24">
        <v>46044</v>
      </c>
      <c r="U445" s="24" t="s">
        <v>80</v>
      </c>
      <c r="X445" s="24">
        <v>46041</v>
      </c>
      <c r="Y445" s="23">
        <v>1111</v>
      </c>
      <c r="Z445" s="23">
        <v>11400895</v>
      </c>
      <c r="AA445" s="23">
        <v>335103</v>
      </c>
      <c r="AB445" s="24">
        <v>46043</v>
      </c>
    </row>
    <row r="446" spans="2:28" x14ac:dyDescent="0.2">
      <c r="B446" s="23" t="s">
        <v>81</v>
      </c>
      <c r="C446" s="23">
        <v>1100574449</v>
      </c>
      <c r="H446" s="24">
        <v>46098</v>
      </c>
      <c r="O446" s="23">
        <v>656.81</v>
      </c>
      <c r="P446" s="23" t="s">
        <v>79</v>
      </c>
    </row>
    <row r="447" spans="2:28" x14ac:dyDescent="0.2">
      <c r="C447" s="23">
        <v>1100576164</v>
      </c>
      <c r="E447" s="23">
        <v>10</v>
      </c>
      <c r="F447" s="23" t="s">
        <v>2852</v>
      </c>
      <c r="G447" s="23" t="s">
        <v>2853</v>
      </c>
      <c r="H447" s="24">
        <v>46098</v>
      </c>
      <c r="I447" s="24">
        <v>46098</v>
      </c>
      <c r="J447" s="23" t="s">
        <v>2271</v>
      </c>
      <c r="K447" s="23" t="s">
        <v>2271</v>
      </c>
      <c r="L447" s="23">
        <v>1</v>
      </c>
      <c r="M447" s="23" t="s">
        <v>78</v>
      </c>
      <c r="N447" s="23" t="s">
        <v>78</v>
      </c>
      <c r="O447" s="23">
        <v>629.39</v>
      </c>
      <c r="P447" s="23" t="s">
        <v>79</v>
      </c>
      <c r="Q447" s="23" t="s">
        <v>83</v>
      </c>
      <c r="R447" s="23">
        <v>11100176</v>
      </c>
      <c r="S447" s="24">
        <v>46087</v>
      </c>
      <c r="T447" s="24">
        <v>46059</v>
      </c>
      <c r="U447" s="24" t="s">
        <v>80</v>
      </c>
      <c r="X447" s="24" t="s">
        <v>80</v>
      </c>
      <c r="Y447" s="23">
        <v>1111</v>
      </c>
      <c r="Z447" s="23">
        <v>11600003</v>
      </c>
      <c r="AA447" s="23">
        <v>335103</v>
      </c>
      <c r="AB447" s="24">
        <v>46058</v>
      </c>
    </row>
    <row r="448" spans="2:28" x14ac:dyDescent="0.2">
      <c r="B448" s="23" t="s">
        <v>81</v>
      </c>
      <c r="C448" s="23">
        <v>1100576164</v>
      </c>
      <c r="H448" s="24">
        <v>46098</v>
      </c>
      <c r="O448" s="23">
        <v>629.39</v>
      </c>
      <c r="P448" s="23" t="s">
        <v>79</v>
      </c>
    </row>
    <row r="449" spans="2:28" x14ac:dyDescent="0.2">
      <c r="C449" s="23">
        <v>1100576369</v>
      </c>
      <c r="E449" s="23">
        <v>10</v>
      </c>
      <c r="F449" s="23" t="s">
        <v>2854</v>
      </c>
      <c r="G449" s="23" t="s">
        <v>2855</v>
      </c>
      <c r="H449" s="24">
        <v>46098</v>
      </c>
      <c r="I449" s="24">
        <v>46098</v>
      </c>
      <c r="J449" s="23" t="s">
        <v>2856</v>
      </c>
      <c r="K449" s="23" t="s">
        <v>2856</v>
      </c>
      <c r="L449" s="23">
        <v>1</v>
      </c>
      <c r="M449" s="23" t="s">
        <v>78</v>
      </c>
      <c r="N449" s="23" t="s">
        <v>78</v>
      </c>
      <c r="O449" s="23">
        <v>215</v>
      </c>
      <c r="P449" s="23" t="s">
        <v>79</v>
      </c>
      <c r="Q449" s="23" t="s">
        <v>83</v>
      </c>
      <c r="R449" s="23">
        <v>11100176</v>
      </c>
      <c r="S449" s="24">
        <v>46098</v>
      </c>
      <c r="T449" s="24">
        <v>46063</v>
      </c>
      <c r="U449" s="24" t="s">
        <v>80</v>
      </c>
      <c r="X449" s="24">
        <v>46059</v>
      </c>
      <c r="Y449" s="23">
        <v>1111</v>
      </c>
      <c r="Z449" s="23">
        <v>11400895</v>
      </c>
      <c r="AA449" s="23">
        <v>3351</v>
      </c>
      <c r="AB449" s="24">
        <v>46062</v>
      </c>
    </row>
    <row r="450" spans="2:28" x14ac:dyDescent="0.2">
      <c r="C450" s="23">
        <v>1100576369</v>
      </c>
      <c r="E450" s="23">
        <v>20</v>
      </c>
      <c r="F450" s="23" t="s">
        <v>82</v>
      </c>
      <c r="G450" s="23" t="s">
        <v>139</v>
      </c>
      <c r="H450" s="24">
        <v>46098</v>
      </c>
      <c r="I450" s="24">
        <v>46098</v>
      </c>
      <c r="J450" s="23" t="s">
        <v>2856</v>
      </c>
      <c r="K450" s="23" t="s">
        <v>2856</v>
      </c>
      <c r="L450" s="23">
        <v>1</v>
      </c>
      <c r="M450" s="23" t="s">
        <v>78</v>
      </c>
      <c r="N450" s="23" t="s">
        <v>78</v>
      </c>
      <c r="O450" s="23">
        <v>0.01</v>
      </c>
      <c r="P450" s="23" t="s">
        <v>79</v>
      </c>
      <c r="Q450" s="23" t="s">
        <v>83</v>
      </c>
      <c r="R450" s="23">
        <v>11100176</v>
      </c>
      <c r="S450" s="24" t="s">
        <v>80</v>
      </c>
      <c r="T450" s="24">
        <v>46063</v>
      </c>
      <c r="U450" s="24" t="s">
        <v>80</v>
      </c>
      <c r="X450" s="24">
        <v>46059</v>
      </c>
      <c r="Y450" s="23">
        <v>1111</v>
      </c>
      <c r="Z450" s="23">
        <v>11400895</v>
      </c>
      <c r="AA450" s="23">
        <v>3351</v>
      </c>
      <c r="AB450" s="24">
        <v>46062</v>
      </c>
    </row>
    <row r="451" spans="2:28" x14ac:dyDescent="0.2">
      <c r="B451" s="23" t="s">
        <v>81</v>
      </c>
      <c r="C451" s="23">
        <v>1100576369</v>
      </c>
      <c r="H451" s="24">
        <v>46098</v>
      </c>
      <c r="O451" s="23">
        <v>215.01</v>
      </c>
      <c r="P451" s="23" t="s">
        <v>79</v>
      </c>
    </row>
    <row r="452" spans="2:28" x14ac:dyDescent="0.2">
      <c r="C452" s="23">
        <v>1100577703</v>
      </c>
      <c r="E452" s="23">
        <v>20</v>
      </c>
      <c r="F452" s="23" t="s">
        <v>2857</v>
      </c>
      <c r="G452" s="23" t="s">
        <v>2858</v>
      </c>
      <c r="H452" s="24">
        <v>46098</v>
      </c>
      <c r="I452" s="24">
        <v>46098</v>
      </c>
      <c r="J452" s="23" t="s">
        <v>644</v>
      </c>
      <c r="K452" s="23" t="s">
        <v>644</v>
      </c>
      <c r="L452" s="23">
        <v>4</v>
      </c>
      <c r="M452" s="23" t="s">
        <v>78</v>
      </c>
      <c r="N452" s="23" t="s">
        <v>78</v>
      </c>
      <c r="O452" s="23">
        <v>842.12</v>
      </c>
      <c r="P452" s="23" t="s">
        <v>79</v>
      </c>
      <c r="Q452" s="23" t="s">
        <v>119</v>
      </c>
      <c r="R452" s="23">
        <v>11100176</v>
      </c>
      <c r="S452" s="24">
        <v>46139</v>
      </c>
      <c r="T452" s="24">
        <v>46076</v>
      </c>
      <c r="U452" s="24">
        <v>47116</v>
      </c>
      <c r="X452" s="24">
        <v>46073</v>
      </c>
      <c r="Y452" s="23">
        <v>1111</v>
      </c>
      <c r="Z452" s="23">
        <v>11400811</v>
      </c>
      <c r="AA452" s="23">
        <v>335103</v>
      </c>
      <c r="AB452" s="24">
        <v>46073</v>
      </c>
    </row>
    <row r="453" spans="2:28" x14ac:dyDescent="0.2">
      <c r="B453" s="23" t="s">
        <v>81</v>
      </c>
      <c r="C453" s="23">
        <v>1100577703</v>
      </c>
      <c r="H453" s="24">
        <v>46098</v>
      </c>
      <c r="O453" s="23">
        <v>842.12</v>
      </c>
      <c r="P453" s="23" t="s">
        <v>79</v>
      </c>
    </row>
    <row r="454" spans="2:28" x14ac:dyDescent="0.2">
      <c r="C454" s="23">
        <v>1100570367</v>
      </c>
      <c r="E454" s="23">
        <v>10</v>
      </c>
      <c r="F454" s="23" t="s">
        <v>2075</v>
      </c>
      <c r="G454" s="23" t="s">
        <v>2076</v>
      </c>
      <c r="H454" s="24">
        <v>46099</v>
      </c>
      <c r="I454" s="24">
        <v>46099</v>
      </c>
      <c r="J454" s="23" t="s">
        <v>882</v>
      </c>
      <c r="K454" s="23" t="s">
        <v>882</v>
      </c>
      <c r="L454" s="23">
        <v>1</v>
      </c>
      <c r="M454" s="23" t="s">
        <v>78</v>
      </c>
      <c r="N454" s="23" t="s">
        <v>78</v>
      </c>
      <c r="O454" s="23">
        <v>92.9</v>
      </c>
      <c r="P454" s="23" t="s">
        <v>79</v>
      </c>
      <c r="Q454" s="23" t="s">
        <v>83</v>
      </c>
      <c r="R454" s="23">
        <v>11100176</v>
      </c>
      <c r="S454" s="24">
        <v>46083</v>
      </c>
      <c r="T454" s="24">
        <v>45994</v>
      </c>
      <c r="U454" s="24" t="s">
        <v>80</v>
      </c>
      <c r="X454" s="24">
        <v>45978</v>
      </c>
      <c r="Y454" s="23">
        <v>1111</v>
      </c>
      <c r="Z454" s="23">
        <v>11400937</v>
      </c>
      <c r="AA454" s="23">
        <v>505103</v>
      </c>
      <c r="AB454" s="24">
        <v>45993</v>
      </c>
    </row>
    <row r="455" spans="2:28" x14ac:dyDescent="0.2">
      <c r="C455" s="23">
        <v>1100570367</v>
      </c>
      <c r="E455" s="23">
        <v>20</v>
      </c>
      <c r="F455" s="23" t="s">
        <v>2077</v>
      </c>
      <c r="G455" s="23" t="s">
        <v>2078</v>
      </c>
      <c r="H455" s="24">
        <v>46099</v>
      </c>
      <c r="I455" s="24">
        <v>46099</v>
      </c>
      <c r="J455" s="23" t="s">
        <v>882</v>
      </c>
      <c r="K455" s="23" t="s">
        <v>882</v>
      </c>
      <c r="L455" s="23">
        <v>1</v>
      </c>
      <c r="M455" s="23" t="s">
        <v>78</v>
      </c>
      <c r="N455" s="23" t="s">
        <v>78</v>
      </c>
      <c r="O455" s="23">
        <v>1066.98</v>
      </c>
      <c r="P455" s="23" t="s">
        <v>79</v>
      </c>
      <c r="Q455" s="23" t="s">
        <v>83</v>
      </c>
      <c r="R455" s="23">
        <v>11100176</v>
      </c>
      <c r="S455" s="24">
        <v>46083</v>
      </c>
      <c r="T455" s="24">
        <v>45994</v>
      </c>
      <c r="U455" s="24" t="s">
        <v>80</v>
      </c>
      <c r="X455" s="24">
        <v>45978</v>
      </c>
      <c r="Y455" s="23">
        <v>1111</v>
      </c>
      <c r="Z455" s="23">
        <v>11400937</v>
      </c>
      <c r="AA455" s="23">
        <v>505103</v>
      </c>
      <c r="AB455" s="24">
        <v>45993</v>
      </c>
    </row>
    <row r="456" spans="2:28" x14ac:dyDescent="0.2">
      <c r="C456" s="23">
        <v>1100570367</v>
      </c>
      <c r="E456" s="23">
        <v>30</v>
      </c>
      <c r="F456" s="23" t="s">
        <v>82</v>
      </c>
      <c r="G456" s="23" t="s">
        <v>139</v>
      </c>
      <c r="H456" s="24">
        <v>46099</v>
      </c>
      <c r="I456" s="24">
        <v>46099</v>
      </c>
      <c r="J456" s="23" t="s">
        <v>882</v>
      </c>
      <c r="K456" s="23" t="s">
        <v>882</v>
      </c>
      <c r="L456" s="23">
        <v>1</v>
      </c>
      <c r="M456" s="23" t="s">
        <v>78</v>
      </c>
      <c r="N456" s="23" t="s">
        <v>78</v>
      </c>
      <c r="O456" s="23">
        <v>0.01</v>
      </c>
      <c r="P456" s="23" t="s">
        <v>79</v>
      </c>
      <c r="Q456" s="23" t="s">
        <v>83</v>
      </c>
      <c r="R456" s="23">
        <v>11100176</v>
      </c>
      <c r="S456" s="24" t="s">
        <v>80</v>
      </c>
      <c r="T456" s="24">
        <v>45994</v>
      </c>
      <c r="U456" s="24" t="s">
        <v>80</v>
      </c>
      <c r="X456" s="24">
        <v>45978</v>
      </c>
      <c r="Y456" s="23">
        <v>1111</v>
      </c>
      <c r="Z456" s="23">
        <v>11400937</v>
      </c>
      <c r="AA456" s="23">
        <v>505103</v>
      </c>
      <c r="AB456" s="24">
        <v>45993</v>
      </c>
    </row>
    <row r="457" spans="2:28" x14ac:dyDescent="0.2">
      <c r="B457" s="23" t="s">
        <v>81</v>
      </c>
      <c r="C457" s="23">
        <v>1100570367</v>
      </c>
      <c r="H457" s="24">
        <v>46099</v>
      </c>
      <c r="O457" s="23">
        <v>1159.8900000000001</v>
      </c>
      <c r="P457" s="23" t="s">
        <v>79</v>
      </c>
    </row>
    <row r="458" spans="2:28" x14ac:dyDescent="0.2">
      <c r="C458" s="23">
        <v>1100570623</v>
      </c>
      <c r="E458" s="23">
        <v>20</v>
      </c>
      <c r="F458" s="23" t="s">
        <v>2859</v>
      </c>
      <c r="G458" s="23" t="s">
        <v>2860</v>
      </c>
      <c r="H458" s="24">
        <v>46099</v>
      </c>
      <c r="I458" s="24">
        <v>46099</v>
      </c>
      <c r="J458" s="23" t="s">
        <v>1954</v>
      </c>
      <c r="K458" s="23" t="s">
        <v>1954</v>
      </c>
      <c r="L458" s="23">
        <v>1</v>
      </c>
      <c r="M458" s="23" t="s">
        <v>78</v>
      </c>
      <c r="N458" s="23" t="s">
        <v>78</v>
      </c>
      <c r="O458" s="23">
        <v>14480</v>
      </c>
      <c r="P458" s="23" t="s">
        <v>79</v>
      </c>
      <c r="Q458" s="23" t="s">
        <v>83</v>
      </c>
      <c r="R458" s="23">
        <v>11100299</v>
      </c>
      <c r="S458" s="24">
        <v>46080</v>
      </c>
      <c r="T458" s="24">
        <v>45996</v>
      </c>
      <c r="U458" s="24">
        <v>47483</v>
      </c>
      <c r="X458" s="24">
        <v>45965</v>
      </c>
      <c r="Y458" s="23">
        <v>1111</v>
      </c>
      <c r="Z458" s="23">
        <v>11400124</v>
      </c>
      <c r="AA458" s="23">
        <v>395803</v>
      </c>
      <c r="AB458" s="24">
        <v>46752</v>
      </c>
    </row>
    <row r="459" spans="2:28" x14ac:dyDescent="0.2">
      <c r="C459" s="23">
        <v>1100570623</v>
      </c>
      <c r="E459" s="23">
        <v>30</v>
      </c>
      <c r="F459" s="23" t="s">
        <v>2861</v>
      </c>
      <c r="G459" s="23" t="s">
        <v>2862</v>
      </c>
      <c r="H459" s="24">
        <v>46099</v>
      </c>
      <c r="I459" s="24">
        <v>46099</v>
      </c>
      <c r="J459" s="23" t="s">
        <v>1954</v>
      </c>
      <c r="K459" s="23" t="s">
        <v>1954</v>
      </c>
      <c r="L459" s="23">
        <v>1</v>
      </c>
      <c r="M459" s="23" t="s">
        <v>78</v>
      </c>
      <c r="N459" s="23" t="s">
        <v>78</v>
      </c>
      <c r="O459" s="23">
        <v>11555</v>
      </c>
      <c r="P459" s="23" t="s">
        <v>79</v>
      </c>
      <c r="Q459" s="23" t="s">
        <v>83</v>
      </c>
      <c r="R459" s="23">
        <v>11100299</v>
      </c>
      <c r="S459" s="24">
        <v>46080</v>
      </c>
      <c r="T459" s="24">
        <v>45996</v>
      </c>
      <c r="U459" s="24">
        <v>47483</v>
      </c>
      <c r="X459" s="24">
        <v>45965</v>
      </c>
      <c r="Y459" s="23">
        <v>1111</v>
      </c>
      <c r="Z459" s="23">
        <v>11400124</v>
      </c>
      <c r="AA459" s="23">
        <v>395803</v>
      </c>
      <c r="AB459" s="24">
        <v>46752</v>
      </c>
    </row>
    <row r="460" spans="2:28" x14ac:dyDescent="0.2">
      <c r="C460" s="23">
        <v>1100570623</v>
      </c>
      <c r="E460" s="23">
        <v>40</v>
      </c>
      <c r="F460" s="23" t="s">
        <v>84</v>
      </c>
      <c r="G460" s="23" t="s">
        <v>123</v>
      </c>
      <c r="H460" s="24">
        <v>46099</v>
      </c>
      <c r="I460" s="24">
        <v>46099</v>
      </c>
      <c r="J460" s="23" t="s">
        <v>1954</v>
      </c>
      <c r="K460" s="23" t="s">
        <v>1954</v>
      </c>
      <c r="L460" s="23">
        <v>1</v>
      </c>
      <c r="M460" s="23" t="s">
        <v>78</v>
      </c>
      <c r="N460" s="23" t="s">
        <v>78</v>
      </c>
      <c r="O460" s="23">
        <v>0.01</v>
      </c>
      <c r="P460" s="23" t="s">
        <v>79</v>
      </c>
      <c r="Q460" s="23" t="s">
        <v>83</v>
      </c>
      <c r="R460" s="23">
        <v>11100299</v>
      </c>
      <c r="S460" s="24">
        <v>46080</v>
      </c>
      <c r="T460" s="24">
        <v>45996</v>
      </c>
      <c r="U460" s="24">
        <v>47483</v>
      </c>
      <c r="X460" s="24">
        <v>45965</v>
      </c>
      <c r="Y460" s="23">
        <v>1111</v>
      </c>
      <c r="Z460" s="23">
        <v>11400124</v>
      </c>
      <c r="AA460" s="23">
        <v>395803</v>
      </c>
      <c r="AB460" s="24">
        <v>46752</v>
      </c>
    </row>
    <row r="461" spans="2:28" x14ac:dyDescent="0.2">
      <c r="C461" s="23">
        <v>1100570623</v>
      </c>
      <c r="E461" s="23">
        <v>50</v>
      </c>
      <c r="F461" s="23" t="s">
        <v>96</v>
      </c>
      <c r="G461" s="23" t="s">
        <v>97</v>
      </c>
      <c r="H461" s="24">
        <v>46099</v>
      </c>
      <c r="I461" s="24">
        <v>46099</v>
      </c>
      <c r="J461" s="23" t="s">
        <v>1954</v>
      </c>
      <c r="K461" s="23" t="s">
        <v>1954</v>
      </c>
      <c r="L461" s="23">
        <v>1</v>
      </c>
      <c r="M461" s="23" t="s">
        <v>78</v>
      </c>
      <c r="N461" s="23" t="s">
        <v>78</v>
      </c>
      <c r="O461" s="23">
        <v>0.01</v>
      </c>
      <c r="P461" s="23" t="s">
        <v>79</v>
      </c>
      <c r="Q461" s="23" t="s">
        <v>83</v>
      </c>
      <c r="R461" s="23">
        <v>11100299</v>
      </c>
      <c r="S461" s="24">
        <v>46080</v>
      </c>
      <c r="T461" s="24">
        <v>45996</v>
      </c>
      <c r="U461" s="24">
        <v>47483</v>
      </c>
      <c r="X461" s="24">
        <v>45965</v>
      </c>
      <c r="Y461" s="23">
        <v>1111</v>
      </c>
      <c r="Z461" s="23">
        <v>11400124</v>
      </c>
      <c r="AA461" s="23">
        <v>395803</v>
      </c>
      <c r="AB461" s="24">
        <v>46752</v>
      </c>
    </row>
    <row r="462" spans="2:28" x14ac:dyDescent="0.2">
      <c r="B462" s="23" t="s">
        <v>81</v>
      </c>
      <c r="C462" s="23">
        <v>1100570623</v>
      </c>
      <c r="H462" s="24">
        <v>46099</v>
      </c>
      <c r="O462" s="23">
        <v>26035.02</v>
      </c>
      <c r="P462" s="23" t="s">
        <v>79</v>
      </c>
    </row>
    <row r="463" spans="2:28" x14ac:dyDescent="0.2">
      <c r="C463" s="23">
        <v>1100570929</v>
      </c>
      <c r="E463" s="23">
        <v>40</v>
      </c>
      <c r="F463" s="23" t="s">
        <v>1742</v>
      </c>
      <c r="G463" s="23" t="s">
        <v>1743</v>
      </c>
      <c r="H463" s="24">
        <v>46099</v>
      </c>
      <c r="I463" s="24">
        <v>46099</v>
      </c>
      <c r="J463" s="23" t="s">
        <v>1736</v>
      </c>
      <c r="K463" s="23" t="s">
        <v>1736</v>
      </c>
      <c r="L463" s="23">
        <v>2</v>
      </c>
      <c r="M463" s="23" t="s">
        <v>78</v>
      </c>
      <c r="N463" s="23" t="s">
        <v>78</v>
      </c>
      <c r="O463" s="23">
        <v>2870.64</v>
      </c>
      <c r="P463" s="23" t="s">
        <v>79</v>
      </c>
      <c r="Q463" s="23" t="s">
        <v>83</v>
      </c>
      <c r="R463" s="23">
        <v>11100176</v>
      </c>
      <c r="S463" s="24">
        <v>46073</v>
      </c>
      <c r="T463" s="24">
        <v>46000</v>
      </c>
      <c r="U463" s="24">
        <v>47116</v>
      </c>
      <c r="X463" s="24">
        <v>46000</v>
      </c>
      <c r="Y463" s="23">
        <v>1111</v>
      </c>
      <c r="Z463" s="23">
        <v>11400742</v>
      </c>
      <c r="AA463" s="23">
        <v>335103</v>
      </c>
      <c r="AB463" s="24">
        <v>45947</v>
      </c>
    </row>
    <row r="464" spans="2:28" x14ac:dyDescent="0.2">
      <c r="B464" s="23" t="s">
        <v>81</v>
      </c>
      <c r="C464" s="23">
        <v>1100570929</v>
      </c>
      <c r="H464" s="24">
        <v>46099</v>
      </c>
      <c r="O464" s="23">
        <v>2870.64</v>
      </c>
      <c r="P464" s="23" t="s">
        <v>79</v>
      </c>
    </row>
    <row r="465" spans="2:28" x14ac:dyDescent="0.2">
      <c r="C465" s="23">
        <v>1100571692</v>
      </c>
      <c r="E465" s="23">
        <v>20</v>
      </c>
      <c r="F465" s="23" t="s">
        <v>2139</v>
      </c>
      <c r="G465" s="23" t="s">
        <v>2140</v>
      </c>
      <c r="H465" s="24">
        <v>46099</v>
      </c>
      <c r="I465" s="24">
        <v>46099</v>
      </c>
      <c r="J465" s="23" t="s">
        <v>2141</v>
      </c>
      <c r="K465" s="23" t="s">
        <v>2141</v>
      </c>
      <c r="L465" s="23">
        <v>1</v>
      </c>
      <c r="M465" s="23" t="s">
        <v>78</v>
      </c>
      <c r="N465" s="23" t="s">
        <v>78</v>
      </c>
      <c r="O465" s="23">
        <v>1971.66</v>
      </c>
      <c r="P465" s="23" t="s">
        <v>79</v>
      </c>
      <c r="Q465" s="23" t="s">
        <v>83</v>
      </c>
      <c r="R465" s="23">
        <v>11100176</v>
      </c>
      <c r="S465" s="24">
        <v>46064</v>
      </c>
      <c r="T465" s="24">
        <v>46008</v>
      </c>
      <c r="U465" s="24">
        <v>46752</v>
      </c>
      <c r="X465" s="24">
        <v>45995</v>
      </c>
      <c r="Y465" s="23">
        <v>1111</v>
      </c>
      <c r="Z465" s="23">
        <v>11400797</v>
      </c>
      <c r="AA465" s="23">
        <v>3351</v>
      </c>
      <c r="AB465" s="24">
        <v>45995</v>
      </c>
    </row>
    <row r="466" spans="2:28" x14ac:dyDescent="0.2">
      <c r="B466" s="23" t="s">
        <v>81</v>
      </c>
      <c r="C466" s="23">
        <v>1100571692</v>
      </c>
      <c r="H466" s="24">
        <v>46099</v>
      </c>
      <c r="O466" s="23">
        <v>1971.66</v>
      </c>
      <c r="P466" s="23" t="s">
        <v>79</v>
      </c>
    </row>
    <row r="467" spans="2:28" x14ac:dyDescent="0.2">
      <c r="C467" s="23">
        <v>1100572878</v>
      </c>
      <c r="E467" s="23">
        <v>10</v>
      </c>
      <c r="F467" s="23" t="s">
        <v>2080</v>
      </c>
      <c r="G467" s="23" t="s">
        <v>2081</v>
      </c>
      <c r="H467" s="24">
        <v>46099</v>
      </c>
      <c r="I467" s="24">
        <v>46099</v>
      </c>
      <c r="J467" s="23" t="s">
        <v>2038</v>
      </c>
      <c r="K467" s="23" t="s">
        <v>2038</v>
      </c>
      <c r="L467" s="23">
        <v>1</v>
      </c>
      <c r="M467" s="23" t="s">
        <v>78</v>
      </c>
      <c r="N467" s="23" t="s">
        <v>78</v>
      </c>
      <c r="O467" s="23">
        <v>3037.96</v>
      </c>
      <c r="P467" s="23" t="s">
        <v>79</v>
      </c>
      <c r="Q467" s="23" t="s">
        <v>83</v>
      </c>
      <c r="R467" s="23">
        <v>11100176</v>
      </c>
      <c r="S467" s="24">
        <v>46084</v>
      </c>
      <c r="T467" s="24">
        <v>46028</v>
      </c>
      <c r="U467" s="24" t="s">
        <v>80</v>
      </c>
      <c r="X467" s="24">
        <v>46021</v>
      </c>
      <c r="Y467" s="23">
        <v>1111</v>
      </c>
      <c r="Z467" s="23">
        <v>11400797</v>
      </c>
      <c r="AA467" s="23">
        <v>3151</v>
      </c>
      <c r="AB467" s="24">
        <v>46017</v>
      </c>
    </row>
    <row r="468" spans="2:28" x14ac:dyDescent="0.2">
      <c r="C468" s="23">
        <v>1100572878</v>
      </c>
      <c r="E468" s="23">
        <v>20</v>
      </c>
      <c r="F468" s="23" t="s">
        <v>82</v>
      </c>
      <c r="G468" s="23" t="s">
        <v>139</v>
      </c>
      <c r="H468" s="24">
        <v>46099</v>
      </c>
      <c r="I468" s="24">
        <v>46099</v>
      </c>
      <c r="J468" s="23" t="s">
        <v>2038</v>
      </c>
      <c r="K468" s="23" t="s">
        <v>2038</v>
      </c>
      <c r="L468" s="23">
        <v>1</v>
      </c>
      <c r="M468" s="23" t="s">
        <v>78</v>
      </c>
      <c r="N468" s="23" t="s">
        <v>78</v>
      </c>
      <c r="O468" s="23">
        <v>0.01</v>
      </c>
      <c r="P468" s="23" t="s">
        <v>79</v>
      </c>
      <c r="Q468" s="23" t="s">
        <v>83</v>
      </c>
      <c r="R468" s="23">
        <v>11100176</v>
      </c>
      <c r="S468" s="24" t="s">
        <v>80</v>
      </c>
      <c r="T468" s="24">
        <v>46028</v>
      </c>
      <c r="U468" s="24" t="s">
        <v>80</v>
      </c>
      <c r="X468" s="24">
        <v>46021</v>
      </c>
      <c r="Y468" s="23">
        <v>1111</v>
      </c>
      <c r="Z468" s="23">
        <v>11400797</v>
      </c>
      <c r="AA468" s="23">
        <v>3151</v>
      </c>
      <c r="AB468" s="24">
        <v>46017</v>
      </c>
    </row>
    <row r="469" spans="2:28" x14ac:dyDescent="0.2">
      <c r="B469" s="23" t="s">
        <v>81</v>
      </c>
      <c r="C469" s="23">
        <v>1100572878</v>
      </c>
      <c r="H469" s="24">
        <v>46099</v>
      </c>
      <c r="O469" s="23">
        <v>3037.97</v>
      </c>
      <c r="P469" s="23" t="s">
        <v>79</v>
      </c>
    </row>
    <row r="470" spans="2:28" x14ac:dyDescent="0.2">
      <c r="C470" s="23">
        <v>1100572945</v>
      </c>
      <c r="E470" s="23">
        <v>10</v>
      </c>
      <c r="F470" s="23" t="s">
        <v>757</v>
      </c>
      <c r="G470" s="23" t="s">
        <v>758</v>
      </c>
      <c r="H470" s="24">
        <v>46099</v>
      </c>
      <c r="I470" s="24">
        <v>46099</v>
      </c>
      <c r="J470" s="23" t="s">
        <v>2663</v>
      </c>
      <c r="K470" s="23" t="s">
        <v>2663</v>
      </c>
      <c r="L470" s="23">
        <v>2</v>
      </c>
      <c r="M470" s="23" t="s">
        <v>78</v>
      </c>
      <c r="N470" s="23" t="s">
        <v>78</v>
      </c>
      <c r="O470" s="23">
        <v>1785.1</v>
      </c>
      <c r="P470" s="23" t="s">
        <v>79</v>
      </c>
      <c r="Q470" s="23" t="s">
        <v>83</v>
      </c>
      <c r="R470" s="23">
        <v>11100176</v>
      </c>
      <c r="S470" s="24">
        <v>46064</v>
      </c>
      <c r="T470" s="24">
        <v>46029</v>
      </c>
      <c r="U470" s="24" t="s">
        <v>80</v>
      </c>
      <c r="X470" s="24">
        <v>46027</v>
      </c>
      <c r="Y470" s="23">
        <v>1111</v>
      </c>
      <c r="Z470" s="23">
        <v>11600007</v>
      </c>
      <c r="AA470" s="23">
        <v>335103</v>
      </c>
      <c r="AB470" s="24">
        <v>46028</v>
      </c>
    </row>
    <row r="471" spans="2:28" x14ac:dyDescent="0.2">
      <c r="C471" s="23">
        <v>1100572945</v>
      </c>
      <c r="E471" s="23">
        <v>20</v>
      </c>
      <c r="F471" s="23" t="s">
        <v>659</v>
      </c>
      <c r="G471" s="23" t="s">
        <v>660</v>
      </c>
      <c r="H471" s="24">
        <v>46099</v>
      </c>
      <c r="I471" s="24">
        <v>46099</v>
      </c>
      <c r="J471" s="23" t="s">
        <v>2663</v>
      </c>
      <c r="K471" s="23" t="s">
        <v>2663</v>
      </c>
      <c r="L471" s="23">
        <v>2</v>
      </c>
      <c r="M471" s="23" t="s">
        <v>78</v>
      </c>
      <c r="N471" s="23" t="s">
        <v>78</v>
      </c>
      <c r="O471" s="23">
        <v>9802.7199999999993</v>
      </c>
      <c r="P471" s="23" t="s">
        <v>79</v>
      </c>
      <c r="Q471" s="23" t="s">
        <v>83</v>
      </c>
      <c r="R471" s="23">
        <v>11100176</v>
      </c>
      <c r="S471" s="24">
        <v>46064</v>
      </c>
      <c r="T471" s="24">
        <v>46029</v>
      </c>
      <c r="U471" s="24" t="s">
        <v>80</v>
      </c>
      <c r="X471" s="24">
        <v>46027</v>
      </c>
      <c r="Y471" s="23">
        <v>1111</v>
      </c>
      <c r="Z471" s="23">
        <v>11600007</v>
      </c>
      <c r="AA471" s="23">
        <v>335103</v>
      </c>
      <c r="AB471" s="24">
        <v>46028</v>
      </c>
    </row>
    <row r="472" spans="2:28" x14ac:dyDescent="0.2">
      <c r="C472" s="23">
        <v>1100572945</v>
      </c>
      <c r="E472" s="23">
        <v>30</v>
      </c>
      <c r="F472" s="23" t="s">
        <v>2039</v>
      </c>
      <c r="G472" s="23" t="s">
        <v>2040</v>
      </c>
      <c r="H472" s="24">
        <v>46099</v>
      </c>
      <c r="I472" s="24">
        <v>46099</v>
      </c>
      <c r="J472" s="23" t="s">
        <v>2663</v>
      </c>
      <c r="K472" s="23" t="s">
        <v>2663</v>
      </c>
      <c r="L472" s="23">
        <v>2</v>
      </c>
      <c r="M472" s="23" t="s">
        <v>78</v>
      </c>
      <c r="N472" s="23" t="s">
        <v>78</v>
      </c>
      <c r="O472" s="23">
        <v>61.4</v>
      </c>
      <c r="P472" s="23" t="s">
        <v>79</v>
      </c>
      <c r="Q472" s="23" t="s">
        <v>83</v>
      </c>
      <c r="R472" s="23">
        <v>11100176</v>
      </c>
      <c r="S472" s="24">
        <v>46064</v>
      </c>
      <c r="T472" s="24">
        <v>46029</v>
      </c>
      <c r="U472" s="24" t="s">
        <v>80</v>
      </c>
      <c r="X472" s="24">
        <v>46027</v>
      </c>
      <c r="Y472" s="23">
        <v>1111</v>
      </c>
      <c r="Z472" s="23">
        <v>11600007</v>
      </c>
      <c r="AA472" s="23">
        <v>335103</v>
      </c>
      <c r="AB472" s="24">
        <v>46028</v>
      </c>
    </row>
    <row r="473" spans="2:28" x14ac:dyDescent="0.2">
      <c r="C473" s="23">
        <v>1100572945</v>
      </c>
      <c r="E473" s="23">
        <v>40</v>
      </c>
      <c r="F473" s="23" t="s">
        <v>696</v>
      </c>
      <c r="G473" s="23" t="s">
        <v>697</v>
      </c>
      <c r="H473" s="24">
        <v>46099</v>
      </c>
      <c r="I473" s="24">
        <v>46099</v>
      </c>
      <c r="J473" s="23" t="s">
        <v>2663</v>
      </c>
      <c r="K473" s="23" t="s">
        <v>2663</v>
      </c>
      <c r="L473" s="23">
        <v>2</v>
      </c>
      <c r="M473" s="23" t="s">
        <v>78</v>
      </c>
      <c r="N473" s="23" t="s">
        <v>78</v>
      </c>
      <c r="O473" s="23">
        <v>59.22</v>
      </c>
      <c r="P473" s="23" t="s">
        <v>79</v>
      </c>
      <c r="Q473" s="23" t="s">
        <v>83</v>
      </c>
      <c r="R473" s="23">
        <v>11100176</v>
      </c>
      <c r="S473" s="24">
        <v>46064</v>
      </c>
      <c r="T473" s="24">
        <v>46029</v>
      </c>
      <c r="U473" s="24" t="s">
        <v>80</v>
      </c>
      <c r="X473" s="24">
        <v>46027</v>
      </c>
      <c r="Y473" s="23">
        <v>1111</v>
      </c>
      <c r="Z473" s="23">
        <v>11600007</v>
      </c>
      <c r="AA473" s="23">
        <v>335103</v>
      </c>
      <c r="AB473" s="24">
        <v>46028</v>
      </c>
    </row>
    <row r="474" spans="2:28" x14ac:dyDescent="0.2">
      <c r="C474" s="23">
        <v>1100572945</v>
      </c>
      <c r="E474" s="23">
        <v>50</v>
      </c>
      <c r="F474" s="23" t="s">
        <v>82</v>
      </c>
      <c r="G474" s="23" t="s">
        <v>139</v>
      </c>
      <c r="H474" s="24">
        <v>46099</v>
      </c>
      <c r="I474" s="24">
        <v>46099</v>
      </c>
      <c r="J474" s="23" t="s">
        <v>2663</v>
      </c>
      <c r="K474" s="23" t="s">
        <v>2663</v>
      </c>
      <c r="L474" s="23">
        <v>1</v>
      </c>
      <c r="M474" s="23" t="s">
        <v>78</v>
      </c>
      <c r="N474" s="23" t="s">
        <v>78</v>
      </c>
      <c r="O474" s="23">
        <v>0.01</v>
      </c>
      <c r="P474" s="23" t="s">
        <v>79</v>
      </c>
      <c r="Q474" s="23" t="s">
        <v>83</v>
      </c>
      <c r="R474" s="23">
        <v>11100176</v>
      </c>
      <c r="S474" s="24" t="s">
        <v>80</v>
      </c>
      <c r="T474" s="24">
        <v>46029</v>
      </c>
      <c r="U474" s="24" t="s">
        <v>80</v>
      </c>
      <c r="X474" s="24">
        <v>46027</v>
      </c>
      <c r="Y474" s="23">
        <v>1111</v>
      </c>
      <c r="Z474" s="23">
        <v>11600007</v>
      </c>
      <c r="AA474" s="23">
        <v>335103</v>
      </c>
      <c r="AB474" s="24">
        <v>46028</v>
      </c>
    </row>
    <row r="475" spans="2:28" x14ac:dyDescent="0.2">
      <c r="B475" s="23" t="s">
        <v>81</v>
      </c>
      <c r="C475" s="23">
        <v>1100572945</v>
      </c>
      <c r="H475" s="24">
        <v>46099</v>
      </c>
      <c r="O475" s="23">
        <v>11708.45</v>
      </c>
      <c r="P475" s="23" t="s">
        <v>79</v>
      </c>
    </row>
    <row r="476" spans="2:28" x14ac:dyDescent="0.2">
      <c r="C476" s="23">
        <v>1100573037</v>
      </c>
      <c r="E476" s="23">
        <v>10</v>
      </c>
      <c r="F476" s="23" t="s">
        <v>2073</v>
      </c>
      <c r="G476" s="23" t="s">
        <v>2074</v>
      </c>
      <c r="H476" s="24">
        <v>46099</v>
      </c>
      <c r="I476" s="24">
        <v>46099</v>
      </c>
      <c r="J476" s="23" t="s">
        <v>719</v>
      </c>
      <c r="K476" s="23" t="s">
        <v>719</v>
      </c>
      <c r="L476" s="23">
        <v>1</v>
      </c>
      <c r="M476" s="23" t="s">
        <v>78</v>
      </c>
      <c r="N476" s="23" t="s">
        <v>78</v>
      </c>
      <c r="O476" s="23">
        <v>6896.99</v>
      </c>
      <c r="P476" s="23" t="s">
        <v>79</v>
      </c>
      <c r="Q476" s="23" t="s">
        <v>83</v>
      </c>
      <c r="R476" s="23">
        <v>11100176</v>
      </c>
      <c r="S476" s="24">
        <v>46080</v>
      </c>
      <c r="T476" s="24">
        <v>46029</v>
      </c>
      <c r="U476" s="24" t="s">
        <v>80</v>
      </c>
      <c r="X476" s="24">
        <v>46028</v>
      </c>
      <c r="Y476" s="23">
        <v>1111</v>
      </c>
      <c r="Z476" s="23">
        <v>11400937</v>
      </c>
      <c r="AA476" s="23">
        <v>335103</v>
      </c>
      <c r="AB476" s="24">
        <v>46028</v>
      </c>
    </row>
    <row r="477" spans="2:28" x14ac:dyDescent="0.2">
      <c r="C477" s="23">
        <v>1100573037</v>
      </c>
      <c r="E477" s="23">
        <v>20</v>
      </c>
      <c r="F477" s="23" t="s">
        <v>82</v>
      </c>
      <c r="G477" s="23" t="s">
        <v>139</v>
      </c>
      <c r="H477" s="24">
        <v>46099</v>
      </c>
      <c r="I477" s="24">
        <v>46099</v>
      </c>
      <c r="J477" s="23" t="s">
        <v>719</v>
      </c>
      <c r="K477" s="23" t="s">
        <v>719</v>
      </c>
      <c r="L477" s="23">
        <v>1</v>
      </c>
      <c r="M477" s="23" t="s">
        <v>78</v>
      </c>
      <c r="N477" s="23" t="s">
        <v>78</v>
      </c>
      <c r="O477" s="23">
        <v>0.01</v>
      </c>
      <c r="P477" s="23" t="s">
        <v>79</v>
      </c>
      <c r="Q477" s="23" t="s">
        <v>83</v>
      </c>
      <c r="R477" s="23">
        <v>11100176</v>
      </c>
      <c r="S477" s="24" t="s">
        <v>80</v>
      </c>
      <c r="T477" s="24">
        <v>46029</v>
      </c>
      <c r="U477" s="24" t="s">
        <v>80</v>
      </c>
      <c r="X477" s="24">
        <v>46028</v>
      </c>
      <c r="Y477" s="23">
        <v>1111</v>
      </c>
      <c r="Z477" s="23">
        <v>11400937</v>
      </c>
      <c r="AA477" s="23">
        <v>335103</v>
      </c>
      <c r="AB477" s="24">
        <v>46028</v>
      </c>
    </row>
    <row r="478" spans="2:28" x14ac:dyDescent="0.2">
      <c r="B478" s="23" t="s">
        <v>81</v>
      </c>
      <c r="C478" s="23">
        <v>1100573037</v>
      </c>
      <c r="H478" s="24">
        <v>46099</v>
      </c>
      <c r="O478" s="23">
        <v>6897</v>
      </c>
      <c r="P478" s="23" t="s">
        <v>79</v>
      </c>
    </row>
    <row r="479" spans="2:28" x14ac:dyDescent="0.2">
      <c r="C479" s="23">
        <v>1100573392</v>
      </c>
      <c r="E479" s="23">
        <v>10</v>
      </c>
      <c r="F479" s="23" t="s">
        <v>761</v>
      </c>
      <c r="G479" s="23" t="s">
        <v>762</v>
      </c>
      <c r="H479" s="24">
        <v>46099</v>
      </c>
      <c r="I479" s="24">
        <v>46099</v>
      </c>
      <c r="J479" s="23" t="s">
        <v>2271</v>
      </c>
      <c r="K479" s="23" t="s">
        <v>2271</v>
      </c>
      <c r="L479" s="23">
        <v>12</v>
      </c>
      <c r="M479" s="23" t="s">
        <v>78</v>
      </c>
      <c r="N479" s="23" t="s">
        <v>78</v>
      </c>
      <c r="O479" s="23">
        <v>39.479999999999997</v>
      </c>
      <c r="P479" s="23" t="s">
        <v>79</v>
      </c>
      <c r="Q479" s="23" t="s">
        <v>83</v>
      </c>
      <c r="R479" s="23">
        <v>11100176</v>
      </c>
      <c r="S479" s="24">
        <v>46073</v>
      </c>
      <c r="T479" s="24">
        <v>46032</v>
      </c>
      <c r="U479" s="24" t="s">
        <v>80</v>
      </c>
      <c r="X479" s="24">
        <v>46030</v>
      </c>
      <c r="Y479" s="23">
        <v>1111</v>
      </c>
      <c r="Z479" s="23">
        <v>11100137</v>
      </c>
      <c r="AA479" s="23">
        <v>335103</v>
      </c>
      <c r="AB479" s="24">
        <v>45952</v>
      </c>
    </row>
    <row r="480" spans="2:28" x14ac:dyDescent="0.2">
      <c r="C480" s="23">
        <v>1100573392</v>
      </c>
      <c r="E480" s="23">
        <v>20</v>
      </c>
      <c r="F480" s="23" t="s">
        <v>2272</v>
      </c>
      <c r="G480" s="23" t="s">
        <v>2273</v>
      </c>
      <c r="H480" s="24">
        <v>46099</v>
      </c>
      <c r="I480" s="24">
        <v>46099</v>
      </c>
      <c r="J480" s="23" t="s">
        <v>2271</v>
      </c>
      <c r="K480" s="23" t="s">
        <v>2271</v>
      </c>
      <c r="L480" s="23">
        <v>12</v>
      </c>
      <c r="M480" s="23" t="s">
        <v>78</v>
      </c>
      <c r="N480" s="23" t="s">
        <v>78</v>
      </c>
      <c r="O480" s="23">
        <v>39.479999999999997</v>
      </c>
      <c r="P480" s="23" t="s">
        <v>79</v>
      </c>
      <c r="Q480" s="23" t="s">
        <v>83</v>
      </c>
      <c r="R480" s="23">
        <v>11100176</v>
      </c>
      <c r="S480" s="24">
        <v>46073</v>
      </c>
      <c r="T480" s="24">
        <v>46032</v>
      </c>
      <c r="U480" s="24" t="s">
        <v>80</v>
      </c>
      <c r="X480" s="24">
        <v>46030</v>
      </c>
      <c r="Y480" s="23">
        <v>1111</v>
      </c>
      <c r="Z480" s="23">
        <v>11100137</v>
      </c>
      <c r="AA480" s="23">
        <v>335103</v>
      </c>
      <c r="AB480" s="24">
        <v>45952</v>
      </c>
    </row>
    <row r="481" spans="2:28" x14ac:dyDescent="0.2">
      <c r="C481" s="23">
        <v>1100573392</v>
      </c>
      <c r="E481" s="23">
        <v>30</v>
      </c>
      <c r="F481" s="23" t="s">
        <v>806</v>
      </c>
      <c r="G481" s="23" t="s">
        <v>807</v>
      </c>
      <c r="H481" s="24">
        <v>46099</v>
      </c>
      <c r="I481" s="24">
        <v>46099</v>
      </c>
      <c r="J481" s="23" t="s">
        <v>2271</v>
      </c>
      <c r="K481" s="23" t="s">
        <v>2271</v>
      </c>
      <c r="L481" s="23">
        <v>1</v>
      </c>
      <c r="M481" s="23" t="s">
        <v>78</v>
      </c>
      <c r="N481" s="23" t="s">
        <v>78</v>
      </c>
      <c r="O481" s="23">
        <v>351.98</v>
      </c>
      <c r="P481" s="23" t="s">
        <v>79</v>
      </c>
      <c r="Q481" s="23" t="s">
        <v>83</v>
      </c>
      <c r="R481" s="23">
        <v>11100176</v>
      </c>
      <c r="S481" s="24">
        <v>46073</v>
      </c>
      <c r="T481" s="24">
        <v>46032</v>
      </c>
      <c r="U481" s="24" t="s">
        <v>80</v>
      </c>
      <c r="X481" s="24">
        <v>46030</v>
      </c>
      <c r="Y481" s="23">
        <v>1111</v>
      </c>
      <c r="Z481" s="23">
        <v>11100137</v>
      </c>
      <c r="AA481" s="23">
        <v>335103</v>
      </c>
      <c r="AB481" s="24">
        <v>45952</v>
      </c>
    </row>
    <row r="482" spans="2:28" x14ac:dyDescent="0.2">
      <c r="C482" s="23">
        <v>1100573392</v>
      </c>
      <c r="E482" s="23">
        <v>40</v>
      </c>
      <c r="F482" s="23" t="s">
        <v>658</v>
      </c>
      <c r="G482" s="23" t="s">
        <v>1735</v>
      </c>
      <c r="H482" s="24">
        <v>46099</v>
      </c>
      <c r="I482" s="24">
        <v>46099</v>
      </c>
      <c r="J482" s="23" t="s">
        <v>2271</v>
      </c>
      <c r="K482" s="23" t="s">
        <v>2271</v>
      </c>
      <c r="L482" s="23">
        <v>4</v>
      </c>
      <c r="M482" s="23" t="s">
        <v>78</v>
      </c>
      <c r="N482" s="23" t="s">
        <v>78</v>
      </c>
      <c r="O482" s="23">
        <v>627.20000000000005</v>
      </c>
      <c r="P482" s="23" t="s">
        <v>79</v>
      </c>
      <c r="Q482" s="23" t="s">
        <v>83</v>
      </c>
      <c r="R482" s="23">
        <v>11100176</v>
      </c>
      <c r="S482" s="24">
        <v>46073</v>
      </c>
      <c r="T482" s="24">
        <v>46032</v>
      </c>
      <c r="U482" s="24" t="s">
        <v>80</v>
      </c>
      <c r="X482" s="24">
        <v>46030</v>
      </c>
      <c r="Y482" s="23">
        <v>1111</v>
      </c>
      <c r="Z482" s="23">
        <v>11100137</v>
      </c>
      <c r="AA482" s="23">
        <v>335103</v>
      </c>
      <c r="AB482" s="24">
        <v>45952</v>
      </c>
    </row>
    <row r="483" spans="2:28" x14ac:dyDescent="0.2">
      <c r="C483" s="23">
        <v>1100573392</v>
      </c>
      <c r="E483" s="23">
        <v>50</v>
      </c>
      <c r="F483" s="23" t="s">
        <v>823</v>
      </c>
      <c r="G483" s="23" t="s">
        <v>824</v>
      </c>
      <c r="H483" s="24">
        <v>46099</v>
      </c>
      <c r="I483" s="24">
        <v>46099</v>
      </c>
      <c r="J483" s="23" t="s">
        <v>2271</v>
      </c>
      <c r="K483" s="23" t="s">
        <v>2271</v>
      </c>
      <c r="L483" s="23">
        <v>1</v>
      </c>
      <c r="M483" s="23" t="s">
        <v>78</v>
      </c>
      <c r="N483" s="23" t="s">
        <v>78</v>
      </c>
      <c r="O483" s="23">
        <v>493.43</v>
      </c>
      <c r="P483" s="23" t="s">
        <v>79</v>
      </c>
      <c r="Q483" s="23" t="s">
        <v>83</v>
      </c>
      <c r="R483" s="23">
        <v>11100176</v>
      </c>
      <c r="S483" s="24">
        <v>46073</v>
      </c>
      <c r="T483" s="24">
        <v>46032</v>
      </c>
      <c r="U483" s="24" t="s">
        <v>80</v>
      </c>
      <c r="X483" s="24">
        <v>46030</v>
      </c>
      <c r="Y483" s="23">
        <v>1111</v>
      </c>
      <c r="Z483" s="23">
        <v>11100137</v>
      </c>
      <c r="AA483" s="23">
        <v>335103</v>
      </c>
      <c r="AB483" s="24">
        <v>45952</v>
      </c>
    </row>
    <row r="484" spans="2:28" x14ac:dyDescent="0.2">
      <c r="C484" s="23">
        <v>1100573392</v>
      </c>
      <c r="E484" s="23">
        <v>60</v>
      </c>
      <c r="F484" s="23" t="s">
        <v>702</v>
      </c>
      <c r="G484" s="23" t="s">
        <v>1797</v>
      </c>
      <c r="H484" s="24">
        <v>46099</v>
      </c>
      <c r="I484" s="24">
        <v>46099</v>
      </c>
      <c r="J484" s="23" t="s">
        <v>2271</v>
      </c>
      <c r="K484" s="23" t="s">
        <v>2271</v>
      </c>
      <c r="L484" s="23">
        <v>4</v>
      </c>
      <c r="M484" s="23" t="s">
        <v>78</v>
      </c>
      <c r="N484" s="23" t="s">
        <v>78</v>
      </c>
      <c r="O484" s="23">
        <v>513.16</v>
      </c>
      <c r="P484" s="23" t="s">
        <v>79</v>
      </c>
      <c r="Q484" s="23" t="s">
        <v>83</v>
      </c>
      <c r="R484" s="23">
        <v>11100176</v>
      </c>
      <c r="S484" s="24">
        <v>46073</v>
      </c>
      <c r="T484" s="24">
        <v>46032</v>
      </c>
      <c r="U484" s="24" t="s">
        <v>80</v>
      </c>
      <c r="X484" s="24">
        <v>46030</v>
      </c>
      <c r="Y484" s="23">
        <v>1111</v>
      </c>
      <c r="Z484" s="23">
        <v>11100137</v>
      </c>
      <c r="AA484" s="23">
        <v>335103</v>
      </c>
      <c r="AB484" s="24">
        <v>45952</v>
      </c>
    </row>
    <row r="485" spans="2:28" x14ac:dyDescent="0.2">
      <c r="C485" s="23">
        <v>1100573392</v>
      </c>
      <c r="E485" s="23">
        <v>70</v>
      </c>
      <c r="F485" s="23" t="s">
        <v>872</v>
      </c>
      <c r="G485" s="23" t="s">
        <v>2274</v>
      </c>
      <c r="H485" s="24">
        <v>46099</v>
      </c>
      <c r="I485" s="24">
        <v>46099</v>
      </c>
      <c r="J485" s="23" t="s">
        <v>2271</v>
      </c>
      <c r="K485" s="23" t="s">
        <v>2271</v>
      </c>
      <c r="L485" s="23">
        <v>4</v>
      </c>
      <c r="M485" s="23" t="s">
        <v>78</v>
      </c>
      <c r="N485" s="23" t="s">
        <v>78</v>
      </c>
      <c r="O485" s="23">
        <v>815.8</v>
      </c>
      <c r="P485" s="23" t="s">
        <v>79</v>
      </c>
      <c r="Q485" s="23" t="s">
        <v>83</v>
      </c>
      <c r="R485" s="23">
        <v>11100176</v>
      </c>
      <c r="S485" s="24">
        <v>46073</v>
      </c>
      <c r="T485" s="24">
        <v>46032</v>
      </c>
      <c r="U485" s="24" t="s">
        <v>80</v>
      </c>
      <c r="X485" s="24">
        <v>46030</v>
      </c>
      <c r="Y485" s="23">
        <v>1111</v>
      </c>
      <c r="Z485" s="23">
        <v>11100137</v>
      </c>
      <c r="AA485" s="23">
        <v>335103</v>
      </c>
      <c r="AB485" s="24">
        <v>45952</v>
      </c>
    </row>
    <row r="486" spans="2:28" x14ac:dyDescent="0.2">
      <c r="C486" s="23">
        <v>1100573392</v>
      </c>
      <c r="E486" s="23">
        <v>80</v>
      </c>
      <c r="F486" s="23" t="s">
        <v>2275</v>
      </c>
      <c r="G486" s="23" t="s">
        <v>2276</v>
      </c>
      <c r="H486" s="24">
        <v>46099</v>
      </c>
      <c r="I486" s="24">
        <v>46099</v>
      </c>
      <c r="J486" s="23" t="s">
        <v>2271</v>
      </c>
      <c r="K486" s="23" t="s">
        <v>2271</v>
      </c>
      <c r="L486" s="23">
        <v>6</v>
      </c>
      <c r="M486" s="23" t="s">
        <v>78</v>
      </c>
      <c r="N486" s="23" t="s">
        <v>78</v>
      </c>
      <c r="O486" s="23">
        <v>24.48</v>
      </c>
      <c r="P486" s="23" t="s">
        <v>79</v>
      </c>
      <c r="Q486" s="23" t="s">
        <v>83</v>
      </c>
      <c r="R486" s="23">
        <v>11100176</v>
      </c>
      <c r="S486" s="24">
        <v>46073</v>
      </c>
      <c r="T486" s="24">
        <v>46032</v>
      </c>
      <c r="U486" s="24" t="s">
        <v>80</v>
      </c>
      <c r="X486" s="24">
        <v>46030</v>
      </c>
      <c r="Y486" s="23">
        <v>1111</v>
      </c>
      <c r="Z486" s="23">
        <v>11100137</v>
      </c>
      <c r="AA486" s="23">
        <v>335103</v>
      </c>
      <c r="AB486" s="24">
        <v>45952</v>
      </c>
    </row>
    <row r="487" spans="2:28" x14ac:dyDescent="0.2">
      <c r="C487" s="23">
        <v>1100573392</v>
      </c>
      <c r="E487" s="23">
        <v>90</v>
      </c>
      <c r="F487" s="23" t="s">
        <v>701</v>
      </c>
      <c r="G487" s="23" t="s">
        <v>1799</v>
      </c>
      <c r="H487" s="24">
        <v>46099</v>
      </c>
      <c r="I487" s="24">
        <v>46099</v>
      </c>
      <c r="J487" s="23" t="s">
        <v>2271</v>
      </c>
      <c r="K487" s="23" t="s">
        <v>2271</v>
      </c>
      <c r="L487" s="23">
        <v>4</v>
      </c>
      <c r="M487" s="23" t="s">
        <v>78</v>
      </c>
      <c r="N487" s="23" t="s">
        <v>78</v>
      </c>
      <c r="O487" s="23">
        <v>513.16</v>
      </c>
      <c r="P487" s="23" t="s">
        <v>79</v>
      </c>
      <c r="Q487" s="23" t="s">
        <v>83</v>
      </c>
      <c r="R487" s="23">
        <v>11100176</v>
      </c>
      <c r="S487" s="24">
        <v>46073</v>
      </c>
      <c r="T487" s="24">
        <v>46032</v>
      </c>
      <c r="U487" s="24" t="s">
        <v>80</v>
      </c>
      <c r="X487" s="24">
        <v>46030</v>
      </c>
      <c r="Y487" s="23">
        <v>1111</v>
      </c>
      <c r="Z487" s="23">
        <v>11100137</v>
      </c>
      <c r="AA487" s="23">
        <v>335103</v>
      </c>
      <c r="AB487" s="24">
        <v>45952</v>
      </c>
    </row>
    <row r="488" spans="2:28" x14ac:dyDescent="0.2">
      <c r="C488" s="23">
        <v>1100573392</v>
      </c>
      <c r="E488" s="23">
        <v>100</v>
      </c>
      <c r="F488" s="23" t="s">
        <v>850</v>
      </c>
      <c r="G488" s="23" t="s">
        <v>851</v>
      </c>
      <c r="H488" s="24">
        <v>46099</v>
      </c>
      <c r="I488" s="24">
        <v>46099</v>
      </c>
      <c r="J488" s="23" t="s">
        <v>2271</v>
      </c>
      <c r="K488" s="23" t="s">
        <v>2271</v>
      </c>
      <c r="L488" s="23">
        <v>1</v>
      </c>
      <c r="M488" s="23" t="s">
        <v>78</v>
      </c>
      <c r="N488" s="23" t="s">
        <v>78</v>
      </c>
      <c r="O488" s="23">
        <v>117.33</v>
      </c>
      <c r="P488" s="23" t="s">
        <v>79</v>
      </c>
      <c r="Q488" s="23" t="s">
        <v>83</v>
      </c>
      <c r="R488" s="23">
        <v>11100176</v>
      </c>
      <c r="S488" s="24">
        <v>46073</v>
      </c>
      <c r="T488" s="24">
        <v>46032</v>
      </c>
      <c r="U488" s="24" t="s">
        <v>80</v>
      </c>
      <c r="X488" s="24">
        <v>46030</v>
      </c>
      <c r="Y488" s="23">
        <v>1111</v>
      </c>
      <c r="Z488" s="23">
        <v>11100137</v>
      </c>
      <c r="AA488" s="23">
        <v>335103</v>
      </c>
      <c r="AB488" s="24">
        <v>45952</v>
      </c>
    </row>
    <row r="489" spans="2:28" x14ac:dyDescent="0.2">
      <c r="C489" s="23">
        <v>1100573392</v>
      </c>
      <c r="E489" s="23">
        <v>110</v>
      </c>
      <c r="F489" s="23" t="s">
        <v>699</v>
      </c>
      <c r="G489" s="23" t="s">
        <v>700</v>
      </c>
      <c r="H489" s="24">
        <v>46099</v>
      </c>
      <c r="I489" s="24">
        <v>46099</v>
      </c>
      <c r="J489" s="23" t="s">
        <v>2271</v>
      </c>
      <c r="K489" s="23" t="s">
        <v>2271</v>
      </c>
      <c r="L489" s="23">
        <v>4</v>
      </c>
      <c r="M489" s="23" t="s">
        <v>78</v>
      </c>
      <c r="N489" s="23" t="s">
        <v>78</v>
      </c>
      <c r="O489" s="23">
        <v>118.24</v>
      </c>
      <c r="P489" s="23" t="s">
        <v>79</v>
      </c>
      <c r="Q489" s="23" t="s">
        <v>83</v>
      </c>
      <c r="R489" s="23">
        <v>11100176</v>
      </c>
      <c r="S489" s="24">
        <v>46073</v>
      </c>
      <c r="T489" s="24">
        <v>46032</v>
      </c>
      <c r="U489" s="24" t="s">
        <v>80</v>
      </c>
      <c r="X489" s="24">
        <v>46030</v>
      </c>
      <c r="Y489" s="23">
        <v>1111</v>
      </c>
      <c r="Z489" s="23">
        <v>11100137</v>
      </c>
      <c r="AA489" s="23">
        <v>335103</v>
      </c>
      <c r="AB489" s="24">
        <v>45952</v>
      </c>
    </row>
    <row r="490" spans="2:28" x14ac:dyDescent="0.2">
      <c r="C490" s="23">
        <v>1100573392</v>
      </c>
      <c r="E490" s="23">
        <v>120</v>
      </c>
      <c r="F490" s="23" t="s">
        <v>2277</v>
      </c>
      <c r="G490" s="23" t="s">
        <v>2278</v>
      </c>
      <c r="H490" s="24">
        <v>46099</v>
      </c>
      <c r="I490" s="24">
        <v>46099</v>
      </c>
      <c r="J490" s="23" t="s">
        <v>2271</v>
      </c>
      <c r="K490" s="23" t="s">
        <v>2271</v>
      </c>
      <c r="L490" s="23">
        <v>4</v>
      </c>
      <c r="M490" s="23" t="s">
        <v>78</v>
      </c>
      <c r="N490" s="23" t="s">
        <v>78</v>
      </c>
      <c r="O490" s="23">
        <v>8.16</v>
      </c>
      <c r="P490" s="23" t="s">
        <v>79</v>
      </c>
      <c r="Q490" s="23" t="s">
        <v>83</v>
      </c>
      <c r="R490" s="23">
        <v>11100176</v>
      </c>
      <c r="S490" s="24">
        <v>46073</v>
      </c>
      <c r="T490" s="24">
        <v>46032</v>
      </c>
      <c r="U490" s="24" t="s">
        <v>80</v>
      </c>
      <c r="X490" s="24">
        <v>46030</v>
      </c>
      <c r="Y490" s="23">
        <v>1111</v>
      </c>
      <c r="Z490" s="23">
        <v>11100137</v>
      </c>
      <c r="AA490" s="23">
        <v>335103</v>
      </c>
      <c r="AB490" s="24">
        <v>45952</v>
      </c>
    </row>
    <row r="491" spans="2:28" x14ac:dyDescent="0.2">
      <c r="B491" s="23" t="s">
        <v>81</v>
      </c>
      <c r="C491" s="23">
        <v>1100573392</v>
      </c>
      <c r="H491" s="24">
        <v>46099</v>
      </c>
      <c r="O491" s="23">
        <v>3661.9</v>
      </c>
      <c r="P491" s="23" t="s">
        <v>79</v>
      </c>
    </row>
    <row r="492" spans="2:28" x14ac:dyDescent="0.2">
      <c r="C492" s="23">
        <v>1100573536</v>
      </c>
      <c r="E492" s="23">
        <v>10</v>
      </c>
      <c r="F492" s="23" t="s">
        <v>2863</v>
      </c>
      <c r="G492" s="23" t="s">
        <v>2864</v>
      </c>
      <c r="H492" s="24">
        <v>46099</v>
      </c>
      <c r="I492" s="24">
        <v>46099</v>
      </c>
      <c r="J492" s="23" t="s">
        <v>1052</v>
      </c>
      <c r="K492" s="23" t="s">
        <v>1052</v>
      </c>
      <c r="L492" s="23">
        <v>2</v>
      </c>
      <c r="M492" s="23" t="s">
        <v>78</v>
      </c>
      <c r="N492" s="23" t="s">
        <v>78</v>
      </c>
      <c r="O492" s="23">
        <v>3180.52</v>
      </c>
      <c r="P492" s="23" t="s">
        <v>79</v>
      </c>
      <c r="Q492" s="23" t="s">
        <v>83</v>
      </c>
      <c r="R492" s="23">
        <v>11100176</v>
      </c>
      <c r="S492" s="24">
        <v>46052</v>
      </c>
      <c r="T492" s="24">
        <v>46034</v>
      </c>
      <c r="U492" s="24" t="s">
        <v>80</v>
      </c>
      <c r="X492" s="24">
        <v>46030</v>
      </c>
      <c r="Y492" s="23">
        <v>1111</v>
      </c>
      <c r="Z492" s="23">
        <v>11400704</v>
      </c>
      <c r="AA492" s="23">
        <v>3951</v>
      </c>
      <c r="AB492" s="24">
        <v>46030</v>
      </c>
    </row>
    <row r="493" spans="2:28" x14ac:dyDescent="0.2">
      <c r="B493" s="23" t="s">
        <v>81</v>
      </c>
      <c r="C493" s="23">
        <v>1100573536</v>
      </c>
      <c r="H493" s="24">
        <v>46099</v>
      </c>
      <c r="O493" s="23">
        <v>3180.52</v>
      </c>
      <c r="P493" s="23" t="s">
        <v>79</v>
      </c>
    </row>
    <row r="494" spans="2:28" x14ac:dyDescent="0.2">
      <c r="C494" s="23">
        <v>1100573757</v>
      </c>
      <c r="E494" s="23">
        <v>10</v>
      </c>
      <c r="F494" s="23" t="s">
        <v>2865</v>
      </c>
      <c r="G494" s="23" t="s">
        <v>2866</v>
      </c>
      <c r="H494" s="24">
        <v>46099</v>
      </c>
      <c r="I494" s="24">
        <v>46099</v>
      </c>
      <c r="J494" s="23" t="s">
        <v>2867</v>
      </c>
      <c r="K494" s="23" t="s">
        <v>2867</v>
      </c>
      <c r="L494" s="23">
        <v>8</v>
      </c>
      <c r="M494" s="23" t="s">
        <v>78</v>
      </c>
      <c r="N494" s="23" t="s">
        <v>78</v>
      </c>
      <c r="O494" s="23">
        <v>0</v>
      </c>
      <c r="P494" s="23" t="s">
        <v>79</v>
      </c>
      <c r="Q494" s="23" t="s">
        <v>83</v>
      </c>
      <c r="R494" s="23">
        <v>11100176</v>
      </c>
      <c r="S494" s="24" t="s">
        <v>80</v>
      </c>
      <c r="T494" s="24">
        <v>46036</v>
      </c>
      <c r="U494" s="24" t="s">
        <v>80</v>
      </c>
      <c r="X494" s="24">
        <v>46036</v>
      </c>
      <c r="Y494" s="23">
        <v>1111</v>
      </c>
      <c r="Z494" s="23">
        <v>11400797</v>
      </c>
      <c r="AA494" s="23">
        <v>3951</v>
      </c>
      <c r="AB494" s="24">
        <v>46036</v>
      </c>
    </row>
    <row r="495" spans="2:28" x14ac:dyDescent="0.2">
      <c r="B495" s="23" t="s">
        <v>81</v>
      </c>
      <c r="C495" s="23">
        <v>1100573757</v>
      </c>
      <c r="H495" s="24">
        <v>46099</v>
      </c>
      <c r="O495" s="23">
        <v>0</v>
      </c>
      <c r="P495" s="23" t="s">
        <v>79</v>
      </c>
    </row>
    <row r="496" spans="2:28" x14ac:dyDescent="0.2">
      <c r="C496" s="23">
        <v>1100574231</v>
      </c>
      <c r="E496" s="23">
        <v>70</v>
      </c>
      <c r="F496" s="23" t="s">
        <v>2868</v>
      </c>
      <c r="G496" s="23" t="s">
        <v>2869</v>
      </c>
      <c r="H496" s="24">
        <v>46099</v>
      </c>
      <c r="I496" s="24">
        <v>46099</v>
      </c>
      <c r="J496" s="23" t="s">
        <v>92</v>
      </c>
      <c r="K496" s="23" t="s">
        <v>92</v>
      </c>
      <c r="L496" s="23">
        <v>10</v>
      </c>
      <c r="M496" s="23" t="s">
        <v>78</v>
      </c>
      <c r="N496" s="23" t="s">
        <v>78</v>
      </c>
      <c r="O496" s="23">
        <v>142.5</v>
      </c>
      <c r="P496" s="23" t="s">
        <v>79</v>
      </c>
      <c r="Q496" s="23" t="s">
        <v>119</v>
      </c>
      <c r="R496" s="23">
        <v>11100176</v>
      </c>
      <c r="S496" s="24">
        <v>46070</v>
      </c>
      <c r="T496" s="24">
        <v>46042</v>
      </c>
      <c r="U496" s="24">
        <v>46050</v>
      </c>
      <c r="X496" s="24">
        <v>46037</v>
      </c>
      <c r="Y496" s="23">
        <v>1111</v>
      </c>
      <c r="Z496" s="23">
        <v>11600001</v>
      </c>
      <c r="AA496" s="23">
        <v>525103</v>
      </c>
      <c r="AB496" s="24">
        <v>46034</v>
      </c>
    </row>
    <row r="497" spans="2:28" x14ac:dyDescent="0.2">
      <c r="B497" s="23" t="s">
        <v>81</v>
      </c>
      <c r="C497" s="23">
        <v>1100574231</v>
      </c>
      <c r="H497" s="24">
        <v>46099</v>
      </c>
      <c r="O497" s="23">
        <v>142.5</v>
      </c>
      <c r="P497" s="23" t="s">
        <v>79</v>
      </c>
    </row>
    <row r="498" spans="2:28" x14ac:dyDescent="0.2">
      <c r="C498" s="23">
        <v>1100574587</v>
      </c>
      <c r="E498" s="23">
        <v>10</v>
      </c>
      <c r="F498" s="23" t="s">
        <v>855</v>
      </c>
      <c r="G498" s="23" t="s">
        <v>856</v>
      </c>
      <c r="H498" s="24">
        <v>46099</v>
      </c>
      <c r="I498" s="24">
        <v>46099</v>
      </c>
      <c r="J498" s="23" t="s">
        <v>561</v>
      </c>
      <c r="K498" s="23" t="s">
        <v>561</v>
      </c>
      <c r="L498" s="23">
        <v>5</v>
      </c>
      <c r="M498" s="23" t="s">
        <v>78</v>
      </c>
      <c r="N498" s="23" t="s">
        <v>78</v>
      </c>
      <c r="O498" s="23">
        <v>4404.1000000000004</v>
      </c>
      <c r="P498" s="23" t="s">
        <v>79</v>
      </c>
      <c r="Q498" s="23" t="s">
        <v>83</v>
      </c>
      <c r="R498" s="23">
        <v>11100176</v>
      </c>
      <c r="S498" s="24">
        <v>46080</v>
      </c>
      <c r="T498" s="24">
        <v>46045</v>
      </c>
      <c r="U498" s="24" t="s">
        <v>80</v>
      </c>
      <c r="X498" s="24">
        <v>46045</v>
      </c>
      <c r="Y498" s="23">
        <v>1111</v>
      </c>
      <c r="Z498" s="23">
        <v>11600007</v>
      </c>
      <c r="AA498" s="23">
        <v>335103</v>
      </c>
      <c r="AB498" s="24">
        <v>46043</v>
      </c>
    </row>
    <row r="499" spans="2:28" x14ac:dyDescent="0.2">
      <c r="B499" s="23" t="s">
        <v>81</v>
      </c>
      <c r="C499" s="23">
        <v>1100574587</v>
      </c>
      <c r="H499" s="24">
        <v>46099</v>
      </c>
      <c r="O499" s="23">
        <v>4404.1000000000004</v>
      </c>
      <c r="P499" s="23" t="s">
        <v>79</v>
      </c>
    </row>
    <row r="500" spans="2:28" x14ac:dyDescent="0.2">
      <c r="C500" s="23">
        <v>1100575403</v>
      </c>
      <c r="E500" s="23">
        <v>10</v>
      </c>
      <c r="F500" s="23" t="s">
        <v>2870</v>
      </c>
      <c r="G500" s="23" t="s">
        <v>2871</v>
      </c>
      <c r="H500" s="24">
        <v>46099</v>
      </c>
      <c r="I500" s="24">
        <v>46099</v>
      </c>
      <c r="J500" s="23" t="s">
        <v>257</v>
      </c>
      <c r="K500" s="23" t="s">
        <v>257</v>
      </c>
      <c r="L500" s="23">
        <v>1</v>
      </c>
      <c r="M500" s="23" t="s">
        <v>78</v>
      </c>
      <c r="N500" s="23" t="s">
        <v>78</v>
      </c>
      <c r="O500" s="23">
        <v>1027.04</v>
      </c>
      <c r="P500" s="23" t="s">
        <v>79</v>
      </c>
      <c r="Q500" s="23" t="s">
        <v>83</v>
      </c>
      <c r="R500" s="23">
        <v>11100176</v>
      </c>
      <c r="S500" s="24">
        <v>46079</v>
      </c>
      <c r="T500" s="24">
        <v>46051</v>
      </c>
      <c r="U500" s="24" t="s">
        <v>80</v>
      </c>
      <c r="X500" s="24">
        <v>46051</v>
      </c>
      <c r="Y500" s="23">
        <v>1111</v>
      </c>
      <c r="Z500" s="23">
        <v>11100137</v>
      </c>
      <c r="AA500" s="23">
        <v>3951</v>
      </c>
      <c r="AB500" s="24">
        <v>46006</v>
      </c>
    </row>
    <row r="501" spans="2:28" x14ac:dyDescent="0.2">
      <c r="B501" s="23" t="s">
        <v>81</v>
      </c>
      <c r="C501" s="23">
        <v>1100575403</v>
      </c>
      <c r="H501" s="24">
        <v>46099</v>
      </c>
      <c r="O501" s="23">
        <v>1027.04</v>
      </c>
      <c r="P501" s="23" t="s">
        <v>79</v>
      </c>
    </row>
    <row r="502" spans="2:28" x14ac:dyDescent="0.2">
      <c r="C502" s="23">
        <v>1100575792</v>
      </c>
      <c r="E502" s="23">
        <v>10</v>
      </c>
      <c r="F502" s="23" t="s">
        <v>2878</v>
      </c>
      <c r="G502" s="23" t="s">
        <v>2879</v>
      </c>
      <c r="H502" s="24">
        <v>46099</v>
      </c>
      <c r="I502" s="24">
        <v>46099</v>
      </c>
      <c r="J502" s="23" t="s">
        <v>2880</v>
      </c>
      <c r="K502" s="23" t="s">
        <v>2880</v>
      </c>
      <c r="L502" s="23">
        <v>1</v>
      </c>
      <c r="M502" s="23" t="s">
        <v>78</v>
      </c>
      <c r="N502" s="23" t="s">
        <v>78</v>
      </c>
      <c r="O502" s="23">
        <v>1101.78</v>
      </c>
      <c r="P502" s="23" t="s">
        <v>79</v>
      </c>
      <c r="Q502" s="23" t="s">
        <v>83</v>
      </c>
      <c r="R502" s="23">
        <v>11100176</v>
      </c>
      <c r="S502" s="24">
        <v>46112</v>
      </c>
      <c r="T502" s="24">
        <v>46056</v>
      </c>
      <c r="U502" s="24" t="s">
        <v>80</v>
      </c>
      <c r="X502" s="24">
        <v>46050</v>
      </c>
      <c r="Y502" s="23">
        <v>1111</v>
      </c>
      <c r="Z502" s="23">
        <v>11400895</v>
      </c>
      <c r="AA502" s="23">
        <v>5151</v>
      </c>
      <c r="AB502" s="24">
        <v>46050</v>
      </c>
    </row>
    <row r="503" spans="2:28" x14ac:dyDescent="0.2">
      <c r="B503" s="23" t="s">
        <v>81</v>
      </c>
      <c r="C503" s="23">
        <v>1100575792</v>
      </c>
      <c r="H503" s="24">
        <v>46099</v>
      </c>
      <c r="O503" s="23">
        <v>1101.78</v>
      </c>
      <c r="P503" s="23" t="s">
        <v>79</v>
      </c>
    </row>
    <row r="504" spans="2:28" x14ac:dyDescent="0.2">
      <c r="C504" s="23">
        <v>1100575835</v>
      </c>
      <c r="E504" s="23">
        <v>10</v>
      </c>
      <c r="F504" s="23" t="s">
        <v>2881</v>
      </c>
      <c r="G504" s="23" t="s">
        <v>2882</v>
      </c>
      <c r="H504" s="24">
        <v>46099</v>
      </c>
      <c r="I504" s="24">
        <v>46099</v>
      </c>
      <c r="J504" s="23" t="s">
        <v>485</v>
      </c>
      <c r="K504" s="23" t="s">
        <v>485</v>
      </c>
      <c r="L504" s="23">
        <v>3</v>
      </c>
      <c r="M504" s="23" t="s">
        <v>78</v>
      </c>
      <c r="N504" s="23" t="s">
        <v>78</v>
      </c>
      <c r="O504" s="23">
        <v>1665.36</v>
      </c>
      <c r="P504" s="23" t="s">
        <v>79</v>
      </c>
      <c r="Q504" s="23" t="s">
        <v>83</v>
      </c>
      <c r="R504" s="23">
        <v>11100176</v>
      </c>
      <c r="S504" s="24">
        <v>46064</v>
      </c>
      <c r="T504" s="24">
        <v>46057</v>
      </c>
      <c r="U504" s="24" t="s">
        <v>80</v>
      </c>
      <c r="X504" s="24">
        <v>46055</v>
      </c>
      <c r="Y504" s="23">
        <v>1111</v>
      </c>
      <c r="Z504" s="23">
        <v>11600001</v>
      </c>
      <c r="AA504" s="23">
        <v>3351</v>
      </c>
      <c r="AB504" s="24">
        <v>46008</v>
      </c>
    </row>
    <row r="505" spans="2:28" x14ac:dyDescent="0.2">
      <c r="C505" s="23">
        <v>1100575835</v>
      </c>
      <c r="E505" s="23">
        <v>20</v>
      </c>
      <c r="F505" s="23" t="s">
        <v>1899</v>
      </c>
      <c r="G505" s="23" t="s">
        <v>1900</v>
      </c>
      <c r="H505" s="24">
        <v>46099</v>
      </c>
      <c r="I505" s="24">
        <v>46099</v>
      </c>
      <c r="J505" s="23" t="s">
        <v>485</v>
      </c>
      <c r="K505" s="23" t="s">
        <v>485</v>
      </c>
      <c r="L505" s="23">
        <v>3</v>
      </c>
      <c r="M505" s="23" t="s">
        <v>78</v>
      </c>
      <c r="N505" s="23" t="s">
        <v>78</v>
      </c>
      <c r="O505" s="23">
        <v>1883.31</v>
      </c>
      <c r="P505" s="23" t="s">
        <v>79</v>
      </c>
      <c r="Q505" s="23" t="s">
        <v>83</v>
      </c>
      <c r="R505" s="23">
        <v>11100176</v>
      </c>
      <c r="S505" s="24">
        <v>46064</v>
      </c>
      <c r="T505" s="24">
        <v>46057</v>
      </c>
      <c r="U505" s="24" t="s">
        <v>80</v>
      </c>
      <c r="X505" s="24">
        <v>46055</v>
      </c>
      <c r="Y505" s="23">
        <v>1111</v>
      </c>
      <c r="Z505" s="23">
        <v>11600001</v>
      </c>
      <c r="AA505" s="23">
        <v>3351</v>
      </c>
      <c r="AB505" s="24">
        <v>46008</v>
      </c>
    </row>
    <row r="506" spans="2:28" x14ac:dyDescent="0.2">
      <c r="C506" s="23">
        <v>1100575835</v>
      </c>
      <c r="E506" s="23">
        <v>30</v>
      </c>
      <c r="F506" s="23" t="s">
        <v>2672</v>
      </c>
      <c r="G506" s="23" t="s">
        <v>2673</v>
      </c>
      <c r="H506" s="24">
        <v>46099</v>
      </c>
      <c r="I506" s="24">
        <v>46099</v>
      </c>
      <c r="J506" s="23" t="s">
        <v>485</v>
      </c>
      <c r="K506" s="23" t="s">
        <v>485</v>
      </c>
      <c r="L506" s="23">
        <v>2</v>
      </c>
      <c r="M506" s="23" t="s">
        <v>78</v>
      </c>
      <c r="N506" s="23" t="s">
        <v>78</v>
      </c>
      <c r="O506" s="23">
        <v>1480.82</v>
      </c>
      <c r="P506" s="23" t="s">
        <v>79</v>
      </c>
      <c r="Q506" s="23" t="s">
        <v>83</v>
      </c>
      <c r="R506" s="23">
        <v>11100176</v>
      </c>
      <c r="S506" s="24">
        <v>46113</v>
      </c>
      <c r="T506" s="24">
        <v>46057</v>
      </c>
      <c r="U506" s="24" t="s">
        <v>80</v>
      </c>
      <c r="X506" s="24">
        <v>46055</v>
      </c>
      <c r="Y506" s="23">
        <v>1111</v>
      </c>
      <c r="Z506" s="23">
        <v>11600001</v>
      </c>
      <c r="AA506" s="23">
        <v>3351</v>
      </c>
      <c r="AB506" s="24">
        <v>46008</v>
      </c>
    </row>
    <row r="507" spans="2:28" x14ac:dyDescent="0.2">
      <c r="C507" s="23">
        <v>1100575835</v>
      </c>
      <c r="E507" s="23">
        <v>40</v>
      </c>
      <c r="F507" s="23" t="s">
        <v>82</v>
      </c>
      <c r="G507" s="23" t="s">
        <v>139</v>
      </c>
      <c r="H507" s="24">
        <v>46099</v>
      </c>
      <c r="I507" s="24">
        <v>46099</v>
      </c>
      <c r="J507" s="23" t="s">
        <v>485</v>
      </c>
      <c r="K507" s="23" t="s">
        <v>485</v>
      </c>
      <c r="L507" s="23">
        <v>1</v>
      </c>
      <c r="M507" s="23" t="s">
        <v>78</v>
      </c>
      <c r="N507" s="23" t="s">
        <v>78</v>
      </c>
      <c r="O507" s="23">
        <v>0.01</v>
      </c>
      <c r="P507" s="23" t="s">
        <v>79</v>
      </c>
      <c r="Q507" s="23" t="s">
        <v>83</v>
      </c>
      <c r="R507" s="23">
        <v>11100176</v>
      </c>
      <c r="S507" s="24">
        <v>46064</v>
      </c>
      <c r="T507" s="24">
        <v>46057</v>
      </c>
      <c r="U507" s="24" t="s">
        <v>80</v>
      </c>
      <c r="X507" s="24">
        <v>46055</v>
      </c>
      <c r="Y507" s="23">
        <v>1111</v>
      </c>
      <c r="Z507" s="23">
        <v>11600001</v>
      </c>
      <c r="AA507" s="23">
        <v>3351</v>
      </c>
      <c r="AB507" s="24">
        <v>46008</v>
      </c>
    </row>
    <row r="508" spans="2:28" x14ac:dyDescent="0.2">
      <c r="B508" s="23" t="s">
        <v>81</v>
      </c>
      <c r="C508" s="23">
        <v>1100575835</v>
      </c>
      <c r="H508" s="24">
        <v>46099</v>
      </c>
      <c r="O508" s="23">
        <v>5029.5</v>
      </c>
      <c r="P508" s="23" t="s">
        <v>79</v>
      </c>
    </row>
    <row r="509" spans="2:28" x14ac:dyDescent="0.2">
      <c r="C509" s="23">
        <v>1100576145</v>
      </c>
      <c r="E509" s="23">
        <v>60</v>
      </c>
      <c r="F509" s="23" t="s">
        <v>2883</v>
      </c>
      <c r="G509" s="23" t="s">
        <v>2884</v>
      </c>
      <c r="H509" s="24">
        <v>46099</v>
      </c>
      <c r="I509" s="24">
        <v>46099</v>
      </c>
      <c r="J509" s="23" t="s">
        <v>805</v>
      </c>
      <c r="K509" s="23" t="s">
        <v>805</v>
      </c>
      <c r="L509" s="23">
        <v>1</v>
      </c>
      <c r="M509" s="23" t="s">
        <v>78</v>
      </c>
      <c r="N509" s="23" t="s">
        <v>78</v>
      </c>
      <c r="O509" s="23">
        <v>10121</v>
      </c>
      <c r="P509" s="23" t="s">
        <v>79</v>
      </c>
      <c r="Q509" s="23" t="s">
        <v>83</v>
      </c>
      <c r="R509" s="23">
        <v>11100018</v>
      </c>
      <c r="S509" s="24" t="s">
        <v>80</v>
      </c>
      <c r="T509" s="24">
        <v>46059</v>
      </c>
      <c r="U509" s="24">
        <v>46752</v>
      </c>
      <c r="X509" s="24">
        <v>46059</v>
      </c>
      <c r="Y509" s="23">
        <v>1111</v>
      </c>
      <c r="Z509" s="23">
        <v>11200017</v>
      </c>
      <c r="AA509" s="23">
        <v>3955</v>
      </c>
      <c r="AB509" s="24">
        <v>46059</v>
      </c>
    </row>
    <row r="510" spans="2:28" x14ac:dyDescent="0.2">
      <c r="C510" s="23">
        <v>1100576145</v>
      </c>
      <c r="E510" s="23">
        <v>70</v>
      </c>
      <c r="F510" s="23" t="s">
        <v>2883</v>
      </c>
      <c r="G510" s="23" t="s">
        <v>2884</v>
      </c>
      <c r="H510" s="24">
        <v>46099</v>
      </c>
      <c r="I510" s="24">
        <v>46099</v>
      </c>
      <c r="J510" s="23" t="s">
        <v>805</v>
      </c>
      <c r="K510" s="23" t="s">
        <v>805</v>
      </c>
      <c r="L510" s="23">
        <v>1</v>
      </c>
      <c r="M510" s="23" t="s">
        <v>78</v>
      </c>
      <c r="N510" s="23" t="s">
        <v>78</v>
      </c>
      <c r="O510" s="23">
        <v>10121</v>
      </c>
      <c r="P510" s="23" t="s">
        <v>79</v>
      </c>
      <c r="Q510" s="23" t="s">
        <v>83</v>
      </c>
      <c r="R510" s="23">
        <v>11100018</v>
      </c>
      <c r="S510" s="24" t="s">
        <v>80</v>
      </c>
      <c r="T510" s="24">
        <v>46059</v>
      </c>
      <c r="U510" s="24">
        <v>46752</v>
      </c>
      <c r="X510" s="24">
        <v>46059</v>
      </c>
      <c r="Y510" s="23">
        <v>1111</v>
      </c>
      <c r="Z510" s="23">
        <v>11200017</v>
      </c>
      <c r="AA510" s="23">
        <v>3955</v>
      </c>
      <c r="AB510" s="24">
        <v>46059</v>
      </c>
    </row>
    <row r="511" spans="2:28" x14ac:dyDescent="0.2">
      <c r="C511" s="23">
        <v>1100576145</v>
      </c>
      <c r="E511" s="23">
        <v>80</v>
      </c>
      <c r="F511" s="23" t="s">
        <v>2883</v>
      </c>
      <c r="G511" s="23" t="s">
        <v>2884</v>
      </c>
      <c r="H511" s="24">
        <v>46099</v>
      </c>
      <c r="I511" s="24">
        <v>46099</v>
      </c>
      <c r="J511" s="23" t="s">
        <v>805</v>
      </c>
      <c r="K511" s="23" t="s">
        <v>805</v>
      </c>
      <c r="L511" s="23">
        <v>1</v>
      </c>
      <c r="M511" s="23" t="s">
        <v>78</v>
      </c>
      <c r="N511" s="23" t="s">
        <v>78</v>
      </c>
      <c r="O511" s="23">
        <v>10121</v>
      </c>
      <c r="P511" s="23" t="s">
        <v>79</v>
      </c>
      <c r="Q511" s="23" t="s">
        <v>83</v>
      </c>
      <c r="R511" s="23">
        <v>11100018</v>
      </c>
      <c r="S511" s="24" t="s">
        <v>80</v>
      </c>
      <c r="T511" s="24">
        <v>46059</v>
      </c>
      <c r="U511" s="24">
        <v>46752</v>
      </c>
      <c r="X511" s="24">
        <v>46059</v>
      </c>
      <c r="Y511" s="23">
        <v>1111</v>
      </c>
      <c r="Z511" s="23">
        <v>11200017</v>
      </c>
      <c r="AA511" s="23">
        <v>3955</v>
      </c>
      <c r="AB511" s="24">
        <v>46059</v>
      </c>
    </row>
    <row r="512" spans="2:28" x14ac:dyDescent="0.2">
      <c r="C512" s="23">
        <v>1100576145</v>
      </c>
      <c r="E512" s="23">
        <v>90</v>
      </c>
      <c r="F512" s="23" t="s">
        <v>2883</v>
      </c>
      <c r="G512" s="23" t="s">
        <v>2884</v>
      </c>
      <c r="H512" s="24">
        <v>46099</v>
      </c>
      <c r="I512" s="24">
        <v>46099</v>
      </c>
      <c r="J512" s="23" t="s">
        <v>805</v>
      </c>
      <c r="K512" s="23" t="s">
        <v>805</v>
      </c>
      <c r="L512" s="23">
        <v>2</v>
      </c>
      <c r="M512" s="23" t="s">
        <v>78</v>
      </c>
      <c r="N512" s="23" t="s">
        <v>78</v>
      </c>
      <c r="O512" s="23">
        <v>20242</v>
      </c>
      <c r="P512" s="23" t="s">
        <v>79</v>
      </c>
      <c r="Q512" s="23" t="s">
        <v>83</v>
      </c>
      <c r="R512" s="23">
        <v>11100018</v>
      </c>
      <c r="S512" s="24" t="s">
        <v>80</v>
      </c>
      <c r="T512" s="24">
        <v>46059</v>
      </c>
      <c r="U512" s="24">
        <v>46752</v>
      </c>
      <c r="X512" s="24">
        <v>46059</v>
      </c>
      <c r="Y512" s="23">
        <v>1111</v>
      </c>
      <c r="Z512" s="23">
        <v>11200017</v>
      </c>
      <c r="AA512" s="23">
        <v>3955</v>
      </c>
      <c r="AB512" s="24">
        <v>46059</v>
      </c>
    </row>
    <row r="513" spans="2:28" x14ac:dyDescent="0.2">
      <c r="C513" s="23">
        <v>1100576145</v>
      </c>
      <c r="E513" s="23">
        <v>100</v>
      </c>
      <c r="F513" s="23" t="s">
        <v>2883</v>
      </c>
      <c r="G513" s="23" t="s">
        <v>2884</v>
      </c>
      <c r="H513" s="24">
        <v>46099</v>
      </c>
      <c r="I513" s="24">
        <v>46099</v>
      </c>
      <c r="J513" s="23" t="s">
        <v>805</v>
      </c>
      <c r="K513" s="23" t="s">
        <v>805</v>
      </c>
      <c r="L513" s="23">
        <v>3</v>
      </c>
      <c r="M513" s="23" t="s">
        <v>78</v>
      </c>
      <c r="N513" s="23" t="s">
        <v>78</v>
      </c>
      <c r="O513" s="23">
        <v>30363</v>
      </c>
      <c r="P513" s="23" t="s">
        <v>79</v>
      </c>
      <c r="Q513" s="23" t="s">
        <v>83</v>
      </c>
      <c r="R513" s="23">
        <v>11100018</v>
      </c>
      <c r="S513" s="24" t="s">
        <v>80</v>
      </c>
      <c r="T513" s="24">
        <v>46059</v>
      </c>
      <c r="U513" s="24">
        <v>46752</v>
      </c>
      <c r="X513" s="24">
        <v>46059</v>
      </c>
      <c r="Y513" s="23">
        <v>1111</v>
      </c>
      <c r="Z513" s="23">
        <v>11200017</v>
      </c>
      <c r="AA513" s="23">
        <v>3955</v>
      </c>
      <c r="AB513" s="24">
        <v>46059</v>
      </c>
    </row>
    <row r="514" spans="2:28" x14ac:dyDescent="0.2">
      <c r="B514" s="23" t="s">
        <v>81</v>
      </c>
      <c r="C514" s="23">
        <v>1100576145</v>
      </c>
      <c r="H514" s="24">
        <v>46099</v>
      </c>
      <c r="O514" s="23">
        <v>80968</v>
      </c>
      <c r="P514" s="23" t="s">
        <v>79</v>
      </c>
    </row>
    <row r="515" spans="2:28" x14ac:dyDescent="0.2">
      <c r="C515" s="23">
        <v>1100576949</v>
      </c>
      <c r="E515" s="23">
        <v>10</v>
      </c>
      <c r="F515" s="23" t="s">
        <v>847</v>
      </c>
      <c r="G515" s="23" t="s">
        <v>848</v>
      </c>
      <c r="H515" s="24">
        <v>46099</v>
      </c>
      <c r="I515" s="24">
        <v>46099</v>
      </c>
      <c r="J515" s="23" t="s">
        <v>711</v>
      </c>
      <c r="K515" s="23" t="s">
        <v>711</v>
      </c>
      <c r="L515" s="23">
        <v>2</v>
      </c>
      <c r="M515" s="23" t="s">
        <v>78</v>
      </c>
      <c r="N515" s="23" t="s">
        <v>78</v>
      </c>
      <c r="O515" s="23">
        <v>1457.7</v>
      </c>
      <c r="P515" s="23" t="s">
        <v>79</v>
      </c>
      <c r="Q515" s="23" t="s">
        <v>83</v>
      </c>
      <c r="R515" s="23">
        <v>11100176</v>
      </c>
      <c r="S515" s="24">
        <v>46087</v>
      </c>
      <c r="T515" s="24">
        <v>46069</v>
      </c>
      <c r="U515" s="24">
        <v>46086</v>
      </c>
      <c r="X515" s="24">
        <v>46065</v>
      </c>
      <c r="Y515" s="23">
        <v>1111</v>
      </c>
      <c r="Z515" s="23">
        <v>11600003</v>
      </c>
      <c r="AA515" s="23">
        <v>315103</v>
      </c>
      <c r="AB515" s="24">
        <v>46066</v>
      </c>
    </row>
    <row r="516" spans="2:28" x14ac:dyDescent="0.2">
      <c r="B516" s="23" t="s">
        <v>81</v>
      </c>
      <c r="C516" s="23">
        <v>1100576949</v>
      </c>
      <c r="H516" s="24">
        <v>46099</v>
      </c>
      <c r="O516" s="23">
        <v>1457.7</v>
      </c>
      <c r="P516" s="23" t="s">
        <v>79</v>
      </c>
    </row>
    <row r="517" spans="2:28" x14ac:dyDescent="0.2">
      <c r="C517" s="23">
        <v>1100577017</v>
      </c>
      <c r="E517" s="23">
        <v>10</v>
      </c>
      <c r="F517" s="23" t="s">
        <v>2885</v>
      </c>
      <c r="G517" s="23" t="s">
        <v>2886</v>
      </c>
      <c r="H517" s="24">
        <v>46099</v>
      </c>
      <c r="I517" s="24">
        <v>46099</v>
      </c>
      <c r="J517" s="23" t="s">
        <v>1172</v>
      </c>
      <c r="K517" s="23" t="s">
        <v>1172</v>
      </c>
      <c r="L517" s="23">
        <v>1</v>
      </c>
      <c r="M517" s="23" t="s">
        <v>78</v>
      </c>
      <c r="N517" s="23" t="s">
        <v>78</v>
      </c>
      <c r="O517" s="23">
        <v>1201.5</v>
      </c>
      <c r="P517" s="23" t="s">
        <v>79</v>
      </c>
      <c r="Q517" s="23" t="s">
        <v>83</v>
      </c>
      <c r="R517" s="23">
        <v>11100176</v>
      </c>
      <c r="S517" s="24" t="s">
        <v>80</v>
      </c>
      <c r="T517" s="24">
        <v>46070</v>
      </c>
      <c r="U517" s="24" t="s">
        <v>80</v>
      </c>
      <c r="X517" s="24">
        <v>46069</v>
      </c>
      <c r="Y517" s="23">
        <v>1111</v>
      </c>
      <c r="Z517" s="23">
        <v>11100320</v>
      </c>
      <c r="AA517" s="23">
        <v>3951</v>
      </c>
      <c r="AB517" s="24">
        <v>46069</v>
      </c>
    </row>
    <row r="518" spans="2:28" x14ac:dyDescent="0.2">
      <c r="B518" s="23" t="s">
        <v>81</v>
      </c>
      <c r="C518" s="23">
        <v>1100577017</v>
      </c>
      <c r="H518" s="24">
        <v>46099</v>
      </c>
      <c r="O518" s="23">
        <v>1201.5</v>
      </c>
      <c r="P518" s="23" t="s">
        <v>79</v>
      </c>
    </row>
    <row r="519" spans="2:28" x14ac:dyDescent="0.2">
      <c r="C519" s="23">
        <v>1100577059</v>
      </c>
      <c r="E519" s="23">
        <v>10</v>
      </c>
      <c r="F519" s="23" t="s">
        <v>847</v>
      </c>
      <c r="G519" s="23" t="s">
        <v>848</v>
      </c>
      <c r="H519" s="24">
        <v>46099</v>
      </c>
      <c r="I519" s="24">
        <v>46830</v>
      </c>
      <c r="J519" s="23" t="s">
        <v>968</v>
      </c>
      <c r="K519" s="23" t="s">
        <v>968</v>
      </c>
      <c r="L519" s="23">
        <v>9</v>
      </c>
      <c r="M519" s="23" t="s">
        <v>78</v>
      </c>
      <c r="N519" s="23" t="s">
        <v>78</v>
      </c>
      <c r="O519" s="23">
        <v>4919.74</v>
      </c>
      <c r="P519" s="23" t="s">
        <v>79</v>
      </c>
      <c r="Q519" s="23" t="s">
        <v>83</v>
      </c>
      <c r="R519" s="23">
        <v>11100176</v>
      </c>
      <c r="S519" s="24">
        <v>46099</v>
      </c>
      <c r="T519" s="24">
        <v>46071</v>
      </c>
      <c r="U519" s="24" t="s">
        <v>80</v>
      </c>
      <c r="X519" s="24">
        <v>46066</v>
      </c>
      <c r="Y519" s="23">
        <v>1111</v>
      </c>
      <c r="Z519" s="23">
        <v>11400797</v>
      </c>
      <c r="AA519" s="23">
        <v>335103</v>
      </c>
      <c r="AB519" s="24">
        <v>46058</v>
      </c>
    </row>
    <row r="520" spans="2:28" x14ac:dyDescent="0.2">
      <c r="C520" s="23">
        <v>1100577059</v>
      </c>
      <c r="E520" s="23">
        <v>20</v>
      </c>
      <c r="F520" s="23" t="s">
        <v>82</v>
      </c>
      <c r="G520" s="23" t="s">
        <v>139</v>
      </c>
      <c r="H520" s="24">
        <v>46099</v>
      </c>
      <c r="I520" s="24">
        <v>46099</v>
      </c>
      <c r="J520" s="23" t="s">
        <v>968</v>
      </c>
      <c r="K520" s="23" t="s">
        <v>968</v>
      </c>
      <c r="L520" s="23">
        <v>1</v>
      </c>
      <c r="M520" s="23" t="s">
        <v>78</v>
      </c>
      <c r="N520" s="23" t="s">
        <v>78</v>
      </c>
      <c r="O520" s="23">
        <v>0.01</v>
      </c>
      <c r="P520" s="23" t="s">
        <v>79</v>
      </c>
      <c r="Q520" s="23" t="s">
        <v>83</v>
      </c>
      <c r="R520" s="23">
        <v>11100176</v>
      </c>
      <c r="S520" s="24" t="s">
        <v>80</v>
      </c>
      <c r="T520" s="24">
        <v>46071</v>
      </c>
      <c r="U520" s="24" t="s">
        <v>80</v>
      </c>
      <c r="X520" s="24">
        <v>46066</v>
      </c>
      <c r="Y520" s="23">
        <v>1111</v>
      </c>
      <c r="Z520" s="23">
        <v>11400797</v>
      </c>
      <c r="AA520" s="23">
        <v>335103</v>
      </c>
      <c r="AB520" s="24">
        <v>46058</v>
      </c>
    </row>
    <row r="521" spans="2:28" x14ac:dyDescent="0.2">
      <c r="B521" s="23" t="s">
        <v>81</v>
      </c>
      <c r="C521" s="23">
        <v>1100577059</v>
      </c>
      <c r="H521" s="24">
        <v>46099</v>
      </c>
      <c r="O521" s="23">
        <v>4919.75</v>
      </c>
      <c r="P521" s="23" t="s">
        <v>79</v>
      </c>
    </row>
    <row r="522" spans="2:28" x14ac:dyDescent="0.2">
      <c r="C522" s="23">
        <v>1100577365</v>
      </c>
      <c r="E522" s="23">
        <v>10</v>
      </c>
      <c r="F522" s="23" t="s">
        <v>2255</v>
      </c>
      <c r="G522" s="23" t="s">
        <v>2256</v>
      </c>
      <c r="H522" s="24">
        <v>46099</v>
      </c>
      <c r="I522" s="24">
        <v>46099</v>
      </c>
      <c r="J522" s="23" t="s">
        <v>1066</v>
      </c>
      <c r="K522" s="23" t="s">
        <v>1066</v>
      </c>
      <c r="L522" s="23">
        <v>1</v>
      </c>
      <c r="M522" s="23" t="s">
        <v>78</v>
      </c>
      <c r="N522" s="23" t="s">
        <v>78</v>
      </c>
      <c r="O522" s="23">
        <v>52.63</v>
      </c>
      <c r="P522" s="23" t="s">
        <v>79</v>
      </c>
      <c r="Q522" s="23" t="s">
        <v>83</v>
      </c>
      <c r="R522" s="23">
        <v>11100008</v>
      </c>
      <c r="S522" s="24">
        <v>46094</v>
      </c>
      <c r="T522" s="24">
        <v>46073</v>
      </c>
      <c r="U522" s="24" t="s">
        <v>80</v>
      </c>
      <c r="X522" s="24">
        <v>46070</v>
      </c>
      <c r="Y522" s="23">
        <v>1111</v>
      </c>
      <c r="Z522" s="23">
        <v>11600003</v>
      </c>
      <c r="AA522" s="23">
        <v>335103</v>
      </c>
      <c r="AB522" s="24">
        <v>46062</v>
      </c>
    </row>
    <row r="523" spans="2:28" x14ac:dyDescent="0.2">
      <c r="C523" s="23">
        <v>1100577365</v>
      </c>
      <c r="E523" s="23">
        <v>20</v>
      </c>
      <c r="F523" s="23" t="s">
        <v>2257</v>
      </c>
      <c r="G523" s="23" t="s">
        <v>2258</v>
      </c>
      <c r="H523" s="24">
        <v>46099</v>
      </c>
      <c r="I523" s="24">
        <v>46099</v>
      </c>
      <c r="J523" s="23" t="s">
        <v>1066</v>
      </c>
      <c r="K523" s="23" t="s">
        <v>1066</v>
      </c>
      <c r="L523" s="23">
        <v>1</v>
      </c>
      <c r="M523" s="23" t="s">
        <v>78</v>
      </c>
      <c r="N523" s="23" t="s">
        <v>78</v>
      </c>
      <c r="O523" s="23">
        <v>47.15</v>
      </c>
      <c r="P523" s="23" t="s">
        <v>79</v>
      </c>
      <c r="Q523" s="23" t="s">
        <v>83</v>
      </c>
      <c r="R523" s="23">
        <v>11100008</v>
      </c>
      <c r="S523" s="24">
        <v>46094</v>
      </c>
      <c r="T523" s="24">
        <v>46073</v>
      </c>
      <c r="U523" s="24" t="s">
        <v>80</v>
      </c>
      <c r="X523" s="24">
        <v>46070</v>
      </c>
      <c r="Y523" s="23">
        <v>1111</v>
      </c>
      <c r="Z523" s="23">
        <v>11600003</v>
      </c>
      <c r="AA523" s="23">
        <v>335103</v>
      </c>
      <c r="AB523" s="24">
        <v>46062</v>
      </c>
    </row>
    <row r="524" spans="2:28" x14ac:dyDescent="0.2">
      <c r="C524" s="23">
        <v>1100577365</v>
      </c>
      <c r="E524" s="23">
        <v>30</v>
      </c>
      <c r="F524" s="23" t="s">
        <v>2888</v>
      </c>
      <c r="G524" s="23" t="s">
        <v>2889</v>
      </c>
      <c r="H524" s="24">
        <v>46099</v>
      </c>
      <c r="I524" s="24">
        <v>46099</v>
      </c>
      <c r="J524" s="23" t="s">
        <v>1066</v>
      </c>
      <c r="K524" s="23" t="s">
        <v>1066</v>
      </c>
      <c r="L524" s="23">
        <v>3</v>
      </c>
      <c r="M524" s="23" t="s">
        <v>78</v>
      </c>
      <c r="N524" s="23" t="s">
        <v>78</v>
      </c>
      <c r="O524" s="23">
        <v>763.17</v>
      </c>
      <c r="P524" s="23" t="s">
        <v>79</v>
      </c>
      <c r="Q524" s="23" t="s">
        <v>83</v>
      </c>
      <c r="R524" s="23">
        <v>11100008</v>
      </c>
      <c r="S524" s="24">
        <v>46094</v>
      </c>
      <c r="T524" s="24">
        <v>46073</v>
      </c>
      <c r="U524" s="24" t="s">
        <v>80</v>
      </c>
      <c r="X524" s="24">
        <v>46070</v>
      </c>
      <c r="Y524" s="23">
        <v>1111</v>
      </c>
      <c r="Z524" s="23">
        <v>11600003</v>
      </c>
      <c r="AA524" s="23">
        <v>335103</v>
      </c>
      <c r="AB524" s="24">
        <v>46062</v>
      </c>
    </row>
    <row r="525" spans="2:28" x14ac:dyDescent="0.2">
      <c r="C525" s="23">
        <v>1100577365</v>
      </c>
      <c r="E525" s="23">
        <v>40</v>
      </c>
      <c r="F525" s="23" t="s">
        <v>209</v>
      </c>
      <c r="G525" s="23" t="s">
        <v>210</v>
      </c>
      <c r="H525" s="24">
        <v>46099</v>
      </c>
      <c r="I525" s="24">
        <v>46099</v>
      </c>
      <c r="J525" s="23" t="s">
        <v>1066</v>
      </c>
      <c r="K525" s="23" t="s">
        <v>1066</v>
      </c>
      <c r="L525" s="23">
        <v>1</v>
      </c>
      <c r="M525" s="23" t="s">
        <v>78</v>
      </c>
      <c r="N525" s="23" t="s">
        <v>78</v>
      </c>
      <c r="O525" s="23">
        <v>0</v>
      </c>
      <c r="P525" s="23" t="s">
        <v>79</v>
      </c>
      <c r="Q525" s="23" t="s">
        <v>83</v>
      </c>
      <c r="R525" s="23">
        <v>11100008</v>
      </c>
      <c r="S525" s="24">
        <v>46094</v>
      </c>
      <c r="T525" s="24">
        <v>46073</v>
      </c>
      <c r="U525" s="24" t="s">
        <v>80</v>
      </c>
      <c r="X525" s="24">
        <v>46070</v>
      </c>
      <c r="Y525" s="23">
        <v>1111</v>
      </c>
      <c r="Z525" s="23">
        <v>11600003</v>
      </c>
      <c r="AA525" s="23">
        <v>335103</v>
      </c>
      <c r="AB525" s="24">
        <v>46062</v>
      </c>
    </row>
    <row r="526" spans="2:28" x14ac:dyDescent="0.2">
      <c r="B526" s="23" t="s">
        <v>81</v>
      </c>
      <c r="C526" s="23">
        <v>1100577365</v>
      </c>
      <c r="H526" s="24">
        <v>46099</v>
      </c>
      <c r="O526" s="23">
        <v>862.95</v>
      </c>
      <c r="P526" s="23" t="s">
        <v>79</v>
      </c>
    </row>
    <row r="527" spans="2:28" x14ac:dyDescent="0.2">
      <c r="C527" s="23">
        <v>1100577913</v>
      </c>
      <c r="E527" s="23">
        <v>10</v>
      </c>
      <c r="F527" s="23" t="s">
        <v>2890</v>
      </c>
      <c r="G527" s="23" t="s">
        <v>2891</v>
      </c>
      <c r="H527" s="24">
        <v>46099</v>
      </c>
      <c r="I527" s="24">
        <v>46099</v>
      </c>
      <c r="J527" s="23" t="s">
        <v>2300</v>
      </c>
      <c r="K527" s="23" t="s">
        <v>2300</v>
      </c>
      <c r="L527" s="23">
        <v>6</v>
      </c>
      <c r="M527" s="23" t="s">
        <v>78</v>
      </c>
      <c r="N527" s="23" t="s">
        <v>78</v>
      </c>
      <c r="O527" s="23">
        <v>4710.54</v>
      </c>
      <c r="P527" s="23" t="s">
        <v>79</v>
      </c>
      <c r="Q527" s="23" t="s">
        <v>83</v>
      </c>
      <c r="R527" s="23">
        <v>11100176</v>
      </c>
      <c r="S527" s="24">
        <v>46094</v>
      </c>
      <c r="T527" s="24">
        <v>46078</v>
      </c>
      <c r="U527" s="24" t="s">
        <v>80</v>
      </c>
      <c r="X527" s="24">
        <v>46070</v>
      </c>
      <c r="Y527" s="23">
        <v>1111</v>
      </c>
      <c r="Z527" s="23">
        <v>11600003</v>
      </c>
      <c r="AA527" s="23">
        <v>505103</v>
      </c>
      <c r="AB527" s="24">
        <v>46071</v>
      </c>
    </row>
    <row r="528" spans="2:28" x14ac:dyDescent="0.2">
      <c r="C528" s="23">
        <v>1100577913</v>
      </c>
      <c r="E528" s="23">
        <v>20</v>
      </c>
      <c r="F528" s="23" t="s">
        <v>82</v>
      </c>
      <c r="G528" s="23" t="s">
        <v>139</v>
      </c>
      <c r="H528" s="24">
        <v>46099</v>
      </c>
      <c r="I528" s="24">
        <v>46099</v>
      </c>
      <c r="J528" s="23" t="s">
        <v>2300</v>
      </c>
      <c r="K528" s="23" t="s">
        <v>2300</v>
      </c>
      <c r="L528" s="23">
        <v>1</v>
      </c>
      <c r="M528" s="23" t="s">
        <v>78</v>
      </c>
      <c r="N528" s="23" t="s">
        <v>78</v>
      </c>
      <c r="O528" s="23">
        <v>0.01</v>
      </c>
      <c r="P528" s="23" t="s">
        <v>79</v>
      </c>
      <c r="Q528" s="23" t="s">
        <v>83</v>
      </c>
      <c r="R528" s="23">
        <v>11100176</v>
      </c>
      <c r="S528" s="24">
        <v>46094</v>
      </c>
      <c r="T528" s="24">
        <v>46078</v>
      </c>
      <c r="U528" s="24" t="s">
        <v>80</v>
      </c>
      <c r="X528" s="24">
        <v>46070</v>
      </c>
      <c r="Y528" s="23">
        <v>1111</v>
      </c>
      <c r="Z528" s="23">
        <v>11600003</v>
      </c>
      <c r="AA528" s="23">
        <v>505103</v>
      </c>
      <c r="AB528" s="24">
        <v>46071</v>
      </c>
    </row>
    <row r="529" spans="2:28" x14ac:dyDescent="0.2">
      <c r="B529" s="23" t="s">
        <v>81</v>
      </c>
      <c r="C529" s="23">
        <v>1100577913</v>
      </c>
      <c r="H529" s="24">
        <v>46099</v>
      </c>
      <c r="O529" s="23">
        <v>4710.55</v>
      </c>
      <c r="P529" s="23" t="s">
        <v>79</v>
      </c>
    </row>
    <row r="530" spans="2:28" x14ac:dyDescent="0.2">
      <c r="C530" s="23">
        <v>1100577975</v>
      </c>
      <c r="E530" s="23">
        <v>10</v>
      </c>
      <c r="F530" s="23" t="s">
        <v>240</v>
      </c>
      <c r="G530" s="23" t="s">
        <v>241</v>
      </c>
      <c r="H530" s="24">
        <v>46099</v>
      </c>
      <c r="I530" s="24">
        <v>46099</v>
      </c>
      <c r="J530" s="23" t="s">
        <v>283</v>
      </c>
      <c r="K530" s="23" t="s">
        <v>283</v>
      </c>
      <c r="L530" s="23">
        <v>2</v>
      </c>
      <c r="M530" s="23" t="s">
        <v>78</v>
      </c>
      <c r="N530" s="23" t="s">
        <v>78</v>
      </c>
      <c r="O530" s="23">
        <v>864.3</v>
      </c>
      <c r="P530" s="23" t="s">
        <v>79</v>
      </c>
      <c r="Q530" s="23" t="s">
        <v>83</v>
      </c>
      <c r="R530" s="23">
        <v>11100176</v>
      </c>
      <c r="S530" s="24">
        <v>46099</v>
      </c>
      <c r="T530" s="24">
        <v>46078</v>
      </c>
      <c r="U530" s="24" t="s">
        <v>80</v>
      </c>
      <c r="X530" s="24">
        <v>46077</v>
      </c>
      <c r="Y530" s="23">
        <v>1111</v>
      </c>
      <c r="Z530" s="23">
        <v>11400811</v>
      </c>
      <c r="AA530" s="23">
        <v>5151</v>
      </c>
      <c r="AB530" s="24">
        <v>46077</v>
      </c>
    </row>
    <row r="531" spans="2:28" x14ac:dyDescent="0.2">
      <c r="B531" s="23" t="s">
        <v>81</v>
      </c>
      <c r="C531" s="23">
        <v>1100577975</v>
      </c>
      <c r="H531" s="24">
        <v>46099</v>
      </c>
      <c r="O531" s="23">
        <v>864.3</v>
      </c>
      <c r="P531" s="23" t="s">
        <v>79</v>
      </c>
    </row>
    <row r="532" spans="2:28" x14ac:dyDescent="0.2">
      <c r="C532" s="23">
        <v>1100562497</v>
      </c>
      <c r="E532" s="23">
        <v>10</v>
      </c>
      <c r="F532" s="23" t="s">
        <v>2041</v>
      </c>
      <c r="G532" s="23" t="s">
        <v>2042</v>
      </c>
      <c r="H532" s="24">
        <v>46100</v>
      </c>
      <c r="I532" s="24">
        <v>46100</v>
      </c>
      <c r="J532" s="23" t="s">
        <v>1433</v>
      </c>
      <c r="K532" s="23" t="s">
        <v>1433</v>
      </c>
      <c r="L532" s="23">
        <v>1</v>
      </c>
      <c r="M532" s="23" t="s">
        <v>78</v>
      </c>
      <c r="N532" s="23" t="s">
        <v>78</v>
      </c>
      <c r="O532" s="23">
        <v>8872</v>
      </c>
      <c r="P532" s="23" t="s">
        <v>79</v>
      </c>
      <c r="Q532" s="23" t="s">
        <v>83</v>
      </c>
      <c r="R532" s="23">
        <v>11100299</v>
      </c>
      <c r="S532" s="24">
        <v>45953</v>
      </c>
      <c r="T532" s="24">
        <v>45911</v>
      </c>
      <c r="U532" s="24" t="s">
        <v>80</v>
      </c>
      <c r="X532" s="24">
        <v>45908</v>
      </c>
      <c r="Y532" s="23">
        <v>1111</v>
      </c>
      <c r="Z532" s="23">
        <v>11400742</v>
      </c>
      <c r="AA532" s="23">
        <v>335103</v>
      </c>
      <c r="AB532" s="24">
        <v>45908</v>
      </c>
    </row>
    <row r="533" spans="2:28" x14ac:dyDescent="0.2">
      <c r="C533" s="23">
        <v>1100562497</v>
      </c>
      <c r="E533" s="23">
        <v>20</v>
      </c>
      <c r="F533" s="23" t="s">
        <v>82</v>
      </c>
      <c r="G533" s="23" t="s">
        <v>139</v>
      </c>
      <c r="H533" s="24">
        <v>46100</v>
      </c>
      <c r="I533" s="24">
        <v>46100</v>
      </c>
      <c r="J533" s="23" t="s">
        <v>1433</v>
      </c>
      <c r="K533" s="23" t="s">
        <v>1433</v>
      </c>
      <c r="L533" s="23">
        <v>1</v>
      </c>
      <c r="M533" s="23" t="s">
        <v>78</v>
      </c>
      <c r="N533" s="23" t="s">
        <v>78</v>
      </c>
      <c r="O533" s="23">
        <v>0.01</v>
      </c>
      <c r="P533" s="23" t="s">
        <v>79</v>
      </c>
      <c r="Q533" s="23" t="s">
        <v>83</v>
      </c>
      <c r="R533" s="23">
        <v>11100299</v>
      </c>
      <c r="S533" s="24" t="s">
        <v>80</v>
      </c>
      <c r="T533" s="24">
        <v>45911</v>
      </c>
      <c r="U533" s="24" t="s">
        <v>80</v>
      </c>
      <c r="X533" s="24">
        <v>45908</v>
      </c>
      <c r="Y533" s="23">
        <v>1111</v>
      </c>
      <c r="Z533" s="23">
        <v>11400742</v>
      </c>
      <c r="AA533" s="23">
        <v>335103</v>
      </c>
      <c r="AB533" s="24">
        <v>45908</v>
      </c>
    </row>
    <row r="534" spans="2:28" x14ac:dyDescent="0.2">
      <c r="B534" s="23" t="s">
        <v>81</v>
      </c>
      <c r="C534" s="23">
        <v>1100562497</v>
      </c>
      <c r="H534" s="24">
        <v>46100</v>
      </c>
      <c r="O534" s="23">
        <v>8872.01</v>
      </c>
      <c r="P534" s="23" t="s">
        <v>79</v>
      </c>
    </row>
    <row r="535" spans="2:28" x14ac:dyDescent="0.2">
      <c r="C535" s="23">
        <v>1100572275</v>
      </c>
      <c r="E535" s="23">
        <v>10</v>
      </c>
      <c r="F535" s="23">
        <v>4212135</v>
      </c>
      <c r="G535" s="23" t="s">
        <v>2082</v>
      </c>
      <c r="H535" s="24">
        <v>46100</v>
      </c>
      <c r="I535" s="24">
        <v>46100</v>
      </c>
      <c r="J535" s="23" t="s">
        <v>2083</v>
      </c>
      <c r="K535" s="23" t="s">
        <v>2083</v>
      </c>
      <c r="L535" s="23">
        <v>3</v>
      </c>
      <c r="M535" s="23" t="s">
        <v>78</v>
      </c>
      <c r="N535" s="23" t="s">
        <v>78</v>
      </c>
      <c r="O535" s="23">
        <v>1324.71</v>
      </c>
      <c r="P535" s="23" t="s">
        <v>79</v>
      </c>
      <c r="Q535" s="23" t="s">
        <v>83</v>
      </c>
      <c r="R535" s="23">
        <v>11100008</v>
      </c>
      <c r="S535" s="24">
        <v>46086</v>
      </c>
      <c r="T535" s="24">
        <v>46014</v>
      </c>
      <c r="U535" s="24" t="s">
        <v>80</v>
      </c>
      <c r="X535" s="24">
        <v>46013</v>
      </c>
      <c r="Y535" s="23">
        <v>1111</v>
      </c>
      <c r="Z535" s="23">
        <v>11400742</v>
      </c>
      <c r="AA535" s="23">
        <v>3951</v>
      </c>
      <c r="AB535" s="24">
        <v>46002</v>
      </c>
    </row>
    <row r="536" spans="2:28" x14ac:dyDescent="0.2">
      <c r="C536" s="23">
        <v>1100572275</v>
      </c>
      <c r="E536" s="23">
        <v>20</v>
      </c>
      <c r="F536" s="23">
        <v>6410234</v>
      </c>
      <c r="G536" s="23" t="s">
        <v>2084</v>
      </c>
      <c r="H536" s="24">
        <v>46100</v>
      </c>
      <c r="I536" s="24">
        <v>46100</v>
      </c>
      <c r="J536" s="23" t="s">
        <v>2083</v>
      </c>
      <c r="K536" s="23" t="s">
        <v>2083</v>
      </c>
      <c r="L536" s="23">
        <v>1</v>
      </c>
      <c r="M536" s="23" t="s">
        <v>78</v>
      </c>
      <c r="N536" s="23" t="s">
        <v>78</v>
      </c>
      <c r="O536" s="23">
        <v>513.55999999999995</v>
      </c>
      <c r="P536" s="23" t="s">
        <v>79</v>
      </c>
      <c r="Q536" s="23" t="s">
        <v>83</v>
      </c>
      <c r="R536" s="23">
        <v>11100008</v>
      </c>
      <c r="S536" s="24">
        <v>46086</v>
      </c>
      <c r="T536" s="24">
        <v>46014</v>
      </c>
      <c r="U536" s="24" t="s">
        <v>80</v>
      </c>
      <c r="X536" s="24">
        <v>46013</v>
      </c>
      <c r="Y536" s="23">
        <v>1111</v>
      </c>
      <c r="Z536" s="23">
        <v>11400742</v>
      </c>
      <c r="AA536" s="23">
        <v>3951</v>
      </c>
      <c r="AB536" s="24">
        <v>46002</v>
      </c>
    </row>
    <row r="537" spans="2:28" x14ac:dyDescent="0.2">
      <c r="C537" s="23">
        <v>1100572275</v>
      </c>
      <c r="E537" s="23">
        <v>30</v>
      </c>
      <c r="F537" s="23" t="s">
        <v>2085</v>
      </c>
      <c r="G537" s="23" t="s">
        <v>2086</v>
      </c>
      <c r="H537" s="24">
        <v>46100</v>
      </c>
      <c r="I537" s="24">
        <v>46100</v>
      </c>
      <c r="J537" s="23" t="s">
        <v>2083</v>
      </c>
      <c r="K537" s="23" t="s">
        <v>2083</v>
      </c>
      <c r="L537" s="23">
        <v>4</v>
      </c>
      <c r="M537" s="23" t="s">
        <v>78</v>
      </c>
      <c r="N537" s="23" t="s">
        <v>78</v>
      </c>
      <c r="O537" s="23">
        <v>399</v>
      </c>
      <c r="P537" s="23" t="s">
        <v>79</v>
      </c>
      <c r="Q537" s="23" t="s">
        <v>83</v>
      </c>
      <c r="R537" s="23">
        <v>11100008</v>
      </c>
      <c r="S537" s="24">
        <v>46086</v>
      </c>
      <c r="T537" s="24">
        <v>46014</v>
      </c>
      <c r="U537" s="24" t="s">
        <v>80</v>
      </c>
      <c r="X537" s="24">
        <v>46013</v>
      </c>
      <c r="Y537" s="23">
        <v>1111</v>
      </c>
      <c r="Z537" s="23">
        <v>11400742</v>
      </c>
      <c r="AA537" s="23">
        <v>3951</v>
      </c>
      <c r="AB537" s="24">
        <v>46002</v>
      </c>
    </row>
    <row r="538" spans="2:28" x14ac:dyDescent="0.2">
      <c r="C538" s="23">
        <v>1100572275</v>
      </c>
      <c r="E538" s="23">
        <v>40</v>
      </c>
      <c r="F538" s="23" t="s">
        <v>2087</v>
      </c>
      <c r="G538" s="23" t="s">
        <v>2088</v>
      </c>
      <c r="H538" s="24">
        <v>46100</v>
      </c>
      <c r="I538" s="24">
        <v>46100</v>
      </c>
      <c r="J538" s="23" t="s">
        <v>2083</v>
      </c>
      <c r="K538" s="23" t="s">
        <v>2083</v>
      </c>
      <c r="L538" s="23">
        <v>2</v>
      </c>
      <c r="M538" s="23" t="s">
        <v>78</v>
      </c>
      <c r="N538" s="23" t="s">
        <v>78</v>
      </c>
      <c r="O538" s="23">
        <v>3388</v>
      </c>
      <c r="P538" s="23" t="s">
        <v>79</v>
      </c>
      <c r="Q538" s="23" t="s">
        <v>83</v>
      </c>
      <c r="R538" s="23">
        <v>11100008</v>
      </c>
      <c r="S538" s="24">
        <v>46086</v>
      </c>
      <c r="T538" s="24">
        <v>46014</v>
      </c>
      <c r="U538" s="24" t="s">
        <v>80</v>
      </c>
      <c r="X538" s="24">
        <v>46013</v>
      </c>
      <c r="Y538" s="23">
        <v>1111</v>
      </c>
      <c r="Z538" s="23">
        <v>11400742</v>
      </c>
      <c r="AA538" s="23">
        <v>3951</v>
      </c>
      <c r="AB538" s="24">
        <v>46002</v>
      </c>
    </row>
    <row r="539" spans="2:28" x14ac:dyDescent="0.2">
      <c r="C539" s="23">
        <v>1100572275</v>
      </c>
      <c r="E539" s="23">
        <v>50</v>
      </c>
      <c r="F539" s="23" t="s">
        <v>2087</v>
      </c>
      <c r="G539" s="23" t="s">
        <v>2088</v>
      </c>
      <c r="H539" s="24">
        <v>46100</v>
      </c>
      <c r="I539" s="24">
        <v>46100</v>
      </c>
      <c r="J539" s="23" t="s">
        <v>2083</v>
      </c>
      <c r="K539" s="23" t="s">
        <v>2083</v>
      </c>
      <c r="L539" s="23">
        <v>1</v>
      </c>
      <c r="M539" s="23" t="s">
        <v>78</v>
      </c>
      <c r="N539" s="23" t="s">
        <v>78</v>
      </c>
      <c r="O539" s="23">
        <v>1694</v>
      </c>
      <c r="P539" s="23" t="s">
        <v>79</v>
      </c>
      <c r="Q539" s="23" t="s">
        <v>83</v>
      </c>
      <c r="R539" s="23">
        <v>11100008</v>
      </c>
      <c r="S539" s="24">
        <v>46086</v>
      </c>
      <c r="T539" s="24">
        <v>46014</v>
      </c>
      <c r="U539" s="24" t="s">
        <v>80</v>
      </c>
      <c r="X539" s="24">
        <v>46013</v>
      </c>
      <c r="Y539" s="23">
        <v>1111</v>
      </c>
      <c r="Z539" s="23">
        <v>11400742</v>
      </c>
      <c r="AA539" s="23">
        <v>3951</v>
      </c>
      <c r="AB539" s="24">
        <v>46002</v>
      </c>
    </row>
    <row r="540" spans="2:28" x14ac:dyDescent="0.2">
      <c r="C540" s="23">
        <v>1100572275</v>
      </c>
      <c r="E540" s="23">
        <v>60</v>
      </c>
      <c r="F540" s="23" t="s">
        <v>222</v>
      </c>
      <c r="G540" s="23" t="s">
        <v>223</v>
      </c>
      <c r="H540" s="24">
        <v>46100</v>
      </c>
      <c r="I540" s="24">
        <v>46100</v>
      </c>
      <c r="J540" s="23" t="s">
        <v>2083</v>
      </c>
      <c r="K540" s="23" t="s">
        <v>2083</v>
      </c>
      <c r="L540" s="23">
        <v>1</v>
      </c>
      <c r="M540" s="23" t="s">
        <v>78</v>
      </c>
      <c r="N540" s="23" t="s">
        <v>78</v>
      </c>
      <c r="O540" s="23">
        <v>5300</v>
      </c>
      <c r="P540" s="23" t="s">
        <v>79</v>
      </c>
      <c r="Q540" s="23" t="s">
        <v>83</v>
      </c>
      <c r="R540" s="23">
        <v>11100008</v>
      </c>
      <c r="S540" s="24">
        <v>46086</v>
      </c>
      <c r="T540" s="24">
        <v>46014</v>
      </c>
      <c r="U540" s="24" t="s">
        <v>80</v>
      </c>
      <c r="X540" s="24">
        <v>46013</v>
      </c>
      <c r="Y540" s="23">
        <v>1111</v>
      </c>
      <c r="Z540" s="23">
        <v>11400742</v>
      </c>
      <c r="AA540" s="23">
        <v>3951</v>
      </c>
      <c r="AB540" s="24">
        <v>46002</v>
      </c>
    </row>
    <row r="541" spans="2:28" x14ac:dyDescent="0.2">
      <c r="C541" s="23">
        <v>1100572275</v>
      </c>
      <c r="E541" s="23">
        <v>70</v>
      </c>
      <c r="F541" s="23" t="s">
        <v>2089</v>
      </c>
      <c r="G541" s="23" t="s">
        <v>2090</v>
      </c>
      <c r="H541" s="24">
        <v>46100</v>
      </c>
      <c r="I541" s="24">
        <v>46100</v>
      </c>
      <c r="J541" s="23" t="s">
        <v>2083</v>
      </c>
      <c r="K541" s="23" t="s">
        <v>2083</v>
      </c>
      <c r="L541" s="23">
        <v>3</v>
      </c>
      <c r="M541" s="23" t="s">
        <v>78</v>
      </c>
      <c r="N541" s="23" t="s">
        <v>78</v>
      </c>
      <c r="O541" s="23">
        <v>205.02</v>
      </c>
      <c r="P541" s="23" t="s">
        <v>79</v>
      </c>
      <c r="Q541" s="23" t="s">
        <v>83</v>
      </c>
      <c r="R541" s="23">
        <v>11100008</v>
      </c>
      <c r="S541" s="24">
        <v>46086</v>
      </c>
      <c r="T541" s="24">
        <v>46014</v>
      </c>
      <c r="U541" s="24" t="s">
        <v>80</v>
      </c>
      <c r="X541" s="24">
        <v>46013</v>
      </c>
      <c r="Y541" s="23">
        <v>1111</v>
      </c>
      <c r="Z541" s="23">
        <v>11400742</v>
      </c>
      <c r="AA541" s="23">
        <v>3951</v>
      </c>
      <c r="AB541" s="24">
        <v>46002</v>
      </c>
    </row>
    <row r="542" spans="2:28" x14ac:dyDescent="0.2">
      <c r="C542" s="23">
        <v>1100572275</v>
      </c>
      <c r="E542" s="23">
        <v>80</v>
      </c>
      <c r="F542" s="23" t="s">
        <v>2091</v>
      </c>
      <c r="G542" s="23" t="s">
        <v>2092</v>
      </c>
      <c r="H542" s="24">
        <v>46100</v>
      </c>
      <c r="I542" s="24">
        <v>46100</v>
      </c>
      <c r="J542" s="23" t="s">
        <v>2083</v>
      </c>
      <c r="K542" s="23" t="s">
        <v>2083</v>
      </c>
      <c r="L542" s="23">
        <v>1</v>
      </c>
      <c r="M542" s="23" t="s">
        <v>78</v>
      </c>
      <c r="N542" s="23" t="s">
        <v>78</v>
      </c>
      <c r="O542" s="23">
        <v>1862</v>
      </c>
      <c r="P542" s="23" t="s">
        <v>79</v>
      </c>
      <c r="Q542" s="23" t="s">
        <v>83</v>
      </c>
      <c r="R542" s="23">
        <v>11100008</v>
      </c>
      <c r="S542" s="24">
        <v>46086</v>
      </c>
      <c r="T542" s="24">
        <v>46014</v>
      </c>
      <c r="U542" s="24" t="s">
        <v>80</v>
      </c>
      <c r="X542" s="24">
        <v>46013</v>
      </c>
      <c r="Y542" s="23">
        <v>1111</v>
      </c>
      <c r="Z542" s="23">
        <v>11400742</v>
      </c>
      <c r="AA542" s="23">
        <v>3951</v>
      </c>
      <c r="AB542" s="24">
        <v>46002</v>
      </c>
    </row>
    <row r="543" spans="2:28" x14ac:dyDescent="0.2">
      <c r="B543" s="23" t="s">
        <v>81</v>
      </c>
      <c r="C543" s="23">
        <v>1100572275</v>
      </c>
      <c r="H543" s="24">
        <v>46100</v>
      </c>
      <c r="O543" s="23">
        <v>14686.29</v>
      </c>
      <c r="P543" s="23" t="s">
        <v>79</v>
      </c>
    </row>
    <row r="544" spans="2:28" x14ac:dyDescent="0.2">
      <c r="C544" s="23">
        <v>1100573812</v>
      </c>
      <c r="E544" s="23">
        <v>20</v>
      </c>
      <c r="F544" s="23" t="s">
        <v>2844</v>
      </c>
      <c r="G544" s="23" t="s">
        <v>2892</v>
      </c>
      <c r="H544" s="24">
        <v>46100</v>
      </c>
      <c r="I544" s="24">
        <v>46100</v>
      </c>
      <c r="J544" s="23" t="s">
        <v>815</v>
      </c>
      <c r="K544" s="23" t="s">
        <v>815</v>
      </c>
      <c r="L544" s="23">
        <v>1</v>
      </c>
      <c r="M544" s="23" t="s">
        <v>78</v>
      </c>
      <c r="N544" s="23" t="s">
        <v>78</v>
      </c>
      <c r="O544" s="23">
        <v>12532.9</v>
      </c>
      <c r="P544" s="23" t="s">
        <v>79</v>
      </c>
      <c r="Q544" s="23" t="s">
        <v>83</v>
      </c>
      <c r="R544" s="23">
        <v>11100176</v>
      </c>
      <c r="S544" s="24">
        <v>46100</v>
      </c>
      <c r="T544" s="24">
        <v>46036</v>
      </c>
      <c r="U544" s="24">
        <v>47116</v>
      </c>
      <c r="X544" s="24">
        <v>46031</v>
      </c>
      <c r="Y544" s="23">
        <v>1111</v>
      </c>
      <c r="Z544" s="23">
        <v>11400797</v>
      </c>
      <c r="AA544" s="23">
        <v>335103</v>
      </c>
      <c r="AB544" s="24">
        <v>46034</v>
      </c>
    </row>
    <row r="545" spans="2:28" x14ac:dyDescent="0.2">
      <c r="B545" s="23" t="s">
        <v>81</v>
      </c>
      <c r="C545" s="23">
        <v>1100573812</v>
      </c>
      <c r="H545" s="24">
        <v>46100</v>
      </c>
      <c r="O545" s="23">
        <v>12532.9</v>
      </c>
      <c r="P545" s="23" t="s">
        <v>79</v>
      </c>
    </row>
    <row r="546" spans="2:28" x14ac:dyDescent="0.2">
      <c r="C546" s="23">
        <v>1100574336</v>
      </c>
      <c r="E546" s="23">
        <v>10</v>
      </c>
      <c r="F546" s="23" t="s">
        <v>2840</v>
      </c>
      <c r="G546" s="23" t="s">
        <v>2841</v>
      </c>
      <c r="H546" s="24">
        <v>46100</v>
      </c>
      <c r="I546" s="24">
        <v>46100</v>
      </c>
      <c r="J546" s="23" t="s">
        <v>2893</v>
      </c>
      <c r="K546" s="23" t="s">
        <v>2893</v>
      </c>
      <c r="L546" s="23">
        <v>10</v>
      </c>
      <c r="M546" s="23" t="s">
        <v>78</v>
      </c>
      <c r="N546" s="23" t="s">
        <v>78</v>
      </c>
      <c r="O546" s="23">
        <v>61.2</v>
      </c>
      <c r="P546" s="23" t="s">
        <v>79</v>
      </c>
      <c r="Q546" s="23" t="s">
        <v>83</v>
      </c>
      <c r="R546" s="23">
        <v>11100176</v>
      </c>
      <c r="S546" s="24">
        <v>46100</v>
      </c>
      <c r="T546" s="24">
        <v>46043</v>
      </c>
      <c r="U546" s="24" t="s">
        <v>80</v>
      </c>
      <c r="X546" s="24">
        <v>46042</v>
      </c>
      <c r="Y546" s="23">
        <v>1111</v>
      </c>
      <c r="Z546" s="23">
        <v>11100137</v>
      </c>
      <c r="AA546" s="23">
        <v>395103</v>
      </c>
      <c r="AB546" s="24">
        <v>46042</v>
      </c>
    </row>
    <row r="547" spans="2:28" x14ac:dyDescent="0.2">
      <c r="C547" s="23">
        <v>1100574336</v>
      </c>
      <c r="E547" s="23">
        <v>20</v>
      </c>
      <c r="F547" s="23" t="s">
        <v>755</v>
      </c>
      <c r="G547" s="23" t="s">
        <v>2894</v>
      </c>
      <c r="H547" s="24">
        <v>46100</v>
      </c>
      <c r="I547" s="24">
        <v>46100</v>
      </c>
      <c r="J547" s="23" t="s">
        <v>2893</v>
      </c>
      <c r="K547" s="23" t="s">
        <v>2893</v>
      </c>
      <c r="L547" s="23">
        <v>1</v>
      </c>
      <c r="M547" s="23" t="s">
        <v>78</v>
      </c>
      <c r="N547" s="23" t="s">
        <v>78</v>
      </c>
      <c r="O547" s="23">
        <v>252.31</v>
      </c>
      <c r="P547" s="23" t="s">
        <v>79</v>
      </c>
      <c r="Q547" s="23" t="s">
        <v>83</v>
      </c>
      <c r="R547" s="23">
        <v>11100176</v>
      </c>
      <c r="S547" s="24">
        <v>46100</v>
      </c>
      <c r="T547" s="24">
        <v>46043</v>
      </c>
      <c r="U547" s="24" t="s">
        <v>80</v>
      </c>
      <c r="X547" s="24">
        <v>46042</v>
      </c>
      <c r="Y547" s="23">
        <v>1111</v>
      </c>
      <c r="Z547" s="23">
        <v>11100137</v>
      </c>
      <c r="AA547" s="23">
        <v>395103</v>
      </c>
      <c r="AB547" s="24">
        <v>46042</v>
      </c>
    </row>
    <row r="548" spans="2:28" x14ac:dyDescent="0.2">
      <c r="B548" s="23" t="s">
        <v>81</v>
      </c>
      <c r="C548" s="23">
        <v>1100574336</v>
      </c>
      <c r="H548" s="24">
        <v>46100</v>
      </c>
      <c r="O548" s="23">
        <v>313.51</v>
      </c>
      <c r="P548" s="23" t="s">
        <v>79</v>
      </c>
    </row>
    <row r="549" spans="2:28" x14ac:dyDescent="0.2">
      <c r="C549" s="23">
        <v>1100575425</v>
      </c>
      <c r="E549" s="23">
        <v>30</v>
      </c>
      <c r="F549" s="23" t="s">
        <v>2895</v>
      </c>
      <c r="G549" s="23" t="s">
        <v>2896</v>
      </c>
      <c r="H549" s="24">
        <v>46100</v>
      </c>
      <c r="I549" s="24">
        <v>46100</v>
      </c>
      <c r="J549" s="23" t="s">
        <v>968</v>
      </c>
      <c r="K549" s="23" t="s">
        <v>968</v>
      </c>
      <c r="L549" s="23">
        <v>1</v>
      </c>
      <c r="M549" s="23" t="s">
        <v>78</v>
      </c>
      <c r="N549" s="23" t="s">
        <v>78</v>
      </c>
      <c r="O549" s="23">
        <v>0</v>
      </c>
      <c r="P549" s="23" t="s">
        <v>79</v>
      </c>
      <c r="Q549" s="23" t="s">
        <v>83</v>
      </c>
      <c r="R549" s="23">
        <v>11100176</v>
      </c>
      <c r="S549" s="24" t="s">
        <v>80</v>
      </c>
      <c r="T549" s="24">
        <v>46051</v>
      </c>
      <c r="U549" s="24">
        <v>46387</v>
      </c>
      <c r="X549" s="24">
        <v>46051</v>
      </c>
      <c r="Y549" s="23">
        <v>1111</v>
      </c>
      <c r="Z549" s="23">
        <v>11400797</v>
      </c>
      <c r="AA549" s="23">
        <v>511203</v>
      </c>
      <c r="AB549" s="24">
        <v>46051</v>
      </c>
    </row>
    <row r="550" spans="2:28" x14ac:dyDescent="0.2">
      <c r="B550" s="23" t="s">
        <v>81</v>
      </c>
      <c r="C550" s="23">
        <v>1100575425</v>
      </c>
      <c r="H550" s="24">
        <v>46100</v>
      </c>
      <c r="O550" s="23">
        <v>0</v>
      </c>
      <c r="P550" s="23" t="s">
        <v>79</v>
      </c>
    </row>
    <row r="551" spans="2:28" x14ac:dyDescent="0.2">
      <c r="C551" s="23">
        <v>1100575949</v>
      </c>
      <c r="E551" s="23">
        <v>10</v>
      </c>
      <c r="F551" s="23" t="s">
        <v>124</v>
      </c>
      <c r="G551" s="23" t="s">
        <v>125</v>
      </c>
      <c r="H551" s="24">
        <v>46100</v>
      </c>
      <c r="I551" s="24">
        <v>46100</v>
      </c>
      <c r="J551" s="23" t="s">
        <v>2897</v>
      </c>
      <c r="K551" s="23" t="s">
        <v>2897</v>
      </c>
      <c r="L551" s="23">
        <v>5</v>
      </c>
      <c r="M551" s="23" t="s">
        <v>78</v>
      </c>
      <c r="N551" s="23" t="s">
        <v>78</v>
      </c>
      <c r="O551" s="23">
        <v>6854.15</v>
      </c>
      <c r="P551" s="23" t="s">
        <v>79</v>
      </c>
      <c r="Q551" s="23" t="s">
        <v>83</v>
      </c>
      <c r="R551" s="23">
        <v>11100176</v>
      </c>
      <c r="S551" s="24">
        <v>46100</v>
      </c>
      <c r="T551" s="24">
        <v>46058</v>
      </c>
      <c r="U551" s="24" t="s">
        <v>80</v>
      </c>
      <c r="X551" s="24">
        <v>46057</v>
      </c>
      <c r="Y551" s="23">
        <v>1111</v>
      </c>
      <c r="Z551" s="23">
        <v>11100137</v>
      </c>
      <c r="AA551" s="23">
        <v>5051</v>
      </c>
      <c r="AB551" s="24">
        <v>46056</v>
      </c>
    </row>
    <row r="552" spans="2:28" x14ac:dyDescent="0.2">
      <c r="C552" s="23">
        <v>1100575949</v>
      </c>
      <c r="E552" s="23">
        <v>20</v>
      </c>
      <c r="F552" s="23" t="s">
        <v>82</v>
      </c>
      <c r="G552" s="23" t="s">
        <v>139</v>
      </c>
      <c r="H552" s="24">
        <v>46100</v>
      </c>
      <c r="I552" s="24">
        <v>46100</v>
      </c>
      <c r="J552" s="23" t="s">
        <v>2897</v>
      </c>
      <c r="K552" s="23" t="s">
        <v>2897</v>
      </c>
      <c r="L552" s="23">
        <v>1</v>
      </c>
      <c r="M552" s="23" t="s">
        <v>78</v>
      </c>
      <c r="N552" s="23" t="s">
        <v>78</v>
      </c>
      <c r="O552" s="23">
        <v>0.01</v>
      </c>
      <c r="P552" s="23" t="s">
        <v>79</v>
      </c>
      <c r="Q552" s="23" t="s">
        <v>83</v>
      </c>
      <c r="R552" s="23">
        <v>11100176</v>
      </c>
      <c r="S552" s="24" t="s">
        <v>80</v>
      </c>
      <c r="T552" s="24">
        <v>46058</v>
      </c>
      <c r="U552" s="24" t="s">
        <v>80</v>
      </c>
      <c r="X552" s="24">
        <v>46057</v>
      </c>
      <c r="Y552" s="23">
        <v>1111</v>
      </c>
      <c r="Z552" s="23">
        <v>11100137</v>
      </c>
      <c r="AA552" s="23">
        <v>5051</v>
      </c>
      <c r="AB552" s="24">
        <v>46056</v>
      </c>
    </row>
    <row r="553" spans="2:28" x14ac:dyDescent="0.2">
      <c r="B553" s="23" t="s">
        <v>81</v>
      </c>
      <c r="C553" s="23">
        <v>1100575949</v>
      </c>
      <c r="H553" s="24">
        <v>46100</v>
      </c>
      <c r="O553" s="23">
        <v>6854.16</v>
      </c>
      <c r="P553" s="23" t="s">
        <v>79</v>
      </c>
    </row>
    <row r="554" spans="2:28" x14ac:dyDescent="0.2">
      <c r="C554" s="23">
        <v>1100575975</v>
      </c>
      <c r="E554" s="23">
        <v>10</v>
      </c>
      <c r="F554" s="23" t="s">
        <v>2025</v>
      </c>
      <c r="G554" s="23" t="s">
        <v>2026</v>
      </c>
      <c r="H554" s="24">
        <v>46100</v>
      </c>
      <c r="I554" s="24">
        <v>46100</v>
      </c>
      <c r="J554" s="23" t="s">
        <v>92</v>
      </c>
      <c r="K554" s="23" t="s">
        <v>92</v>
      </c>
      <c r="L554" s="23">
        <v>2</v>
      </c>
      <c r="M554" s="23" t="s">
        <v>78</v>
      </c>
      <c r="N554" s="23" t="s">
        <v>78</v>
      </c>
      <c r="O554" s="23">
        <v>1535.1</v>
      </c>
      <c r="P554" s="23" t="s">
        <v>79</v>
      </c>
      <c r="Q554" s="23" t="s">
        <v>83</v>
      </c>
      <c r="R554" s="23">
        <v>11100176</v>
      </c>
      <c r="S554" s="24">
        <v>46100</v>
      </c>
      <c r="T554" s="24">
        <v>46058</v>
      </c>
      <c r="U554" s="24">
        <v>47116</v>
      </c>
      <c r="X554" s="24">
        <v>46057</v>
      </c>
      <c r="Y554" s="23">
        <v>1111</v>
      </c>
      <c r="Z554" s="23">
        <v>11400895</v>
      </c>
      <c r="AA554" s="23">
        <v>525103</v>
      </c>
      <c r="AB554" s="24">
        <v>46057</v>
      </c>
    </row>
    <row r="555" spans="2:28" x14ac:dyDescent="0.2">
      <c r="B555" s="23" t="s">
        <v>81</v>
      </c>
      <c r="C555" s="23">
        <v>1100575975</v>
      </c>
      <c r="H555" s="24">
        <v>46100</v>
      </c>
      <c r="O555" s="23">
        <v>1535.1</v>
      </c>
      <c r="P555" s="23" t="s">
        <v>79</v>
      </c>
    </row>
    <row r="556" spans="2:28" x14ac:dyDescent="0.2">
      <c r="C556" s="23">
        <v>1100576505</v>
      </c>
      <c r="E556" s="23">
        <v>10</v>
      </c>
      <c r="F556" s="23" t="s">
        <v>2898</v>
      </c>
      <c r="G556" s="23" t="s">
        <v>2899</v>
      </c>
      <c r="H556" s="24">
        <v>46100</v>
      </c>
      <c r="I556" s="24">
        <v>46100</v>
      </c>
      <c r="J556" s="23" t="s">
        <v>561</v>
      </c>
      <c r="K556" s="23" t="s">
        <v>561</v>
      </c>
      <c r="L556" s="23">
        <v>32.81</v>
      </c>
      <c r="M556" s="23" t="s">
        <v>122</v>
      </c>
      <c r="N556" s="23" t="s">
        <v>122</v>
      </c>
      <c r="O556" s="23">
        <v>379.92</v>
      </c>
      <c r="P556" s="23" t="s">
        <v>79</v>
      </c>
      <c r="Q556" s="23" t="s">
        <v>83</v>
      </c>
      <c r="R556" s="23">
        <v>11100176</v>
      </c>
      <c r="S556" s="24">
        <v>46100</v>
      </c>
      <c r="T556" s="24">
        <v>46064</v>
      </c>
      <c r="U556" s="24" t="s">
        <v>80</v>
      </c>
      <c r="X556" s="24">
        <v>46006</v>
      </c>
      <c r="Y556" s="23">
        <v>1111</v>
      </c>
      <c r="Z556" s="23">
        <v>11600003</v>
      </c>
      <c r="AA556" s="23">
        <v>335103</v>
      </c>
      <c r="AB556" s="24">
        <v>46051</v>
      </c>
    </row>
    <row r="557" spans="2:28" x14ac:dyDescent="0.2">
      <c r="B557" s="23" t="s">
        <v>81</v>
      </c>
      <c r="C557" s="23">
        <v>1100576505</v>
      </c>
      <c r="H557" s="24">
        <v>46100</v>
      </c>
      <c r="O557" s="23">
        <v>379.92</v>
      </c>
      <c r="P557" s="23" t="s">
        <v>79</v>
      </c>
    </row>
    <row r="558" spans="2:28" x14ac:dyDescent="0.2">
      <c r="C558" s="23">
        <v>1100576611</v>
      </c>
      <c r="E558" s="23">
        <v>20</v>
      </c>
      <c r="F558" s="23" t="s">
        <v>757</v>
      </c>
      <c r="G558" s="23" t="s">
        <v>2806</v>
      </c>
      <c r="H558" s="24">
        <v>46100</v>
      </c>
      <c r="I558" s="24">
        <v>46100</v>
      </c>
      <c r="J558" s="23" t="s">
        <v>782</v>
      </c>
      <c r="K558" s="23" t="s">
        <v>782</v>
      </c>
      <c r="L558" s="23">
        <v>1</v>
      </c>
      <c r="M558" s="23" t="s">
        <v>78</v>
      </c>
      <c r="N558" s="23" t="s">
        <v>78</v>
      </c>
      <c r="O558" s="23">
        <v>892.55</v>
      </c>
      <c r="P558" s="23" t="s">
        <v>79</v>
      </c>
      <c r="Q558" s="23" t="s">
        <v>83</v>
      </c>
      <c r="R558" s="23">
        <v>11100176</v>
      </c>
      <c r="S558" s="24">
        <v>46100</v>
      </c>
      <c r="T558" s="24">
        <v>46065</v>
      </c>
      <c r="U558" s="24">
        <v>47116</v>
      </c>
      <c r="X558" s="24">
        <v>46063</v>
      </c>
      <c r="Y558" s="23">
        <v>1111</v>
      </c>
      <c r="Z558" s="23">
        <v>11400937</v>
      </c>
      <c r="AA558" s="23">
        <v>395103</v>
      </c>
      <c r="AB558" s="24">
        <v>46064</v>
      </c>
    </row>
    <row r="559" spans="2:28" x14ac:dyDescent="0.2">
      <c r="C559" s="23">
        <v>1100576611</v>
      </c>
      <c r="E559" s="23">
        <v>40</v>
      </c>
      <c r="F559" s="23" t="s">
        <v>831</v>
      </c>
      <c r="G559" s="23" t="s">
        <v>832</v>
      </c>
      <c r="H559" s="24">
        <v>46100</v>
      </c>
      <c r="I559" s="24">
        <v>46100</v>
      </c>
      <c r="J559" s="23" t="s">
        <v>782</v>
      </c>
      <c r="K559" s="23" t="s">
        <v>782</v>
      </c>
      <c r="L559" s="23">
        <v>5</v>
      </c>
      <c r="M559" s="23" t="s">
        <v>78</v>
      </c>
      <c r="N559" s="23" t="s">
        <v>78</v>
      </c>
      <c r="O559" s="23">
        <v>3240.15</v>
      </c>
      <c r="P559" s="23" t="s">
        <v>79</v>
      </c>
      <c r="Q559" s="23" t="s">
        <v>83</v>
      </c>
      <c r="R559" s="23">
        <v>11100176</v>
      </c>
      <c r="S559" s="24">
        <v>46100</v>
      </c>
      <c r="T559" s="24">
        <v>46065</v>
      </c>
      <c r="U559" s="24">
        <v>47116</v>
      </c>
      <c r="X559" s="24">
        <v>46063</v>
      </c>
      <c r="Y559" s="23">
        <v>1111</v>
      </c>
      <c r="Z559" s="23">
        <v>11400937</v>
      </c>
      <c r="AA559" s="23">
        <v>395103</v>
      </c>
      <c r="AB559" s="24">
        <v>46064</v>
      </c>
    </row>
    <row r="560" spans="2:28" x14ac:dyDescent="0.2">
      <c r="C560" s="23">
        <v>1100576611</v>
      </c>
      <c r="E560" s="23">
        <v>50</v>
      </c>
      <c r="F560" s="23" t="s">
        <v>2692</v>
      </c>
      <c r="G560" s="23" t="s">
        <v>2693</v>
      </c>
      <c r="H560" s="24">
        <v>46100</v>
      </c>
      <c r="I560" s="24">
        <v>46100</v>
      </c>
      <c r="J560" s="23" t="s">
        <v>782</v>
      </c>
      <c r="K560" s="23" t="s">
        <v>782</v>
      </c>
      <c r="L560" s="23">
        <v>2</v>
      </c>
      <c r="M560" s="23" t="s">
        <v>78</v>
      </c>
      <c r="N560" s="23" t="s">
        <v>78</v>
      </c>
      <c r="O560" s="23">
        <v>525.74</v>
      </c>
      <c r="P560" s="23" t="s">
        <v>79</v>
      </c>
      <c r="Q560" s="23" t="s">
        <v>83</v>
      </c>
      <c r="R560" s="23">
        <v>11100176</v>
      </c>
      <c r="S560" s="24">
        <v>46100</v>
      </c>
      <c r="T560" s="24">
        <v>46065</v>
      </c>
      <c r="U560" s="24">
        <v>47116</v>
      </c>
      <c r="X560" s="24">
        <v>46063</v>
      </c>
      <c r="Y560" s="23">
        <v>1111</v>
      </c>
      <c r="Z560" s="23">
        <v>11400937</v>
      </c>
      <c r="AA560" s="23">
        <v>395103</v>
      </c>
      <c r="AB560" s="24">
        <v>46064</v>
      </c>
    </row>
    <row r="561" spans="2:28" x14ac:dyDescent="0.2">
      <c r="B561" s="23" t="s">
        <v>81</v>
      </c>
      <c r="C561" s="23">
        <v>1100576611</v>
      </c>
      <c r="H561" s="24">
        <v>46100</v>
      </c>
      <c r="O561" s="23">
        <v>4658.4399999999996</v>
      </c>
      <c r="P561" s="23" t="s">
        <v>79</v>
      </c>
    </row>
    <row r="562" spans="2:28" x14ac:dyDescent="0.2">
      <c r="C562" s="23">
        <v>1100576691</v>
      </c>
      <c r="E562" s="23">
        <v>10</v>
      </c>
      <c r="F562" s="23" t="s">
        <v>124</v>
      </c>
      <c r="G562" s="23" t="s">
        <v>125</v>
      </c>
      <c r="H562" s="24">
        <v>46100</v>
      </c>
      <c r="I562" s="24">
        <v>46100</v>
      </c>
      <c r="J562" s="23" t="s">
        <v>239</v>
      </c>
      <c r="K562" s="23" t="s">
        <v>239</v>
      </c>
      <c r="L562" s="23">
        <v>2</v>
      </c>
      <c r="M562" s="23" t="s">
        <v>78</v>
      </c>
      <c r="N562" s="23" t="s">
        <v>78</v>
      </c>
      <c r="O562" s="23">
        <v>2741.66</v>
      </c>
      <c r="P562" s="23" t="s">
        <v>79</v>
      </c>
      <c r="Q562" s="23" t="s">
        <v>83</v>
      </c>
      <c r="R562" s="23">
        <v>11100176</v>
      </c>
      <c r="S562" s="24">
        <v>46100</v>
      </c>
      <c r="T562" s="24">
        <v>46065</v>
      </c>
      <c r="U562" s="24" t="s">
        <v>80</v>
      </c>
      <c r="X562" s="24">
        <v>46062</v>
      </c>
      <c r="Y562" s="23">
        <v>1111</v>
      </c>
      <c r="Z562" s="23">
        <v>11400895</v>
      </c>
      <c r="AA562" s="23">
        <v>3951</v>
      </c>
      <c r="AB562" s="24">
        <v>46062</v>
      </c>
    </row>
    <row r="563" spans="2:28" x14ac:dyDescent="0.2">
      <c r="C563" s="23">
        <v>1100576691</v>
      </c>
      <c r="E563" s="23">
        <v>20</v>
      </c>
      <c r="F563" s="23" t="s">
        <v>82</v>
      </c>
      <c r="G563" s="23" t="s">
        <v>139</v>
      </c>
      <c r="H563" s="24">
        <v>46100</v>
      </c>
      <c r="I563" s="24">
        <v>46100</v>
      </c>
      <c r="J563" s="23" t="s">
        <v>239</v>
      </c>
      <c r="K563" s="23" t="s">
        <v>239</v>
      </c>
      <c r="L563" s="23">
        <v>1</v>
      </c>
      <c r="M563" s="23" t="s">
        <v>78</v>
      </c>
      <c r="N563" s="23" t="s">
        <v>78</v>
      </c>
      <c r="O563" s="23">
        <v>0.01</v>
      </c>
      <c r="P563" s="23" t="s">
        <v>79</v>
      </c>
      <c r="Q563" s="23" t="s">
        <v>83</v>
      </c>
      <c r="R563" s="23">
        <v>11100176</v>
      </c>
      <c r="S563" s="24" t="s">
        <v>80</v>
      </c>
      <c r="T563" s="24">
        <v>46065</v>
      </c>
      <c r="U563" s="24" t="s">
        <v>80</v>
      </c>
      <c r="X563" s="24">
        <v>46062</v>
      </c>
      <c r="Y563" s="23">
        <v>1111</v>
      </c>
      <c r="Z563" s="23">
        <v>11400895</v>
      </c>
      <c r="AA563" s="23">
        <v>3951</v>
      </c>
      <c r="AB563" s="24">
        <v>46062</v>
      </c>
    </row>
    <row r="564" spans="2:28" x14ac:dyDescent="0.2">
      <c r="B564" s="23" t="s">
        <v>81</v>
      </c>
      <c r="C564" s="23">
        <v>1100576691</v>
      </c>
      <c r="H564" s="24">
        <v>46100</v>
      </c>
      <c r="O564" s="23">
        <v>2741.67</v>
      </c>
      <c r="P564" s="23" t="s">
        <v>79</v>
      </c>
    </row>
    <row r="565" spans="2:28" x14ac:dyDescent="0.2">
      <c r="C565" s="23">
        <v>1100577388</v>
      </c>
      <c r="E565" s="23">
        <v>10</v>
      </c>
      <c r="F565" s="23" t="s">
        <v>124</v>
      </c>
      <c r="G565" s="23" t="s">
        <v>125</v>
      </c>
      <c r="H565" s="24">
        <v>46100</v>
      </c>
      <c r="I565" s="24">
        <v>46100</v>
      </c>
      <c r="J565" s="23" t="s">
        <v>257</v>
      </c>
      <c r="K565" s="23" t="s">
        <v>257</v>
      </c>
      <c r="L565" s="23">
        <v>5</v>
      </c>
      <c r="M565" s="23" t="s">
        <v>78</v>
      </c>
      <c r="N565" s="23" t="s">
        <v>78</v>
      </c>
      <c r="O565" s="23">
        <v>1757.9</v>
      </c>
      <c r="P565" s="23" t="s">
        <v>79</v>
      </c>
      <c r="Q565" s="23" t="s">
        <v>83</v>
      </c>
      <c r="R565" s="23">
        <v>11100176</v>
      </c>
      <c r="S565" s="24">
        <v>46100</v>
      </c>
      <c r="T565" s="24">
        <v>46073</v>
      </c>
      <c r="U565" s="24" t="s">
        <v>80</v>
      </c>
      <c r="X565" s="24">
        <v>46071</v>
      </c>
      <c r="Y565" s="23">
        <v>1111</v>
      </c>
      <c r="Z565" s="23">
        <v>11600001</v>
      </c>
      <c r="AA565" s="23">
        <v>3351</v>
      </c>
      <c r="AB565" s="24">
        <v>46071</v>
      </c>
    </row>
    <row r="566" spans="2:28" x14ac:dyDescent="0.2">
      <c r="B566" s="23" t="s">
        <v>81</v>
      </c>
      <c r="C566" s="23">
        <v>1100577388</v>
      </c>
      <c r="H566" s="24">
        <v>46100</v>
      </c>
      <c r="O566" s="23">
        <v>1757.9</v>
      </c>
      <c r="P566" s="23" t="s">
        <v>79</v>
      </c>
    </row>
    <row r="567" spans="2:28" x14ac:dyDescent="0.2">
      <c r="C567" s="23">
        <v>1100577503</v>
      </c>
      <c r="E567" s="23">
        <v>10</v>
      </c>
      <c r="F567" s="23" t="s">
        <v>757</v>
      </c>
      <c r="G567" s="23" t="s">
        <v>2806</v>
      </c>
      <c r="H567" s="24">
        <v>46100</v>
      </c>
      <c r="I567" s="24">
        <v>46100</v>
      </c>
      <c r="J567" s="23" t="s">
        <v>421</v>
      </c>
      <c r="K567" s="23" t="s">
        <v>421</v>
      </c>
      <c r="L567" s="23">
        <v>1</v>
      </c>
      <c r="M567" s="23" t="s">
        <v>78</v>
      </c>
      <c r="N567" s="23" t="s">
        <v>78</v>
      </c>
      <c r="O567" s="23">
        <v>892.55</v>
      </c>
      <c r="P567" s="23" t="s">
        <v>79</v>
      </c>
      <c r="Q567" s="23" t="s">
        <v>83</v>
      </c>
      <c r="R567" s="23">
        <v>11100176</v>
      </c>
      <c r="S567" s="24">
        <v>46100</v>
      </c>
      <c r="T567" s="24">
        <v>46074</v>
      </c>
      <c r="U567" s="24">
        <v>46100</v>
      </c>
      <c r="X567" s="24">
        <v>46072</v>
      </c>
      <c r="Y567" s="23">
        <v>1111</v>
      </c>
      <c r="Z567" s="23">
        <v>11100137</v>
      </c>
      <c r="AA567" s="23">
        <v>335103</v>
      </c>
      <c r="AB567" s="24">
        <v>46072</v>
      </c>
    </row>
    <row r="568" spans="2:28" x14ac:dyDescent="0.2">
      <c r="B568" s="23" t="s">
        <v>81</v>
      </c>
      <c r="C568" s="23">
        <v>1100577503</v>
      </c>
      <c r="H568" s="24">
        <v>46100</v>
      </c>
      <c r="O568" s="23">
        <v>892.55</v>
      </c>
      <c r="P568" s="23" t="s">
        <v>79</v>
      </c>
    </row>
    <row r="569" spans="2:28" x14ac:dyDescent="0.2">
      <c r="C569" s="23">
        <v>1100578077</v>
      </c>
      <c r="E569" s="23">
        <v>10</v>
      </c>
      <c r="F569" s="23" t="s">
        <v>796</v>
      </c>
      <c r="G569" s="23" t="s">
        <v>797</v>
      </c>
      <c r="H569" s="24">
        <v>46100</v>
      </c>
      <c r="I569" s="24">
        <v>46100</v>
      </c>
      <c r="J569" s="23" t="s">
        <v>99</v>
      </c>
      <c r="K569" s="23" t="s">
        <v>99</v>
      </c>
      <c r="L569" s="23">
        <v>1</v>
      </c>
      <c r="M569" s="23" t="s">
        <v>78</v>
      </c>
      <c r="N569" s="23" t="s">
        <v>78</v>
      </c>
      <c r="O569" s="23">
        <v>94.4</v>
      </c>
      <c r="P569" s="23" t="s">
        <v>79</v>
      </c>
      <c r="Q569" s="23" t="s">
        <v>83</v>
      </c>
      <c r="R569" s="23">
        <v>11100176</v>
      </c>
      <c r="S569" s="24">
        <v>46100</v>
      </c>
      <c r="T569" s="24">
        <v>46079</v>
      </c>
      <c r="U569" s="24" t="s">
        <v>80</v>
      </c>
      <c r="X569" s="24">
        <v>46078</v>
      </c>
      <c r="Y569" s="23">
        <v>1111</v>
      </c>
      <c r="Z569" s="23">
        <v>11400811</v>
      </c>
      <c r="AA569" s="23">
        <v>5151</v>
      </c>
      <c r="AB569" s="24">
        <v>46056</v>
      </c>
    </row>
    <row r="570" spans="2:28" x14ac:dyDescent="0.2">
      <c r="C570" s="23">
        <v>1100578077</v>
      </c>
      <c r="E570" s="23">
        <v>20</v>
      </c>
      <c r="F570" s="23" t="s">
        <v>2900</v>
      </c>
      <c r="G570" s="23" t="s">
        <v>2901</v>
      </c>
      <c r="H570" s="24">
        <v>46100</v>
      </c>
      <c r="I570" s="24">
        <v>46100</v>
      </c>
      <c r="J570" s="23" t="s">
        <v>99</v>
      </c>
      <c r="K570" s="23" t="s">
        <v>99</v>
      </c>
      <c r="L570" s="23">
        <v>1</v>
      </c>
      <c r="M570" s="23" t="s">
        <v>78</v>
      </c>
      <c r="N570" s="23" t="s">
        <v>78</v>
      </c>
      <c r="O570" s="23">
        <v>405.95</v>
      </c>
      <c r="P570" s="23" t="s">
        <v>79</v>
      </c>
      <c r="Q570" s="23" t="s">
        <v>83</v>
      </c>
      <c r="R570" s="23">
        <v>11100176</v>
      </c>
      <c r="S570" s="24">
        <v>46100</v>
      </c>
      <c r="T570" s="24">
        <v>46079</v>
      </c>
      <c r="U570" s="24" t="s">
        <v>80</v>
      </c>
      <c r="X570" s="24">
        <v>46078</v>
      </c>
      <c r="Y570" s="23">
        <v>1111</v>
      </c>
      <c r="Z570" s="23">
        <v>11400811</v>
      </c>
      <c r="AA570" s="23">
        <v>5151</v>
      </c>
      <c r="AB570" s="24">
        <v>46056</v>
      </c>
    </row>
    <row r="571" spans="2:28" x14ac:dyDescent="0.2">
      <c r="C571" s="23">
        <v>1100578077</v>
      </c>
      <c r="E571" s="23">
        <v>30</v>
      </c>
      <c r="F571" s="23" t="s">
        <v>2902</v>
      </c>
      <c r="G571" s="23" t="s">
        <v>2903</v>
      </c>
      <c r="H571" s="24">
        <v>46100</v>
      </c>
      <c r="I571" s="24">
        <v>46100</v>
      </c>
      <c r="J571" s="23" t="s">
        <v>99</v>
      </c>
      <c r="K571" s="23" t="s">
        <v>99</v>
      </c>
      <c r="L571" s="23">
        <v>1</v>
      </c>
      <c r="M571" s="23" t="s">
        <v>78</v>
      </c>
      <c r="N571" s="23" t="s">
        <v>78</v>
      </c>
      <c r="O571" s="23">
        <v>594.39</v>
      </c>
      <c r="P571" s="23" t="s">
        <v>79</v>
      </c>
      <c r="Q571" s="23" t="s">
        <v>83</v>
      </c>
      <c r="R571" s="23">
        <v>11100176</v>
      </c>
      <c r="S571" s="24">
        <v>46100</v>
      </c>
      <c r="T571" s="24">
        <v>46079</v>
      </c>
      <c r="U571" s="24" t="s">
        <v>80</v>
      </c>
      <c r="X571" s="24">
        <v>46078</v>
      </c>
      <c r="Y571" s="23">
        <v>1111</v>
      </c>
      <c r="Z571" s="23">
        <v>11400811</v>
      </c>
      <c r="AA571" s="23">
        <v>5151</v>
      </c>
      <c r="AB571" s="24">
        <v>46056</v>
      </c>
    </row>
    <row r="572" spans="2:28" x14ac:dyDescent="0.2">
      <c r="B572" s="23" t="s">
        <v>81</v>
      </c>
      <c r="C572" s="23">
        <v>1100578077</v>
      </c>
      <c r="H572" s="24">
        <v>46100</v>
      </c>
      <c r="O572" s="23">
        <v>1094.74</v>
      </c>
      <c r="P572" s="23" t="s">
        <v>79</v>
      </c>
    </row>
    <row r="573" spans="2:28" x14ac:dyDescent="0.2">
      <c r="C573" s="23">
        <v>1100578523</v>
      </c>
      <c r="E573" s="23">
        <v>10</v>
      </c>
      <c r="F573" s="23" t="s">
        <v>2069</v>
      </c>
      <c r="G573" s="23" t="s">
        <v>2070</v>
      </c>
      <c r="H573" s="24">
        <v>46100</v>
      </c>
      <c r="I573" s="24">
        <v>46100</v>
      </c>
      <c r="J573" s="23" t="s">
        <v>2029</v>
      </c>
      <c r="K573" s="23" t="s">
        <v>2029</v>
      </c>
      <c r="L573" s="23">
        <v>1</v>
      </c>
      <c r="M573" s="23" t="s">
        <v>78</v>
      </c>
      <c r="N573" s="23" t="s">
        <v>78</v>
      </c>
      <c r="O573" s="23">
        <v>7190.85</v>
      </c>
      <c r="P573" s="23" t="s">
        <v>79</v>
      </c>
      <c r="Q573" s="23" t="s">
        <v>83</v>
      </c>
      <c r="R573" s="23">
        <v>11100176</v>
      </c>
      <c r="S573" s="24">
        <v>46100</v>
      </c>
      <c r="T573" s="24">
        <v>46084</v>
      </c>
      <c r="U573" s="24" t="s">
        <v>80</v>
      </c>
      <c r="X573" s="24">
        <v>46083</v>
      </c>
      <c r="Y573" s="23">
        <v>1111</v>
      </c>
      <c r="Z573" s="23">
        <v>11100137</v>
      </c>
      <c r="AA573" s="23">
        <v>505103</v>
      </c>
      <c r="AB573" s="24">
        <v>46049</v>
      </c>
    </row>
    <row r="574" spans="2:28" x14ac:dyDescent="0.2">
      <c r="C574" s="23">
        <v>1100578523</v>
      </c>
      <c r="E574" s="23">
        <v>20</v>
      </c>
      <c r="F574" s="23" t="s">
        <v>1076</v>
      </c>
      <c r="G574" s="23" t="s">
        <v>1077</v>
      </c>
      <c r="H574" s="24">
        <v>46100</v>
      </c>
      <c r="I574" s="24">
        <v>46100</v>
      </c>
      <c r="J574" s="23" t="s">
        <v>2029</v>
      </c>
      <c r="K574" s="23" t="s">
        <v>2029</v>
      </c>
      <c r="L574" s="23">
        <v>1</v>
      </c>
      <c r="M574" s="23" t="s">
        <v>78</v>
      </c>
      <c r="N574" s="23" t="s">
        <v>78</v>
      </c>
      <c r="O574" s="23">
        <v>1440</v>
      </c>
      <c r="P574" s="23" t="s">
        <v>79</v>
      </c>
      <c r="Q574" s="23" t="s">
        <v>83</v>
      </c>
      <c r="R574" s="23">
        <v>11100176</v>
      </c>
      <c r="S574" s="24" t="s">
        <v>80</v>
      </c>
      <c r="T574" s="24">
        <v>46084</v>
      </c>
      <c r="U574" s="24" t="s">
        <v>80</v>
      </c>
      <c r="X574" s="24">
        <v>46083</v>
      </c>
      <c r="Y574" s="23">
        <v>1111</v>
      </c>
      <c r="Z574" s="23">
        <v>11100137</v>
      </c>
      <c r="AA574" s="23">
        <v>505103</v>
      </c>
      <c r="AB574" s="24">
        <v>46049</v>
      </c>
    </row>
    <row r="575" spans="2:28" x14ac:dyDescent="0.2">
      <c r="B575" s="23" t="s">
        <v>81</v>
      </c>
      <c r="C575" s="23">
        <v>1100578523</v>
      </c>
      <c r="H575" s="24">
        <v>46100</v>
      </c>
      <c r="O575" s="23">
        <v>8630.85</v>
      </c>
      <c r="P575" s="23" t="s">
        <v>79</v>
      </c>
    </row>
    <row r="576" spans="2:28" x14ac:dyDescent="0.2">
      <c r="C576" s="23">
        <v>1100578581</v>
      </c>
      <c r="E576" s="23">
        <v>10</v>
      </c>
      <c r="F576" s="23" t="s">
        <v>2904</v>
      </c>
      <c r="G576" s="23" t="s">
        <v>2905</v>
      </c>
      <c r="H576" s="24">
        <v>46100</v>
      </c>
      <c r="I576" s="24">
        <v>46100</v>
      </c>
      <c r="J576" s="23" t="s">
        <v>257</v>
      </c>
      <c r="K576" s="23" t="s">
        <v>257</v>
      </c>
      <c r="L576" s="23">
        <v>1</v>
      </c>
      <c r="M576" s="23" t="s">
        <v>78</v>
      </c>
      <c r="N576" s="23" t="s">
        <v>78</v>
      </c>
      <c r="O576" s="23">
        <v>298</v>
      </c>
      <c r="P576" s="23" t="s">
        <v>79</v>
      </c>
      <c r="Q576" s="23" t="s">
        <v>83</v>
      </c>
      <c r="R576" s="23">
        <v>11100176</v>
      </c>
      <c r="S576" s="24">
        <v>46121</v>
      </c>
      <c r="T576" s="24">
        <v>46085</v>
      </c>
      <c r="U576" s="24">
        <v>46100</v>
      </c>
      <c r="X576" s="24">
        <v>46083</v>
      </c>
      <c r="Y576" s="23">
        <v>1111</v>
      </c>
      <c r="Z576" s="23">
        <v>11100137</v>
      </c>
      <c r="AA576" s="23">
        <v>3351</v>
      </c>
      <c r="AB576" s="24">
        <v>46055</v>
      </c>
    </row>
    <row r="577" spans="2:28" x14ac:dyDescent="0.2">
      <c r="C577" s="23">
        <v>1100578581</v>
      </c>
      <c r="E577" s="23">
        <v>20</v>
      </c>
      <c r="F577" s="23" t="s">
        <v>2906</v>
      </c>
      <c r="G577" s="23" t="s">
        <v>2907</v>
      </c>
      <c r="H577" s="24">
        <v>46100</v>
      </c>
      <c r="I577" s="24">
        <v>46100</v>
      </c>
      <c r="J577" s="23" t="s">
        <v>257</v>
      </c>
      <c r="K577" s="23" t="s">
        <v>257</v>
      </c>
      <c r="L577" s="23">
        <v>1</v>
      </c>
      <c r="M577" s="23" t="s">
        <v>78</v>
      </c>
      <c r="N577" s="23" t="s">
        <v>78</v>
      </c>
      <c r="O577" s="23">
        <v>193.59</v>
      </c>
      <c r="P577" s="23" t="s">
        <v>79</v>
      </c>
      <c r="Q577" s="23" t="s">
        <v>83</v>
      </c>
      <c r="R577" s="23">
        <v>11100176</v>
      </c>
      <c r="S577" s="24">
        <v>46121</v>
      </c>
      <c r="T577" s="24">
        <v>46085</v>
      </c>
      <c r="U577" s="24">
        <v>46100</v>
      </c>
      <c r="X577" s="24">
        <v>46083</v>
      </c>
      <c r="Y577" s="23">
        <v>1111</v>
      </c>
      <c r="Z577" s="23">
        <v>11100137</v>
      </c>
      <c r="AA577" s="23">
        <v>3351</v>
      </c>
      <c r="AB577" s="24">
        <v>46055</v>
      </c>
    </row>
    <row r="578" spans="2:28" x14ac:dyDescent="0.2">
      <c r="C578" s="23">
        <v>1100578581</v>
      </c>
      <c r="E578" s="23">
        <v>30</v>
      </c>
      <c r="F578" s="23" t="s">
        <v>2908</v>
      </c>
      <c r="G578" s="23" t="s">
        <v>2909</v>
      </c>
      <c r="H578" s="24">
        <v>46100</v>
      </c>
      <c r="I578" s="24">
        <v>46100</v>
      </c>
      <c r="J578" s="23" t="s">
        <v>257</v>
      </c>
      <c r="K578" s="23" t="s">
        <v>257</v>
      </c>
      <c r="L578" s="23">
        <v>1</v>
      </c>
      <c r="M578" s="23" t="s">
        <v>78</v>
      </c>
      <c r="N578" s="23" t="s">
        <v>78</v>
      </c>
      <c r="O578" s="23">
        <v>81.27</v>
      </c>
      <c r="P578" s="23" t="s">
        <v>79</v>
      </c>
      <c r="Q578" s="23" t="s">
        <v>83</v>
      </c>
      <c r="R578" s="23">
        <v>11100176</v>
      </c>
      <c r="S578" s="24">
        <v>46121</v>
      </c>
      <c r="T578" s="24">
        <v>46085</v>
      </c>
      <c r="U578" s="24">
        <v>46100</v>
      </c>
      <c r="X578" s="24">
        <v>46083</v>
      </c>
      <c r="Y578" s="23">
        <v>1111</v>
      </c>
      <c r="Z578" s="23">
        <v>11100137</v>
      </c>
      <c r="AA578" s="23">
        <v>3351</v>
      </c>
      <c r="AB578" s="24">
        <v>46055</v>
      </c>
    </row>
    <row r="579" spans="2:28" x14ac:dyDescent="0.2">
      <c r="C579" s="23">
        <v>1100578581</v>
      </c>
      <c r="E579" s="23">
        <v>40</v>
      </c>
      <c r="F579" s="23" t="s">
        <v>2910</v>
      </c>
      <c r="G579" s="23" t="s">
        <v>2911</v>
      </c>
      <c r="H579" s="24">
        <v>46100</v>
      </c>
      <c r="I579" s="24">
        <v>46100</v>
      </c>
      <c r="J579" s="23" t="s">
        <v>257</v>
      </c>
      <c r="K579" s="23" t="s">
        <v>257</v>
      </c>
      <c r="L579" s="23">
        <v>1</v>
      </c>
      <c r="M579" s="23" t="s">
        <v>78</v>
      </c>
      <c r="N579" s="23" t="s">
        <v>78</v>
      </c>
      <c r="O579" s="23">
        <v>27.7</v>
      </c>
      <c r="P579" s="23" t="s">
        <v>79</v>
      </c>
      <c r="Q579" s="23" t="s">
        <v>83</v>
      </c>
      <c r="R579" s="23">
        <v>11100176</v>
      </c>
      <c r="S579" s="24">
        <v>46121</v>
      </c>
      <c r="T579" s="24">
        <v>46085</v>
      </c>
      <c r="U579" s="24">
        <v>46100</v>
      </c>
      <c r="X579" s="24">
        <v>46083</v>
      </c>
      <c r="Y579" s="23">
        <v>1111</v>
      </c>
      <c r="Z579" s="23">
        <v>11100137</v>
      </c>
      <c r="AA579" s="23">
        <v>3351</v>
      </c>
      <c r="AB579" s="24">
        <v>46055</v>
      </c>
    </row>
    <row r="580" spans="2:28" x14ac:dyDescent="0.2">
      <c r="C580" s="23">
        <v>1100578581</v>
      </c>
      <c r="E580" s="23">
        <v>50</v>
      </c>
      <c r="F580" s="23" t="s">
        <v>2912</v>
      </c>
      <c r="G580" s="23" t="s">
        <v>1870</v>
      </c>
      <c r="H580" s="24">
        <v>46100</v>
      </c>
      <c r="I580" s="24">
        <v>46100</v>
      </c>
      <c r="J580" s="23" t="s">
        <v>257</v>
      </c>
      <c r="K580" s="23" t="s">
        <v>257</v>
      </c>
      <c r="L580" s="23">
        <v>2</v>
      </c>
      <c r="M580" s="23" t="s">
        <v>78</v>
      </c>
      <c r="N580" s="23" t="s">
        <v>78</v>
      </c>
      <c r="O580" s="23">
        <v>2</v>
      </c>
      <c r="P580" s="23" t="s">
        <v>79</v>
      </c>
      <c r="Q580" s="23" t="s">
        <v>83</v>
      </c>
      <c r="R580" s="23">
        <v>11100176</v>
      </c>
      <c r="S580" s="24">
        <v>46121</v>
      </c>
      <c r="T580" s="24">
        <v>46085</v>
      </c>
      <c r="U580" s="24">
        <v>46100</v>
      </c>
      <c r="X580" s="24">
        <v>46083</v>
      </c>
      <c r="Y580" s="23">
        <v>1111</v>
      </c>
      <c r="Z580" s="23">
        <v>11100137</v>
      </c>
      <c r="AA580" s="23">
        <v>3351</v>
      </c>
      <c r="AB580" s="24">
        <v>46055</v>
      </c>
    </row>
    <row r="581" spans="2:28" x14ac:dyDescent="0.2">
      <c r="C581" s="23">
        <v>1100578581</v>
      </c>
      <c r="E581" s="23">
        <v>60</v>
      </c>
      <c r="F581" s="23" t="s">
        <v>2913</v>
      </c>
      <c r="G581" s="23" t="s">
        <v>2914</v>
      </c>
      <c r="H581" s="24">
        <v>46100</v>
      </c>
      <c r="I581" s="24">
        <v>46100</v>
      </c>
      <c r="J581" s="23" t="s">
        <v>257</v>
      </c>
      <c r="K581" s="23" t="s">
        <v>257</v>
      </c>
      <c r="L581" s="23">
        <v>1</v>
      </c>
      <c r="M581" s="23" t="s">
        <v>78</v>
      </c>
      <c r="N581" s="23" t="s">
        <v>78</v>
      </c>
      <c r="O581" s="23">
        <v>15.18</v>
      </c>
      <c r="P581" s="23" t="s">
        <v>79</v>
      </c>
      <c r="Q581" s="23" t="s">
        <v>83</v>
      </c>
      <c r="R581" s="23">
        <v>11100176</v>
      </c>
      <c r="S581" s="24">
        <v>46121</v>
      </c>
      <c r="T581" s="24">
        <v>46085</v>
      </c>
      <c r="U581" s="24">
        <v>46100</v>
      </c>
      <c r="X581" s="24">
        <v>46083</v>
      </c>
      <c r="Y581" s="23">
        <v>1111</v>
      </c>
      <c r="Z581" s="23">
        <v>11100137</v>
      </c>
      <c r="AA581" s="23">
        <v>3351</v>
      </c>
      <c r="AB581" s="24">
        <v>46055</v>
      </c>
    </row>
    <row r="582" spans="2:28" x14ac:dyDescent="0.2">
      <c r="C582" s="23">
        <v>1100578581</v>
      </c>
      <c r="E582" s="23">
        <v>70</v>
      </c>
      <c r="F582" s="23" t="s">
        <v>2915</v>
      </c>
      <c r="G582" s="23" t="s">
        <v>2916</v>
      </c>
      <c r="H582" s="24">
        <v>46100</v>
      </c>
      <c r="I582" s="24">
        <v>46100</v>
      </c>
      <c r="J582" s="23" t="s">
        <v>257</v>
      </c>
      <c r="K582" s="23" t="s">
        <v>257</v>
      </c>
      <c r="L582" s="23">
        <v>5</v>
      </c>
      <c r="M582" s="23" t="s">
        <v>78</v>
      </c>
      <c r="N582" s="23" t="s">
        <v>78</v>
      </c>
      <c r="O582" s="23">
        <v>214.65</v>
      </c>
      <c r="P582" s="23" t="s">
        <v>79</v>
      </c>
      <c r="Q582" s="23" t="s">
        <v>83</v>
      </c>
      <c r="R582" s="23">
        <v>11100176</v>
      </c>
      <c r="S582" s="24">
        <v>46121</v>
      </c>
      <c r="T582" s="24">
        <v>46085</v>
      </c>
      <c r="U582" s="24">
        <v>46100</v>
      </c>
      <c r="X582" s="24">
        <v>46083</v>
      </c>
      <c r="Y582" s="23">
        <v>1111</v>
      </c>
      <c r="Z582" s="23">
        <v>11100137</v>
      </c>
      <c r="AA582" s="23">
        <v>3351</v>
      </c>
      <c r="AB582" s="24">
        <v>46055</v>
      </c>
    </row>
    <row r="583" spans="2:28" x14ac:dyDescent="0.2">
      <c r="C583" s="23">
        <v>1100578581</v>
      </c>
      <c r="E583" s="23">
        <v>80</v>
      </c>
      <c r="F583" s="23" t="s">
        <v>2917</v>
      </c>
      <c r="G583" s="23" t="s">
        <v>2918</v>
      </c>
      <c r="H583" s="24">
        <v>46100</v>
      </c>
      <c r="I583" s="24">
        <v>46100</v>
      </c>
      <c r="J583" s="23" t="s">
        <v>257</v>
      </c>
      <c r="K583" s="23" t="s">
        <v>257</v>
      </c>
      <c r="L583" s="23">
        <v>1</v>
      </c>
      <c r="M583" s="23" t="s">
        <v>78</v>
      </c>
      <c r="N583" s="23" t="s">
        <v>78</v>
      </c>
      <c r="O583" s="23">
        <v>44.93</v>
      </c>
      <c r="P583" s="23" t="s">
        <v>79</v>
      </c>
      <c r="Q583" s="23" t="s">
        <v>83</v>
      </c>
      <c r="R583" s="23">
        <v>11100176</v>
      </c>
      <c r="S583" s="24">
        <v>46121</v>
      </c>
      <c r="T583" s="24">
        <v>46085</v>
      </c>
      <c r="U583" s="24">
        <v>46122</v>
      </c>
      <c r="X583" s="24">
        <v>46083</v>
      </c>
      <c r="Y583" s="23">
        <v>1111</v>
      </c>
      <c r="Z583" s="23">
        <v>11100137</v>
      </c>
      <c r="AA583" s="23">
        <v>3351</v>
      </c>
      <c r="AB583" s="24">
        <v>46055</v>
      </c>
    </row>
    <row r="584" spans="2:28" x14ac:dyDescent="0.2">
      <c r="C584" s="23">
        <v>1100578581</v>
      </c>
      <c r="E584" s="23">
        <v>90</v>
      </c>
      <c r="F584" s="23" t="s">
        <v>2252</v>
      </c>
      <c r="G584" s="23" t="s">
        <v>2253</v>
      </c>
      <c r="H584" s="24">
        <v>46100</v>
      </c>
      <c r="I584" s="24">
        <v>46100</v>
      </c>
      <c r="J584" s="23" t="s">
        <v>257</v>
      </c>
      <c r="K584" s="23" t="s">
        <v>257</v>
      </c>
      <c r="L584" s="23">
        <v>1</v>
      </c>
      <c r="M584" s="23" t="s">
        <v>78</v>
      </c>
      <c r="N584" s="23" t="s">
        <v>78</v>
      </c>
      <c r="O584" s="23">
        <v>21.66</v>
      </c>
      <c r="P584" s="23" t="s">
        <v>79</v>
      </c>
      <c r="Q584" s="23" t="s">
        <v>83</v>
      </c>
      <c r="R584" s="23">
        <v>11100176</v>
      </c>
      <c r="S584" s="24">
        <v>46121</v>
      </c>
      <c r="T584" s="24">
        <v>46085</v>
      </c>
      <c r="U584" s="24">
        <v>46100</v>
      </c>
      <c r="X584" s="24">
        <v>46083</v>
      </c>
      <c r="Y584" s="23">
        <v>1111</v>
      </c>
      <c r="Z584" s="23">
        <v>11100137</v>
      </c>
      <c r="AA584" s="23">
        <v>3351</v>
      </c>
      <c r="AB584" s="24">
        <v>46055</v>
      </c>
    </row>
    <row r="585" spans="2:28" x14ac:dyDescent="0.2">
      <c r="C585" s="23">
        <v>1100578581</v>
      </c>
      <c r="E585" s="23">
        <v>100</v>
      </c>
      <c r="F585" s="23" t="s">
        <v>497</v>
      </c>
      <c r="G585" s="23" t="s">
        <v>498</v>
      </c>
      <c r="H585" s="24">
        <v>46100</v>
      </c>
      <c r="I585" s="24">
        <v>46100</v>
      </c>
      <c r="J585" s="23" t="s">
        <v>257</v>
      </c>
      <c r="K585" s="23" t="s">
        <v>257</v>
      </c>
      <c r="L585" s="23">
        <v>1</v>
      </c>
      <c r="M585" s="23" t="s">
        <v>78</v>
      </c>
      <c r="N585" s="23" t="s">
        <v>78</v>
      </c>
      <c r="O585" s="23">
        <v>2.31</v>
      </c>
      <c r="P585" s="23" t="s">
        <v>79</v>
      </c>
      <c r="Q585" s="23" t="s">
        <v>83</v>
      </c>
      <c r="R585" s="23">
        <v>11100176</v>
      </c>
      <c r="S585" s="24">
        <v>46121</v>
      </c>
      <c r="T585" s="24">
        <v>46085</v>
      </c>
      <c r="U585" s="24">
        <v>46100</v>
      </c>
      <c r="X585" s="24">
        <v>46083</v>
      </c>
      <c r="Y585" s="23">
        <v>1111</v>
      </c>
      <c r="Z585" s="23">
        <v>11100137</v>
      </c>
      <c r="AA585" s="23">
        <v>3351</v>
      </c>
      <c r="AB585" s="24">
        <v>46055</v>
      </c>
    </row>
    <row r="586" spans="2:28" x14ac:dyDescent="0.2">
      <c r="C586" s="23">
        <v>1100578581</v>
      </c>
      <c r="E586" s="23">
        <v>110</v>
      </c>
      <c r="F586" s="23" t="s">
        <v>412</v>
      </c>
      <c r="G586" s="23" t="s">
        <v>413</v>
      </c>
      <c r="H586" s="24">
        <v>46100</v>
      </c>
      <c r="I586" s="24">
        <v>46100</v>
      </c>
      <c r="J586" s="23" t="s">
        <v>257</v>
      </c>
      <c r="K586" s="23" t="s">
        <v>257</v>
      </c>
      <c r="L586" s="23">
        <v>2</v>
      </c>
      <c r="M586" s="23" t="s">
        <v>78</v>
      </c>
      <c r="N586" s="23" t="s">
        <v>78</v>
      </c>
      <c r="O586" s="23">
        <v>13.96</v>
      </c>
      <c r="P586" s="23" t="s">
        <v>79</v>
      </c>
      <c r="Q586" s="23" t="s">
        <v>83</v>
      </c>
      <c r="R586" s="23">
        <v>11100176</v>
      </c>
      <c r="S586" s="24">
        <v>46121</v>
      </c>
      <c r="T586" s="24">
        <v>46085</v>
      </c>
      <c r="U586" s="24">
        <v>46100</v>
      </c>
      <c r="X586" s="24">
        <v>46083</v>
      </c>
      <c r="Y586" s="23">
        <v>1111</v>
      </c>
      <c r="Z586" s="23">
        <v>11100137</v>
      </c>
      <c r="AA586" s="23">
        <v>3351</v>
      </c>
      <c r="AB586" s="24">
        <v>46055</v>
      </c>
    </row>
    <row r="587" spans="2:28" x14ac:dyDescent="0.2">
      <c r="B587" s="23" t="s">
        <v>81</v>
      </c>
      <c r="C587" s="23">
        <v>1100578581</v>
      </c>
      <c r="H587" s="24">
        <v>46100</v>
      </c>
      <c r="O587" s="23">
        <v>915.25</v>
      </c>
      <c r="P587" s="23" t="s">
        <v>79</v>
      </c>
    </row>
    <row r="588" spans="2:28" x14ac:dyDescent="0.2">
      <c r="C588" s="23">
        <v>1100578616</v>
      </c>
      <c r="E588" s="23">
        <v>10</v>
      </c>
      <c r="F588" s="23" t="s">
        <v>2919</v>
      </c>
      <c r="G588" s="23" t="s">
        <v>2920</v>
      </c>
      <c r="H588" s="24">
        <v>46100</v>
      </c>
      <c r="I588" s="24">
        <v>46100</v>
      </c>
      <c r="J588" s="23" t="s">
        <v>502</v>
      </c>
      <c r="K588" s="23" t="s">
        <v>502</v>
      </c>
      <c r="L588" s="23">
        <v>2</v>
      </c>
      <c r="M588" s="23" t="s">
        <v>78</v>
      </c>
      <c r="N588" s="23" t="s">
        <v>78</v>
      </c>
      <c r="O588" s="23">
        <v>186</v>
      </c>
      <c r="P588" s="23" t="s">
        <v>79</v>
      </c>
      <c r="Q588" s="23" t="s">
        <v>83</v>
      </c>
      <c r="R588" s="23">
        <v>11100176</v>
      </c>
      <c r="S588" s="24">
        <v>46091</v>
      </c>
      <c r="T588" s="24">
        <v>46085</v>
      </c>
      <c r="U588" s="24" t="s">
        <v>80</v>
      </c>
      <c r="X588" s="24">
        <v>46080</v>
      </c>
      <c r="Y588" s="23">
        <v>1111</v>
      </c>
      <c r="Z588" s="23">
        <v>11400937</v>
      </c>
      <c r="AA588" s="23">
        <v>335103</v>
      </c>
      <c r="AB588" s="24">
        <v>46084</v>
      </c>
    </row>
    <row r="589" spans="2:28" x14ac:dyDescent="0.2">
      <c r="C589" s="23">
        <v>1100578616</v>
      </c>
      <c r="E589" s="23">
        <v>20</v>
      </c>
      <c r="F589" s="23" t="s">
        <v>1933</v>
      </c>
      <c r="G589" s="23" t="s">
        <v>1934</v>
      </c>
      <c r="H589" s="24">
        <v>46100</v>
      </c>
      <c r="I589" s="24">
        <v>46100</v>
      </c>
      <c r="J589" s="23" t="s">
        <v>502</v>
      </c>
      <c r="K589" s="23" t="s">
        <v>502</v>
      </c>
      <c r="L589" s="23">
        <v>2</v>
      </c>
      <c r="M589" s="23" t="s">
        <v>78</v>
      </c>
      <c r="N589" s="23" t="s">
        <v>78</v>
      </c>
      <c r="O589" s="23">
        <v>635.98</v>
      </c>
      <c r="P589" s="23" t="s">
        <v>79</v>
      </c>
      <c r="Q589" s="23" t="s">
        <v>83</v>
      </c>
      <c r="R589" s="23">
        <v>11100176</v>
      </c>
      <c r="S589" s="24">
        <v>46113</v>
      </c>
      <c r="T589" s="24">
        <v>46085</v>
      </c>
      <c r="U589" s="24" t="s">
        <v>80</v>
      </c>
      <c r="X589" s="24">
        <v>46080</v>
      </c>
      <c r="Y589" s="23">
        <v>1111</v>
      </c>
      <c r="Z589" s="23">
        <v>11400937</v>
      </c>
      <c r="AA589" s="23">
        <v>335103</v>
      </c>
      <c r="AB589" s="24">
        <v>46084</v>
      </c>
    </row>
    <row r="590" spans="2:28" x14ac:dyDescent="0.2">
      <c r="C590" s="23">
        <v>1100578616</v>
      </c>
      <c r="E590" s="23">
        <v>30</v>
      </c>
      <c r="F590" s="23" t="s">
        <v>82</v>
      </c>
      <c r="G590" s="23" t="s">
        <v>139</v>
      </c>
      <c r="H590" s="24">
        <v>46100</v>
      </c>
      <c r="I590" s="24">
        <v>46100</v>
      </c>
      <c r="J590" s="23" t="s">
        <v>502</v>
      </c>
      <c r="K590" s="23" t="s">
        <v>502</v>
      </c>
      <c r="L590" s="23">
        <v>1</v>
      </c>
      <c r="M590" s="23" t="s">
        <v>78</v>
      </c>
      <c r="N590" s="23" t="s">
        <v>78</v>
      </c>
      <c r="O590" s="23">
        <v>0.01</v>
      </c>
      <c r="P590" s="23" t="s">
        <v>79</v>
      </c>
      <c r="Q590" s="23" t="s">
        <v>83</v>
      </c>
      <c r="R590" s="23">
        <v>11100176</v>
      </c>
      <c r="S590" s="24" t="s">
        <v>80</v>
      </c>
      <c r="T590" s="24">
        <v>46085</v>
      </c>
      <c r="U590" s="24" t="s">
        <v>80</v>
      </c>
      <c r="X590" s="24">
        <v>46080</v>
      </c>
      <c r="Y590" s="23">
        <v>1111</v>
      </c>
      <c r="Z590" s="23">
        <v>11400937</v>
      </c>
      <c r="AA590" s="23">
        <v>335103</v>
      </c>
      <c r="AB590" s="24">
        <v>46084</v>
      </c>
    </row>
    <row r="591" spans="2:28" x14ac:dyDescent="0.2">
      <c r="B591" s="23" t="s">
        <v>81</v>
      </c>
      <c r="C591" s="23">
        <v>1100578616</v>
      </c>
      <c r="H591" s="24">
        <v>46100</v>
      </c>
      <c r="O591" s="23">
        <v>821.99</v>
      </c>
      <c r="P591" s="23" t="s">
        <v>79</v>
      </c>
    </row>
    <row r="592" spans="2:28" x14ac:dyDescent="0.2">
      <c r="C592" s="23">
        <v>1100578710</v>
      </c>
      <c r="E592" s="23">
        <v>10</v>
      </c>
      <c r="F592" s="23" t="s">
        <v>776</v>
      </c>
      <c r="G592" s="23" t="s">
        <v>777</v>
      </c>
      <c r="H592" s="24">
        <v>46100</v>
      </c>
      <c r="I592" s="24">
        <v>46100</v>
      </c>
      <c r="J592" s="23" t="s">
        <v>256</v>
      </c>
      <c r="K592" s="23" t="s">
        <v>256</v>
      </c>
      <c r="L592" s="23">
        <v>12</v>
      </c>
      <c r="M592" s="23" t="s">
        <v>78</v>
      </c>
      <c r="N592" s="23" t="s">
        <v>78</v>
      </c>
      <c r="O592" s="23">
        <v>96</v>
      </c>
      <c r="P592" s="23" t="s">
        <v>79</v>
      </c>
      <c r="Q592" s="23" t="s">
        <v>83</v>
      </c>
      <c r="R592" s="23">
        <v>11100176</v>
      </c>
      <c r="S592" s="24">
        <v>46100</v>
      </c>
      <c r="T592" s="24">
        <v>46086</v>
      </c>
      <c r="U592" s="24">
        <v>46100</v>
      </c>
      <c r="X592" s="24">
        <v>46084</v>
      </c>
      <c r="Y592" s="23">
        <v>1111</v>
      </c>
      <c r="Z592" s="23">
        <v>11400895</v>
      </c>
      <c r="AA592" s="23">
        <v>515103</v>
      </c>
      <c r="AB592" s="24">
        <v>46084</v>
      </c>
    </row>
    <row r="593" spans="2:28" x14ac:dyDescent="0.2">
      <c r="C593" s="23">
        <v>1100578710</v>
      </c>
      <c r="E593" s="23">
        <v>20</v>
      </c>
      <c r="F593" s="23" t="s">
        <v>761</v>
      </c>
      <c r="G593" s="23" t="s">
        <v>762</v>
      </c>
      <c r="H593" s="24">
        <v>46100</v>
      </c>
      <c r="I593" s="24">
        <v>46100</v>
      </c>
      <c r="J593" s="23" t="s">
        <v>256</v>
      </c>
      <c r="K593" s="23" t="s">
        <v>256</v>
      </c>
      <c r="L593" s="23">
        <v>20</v>
      </c>
      <c r="M593" s="23" t="s">
        <v>78</v>
      </c>
      <c r="N593" s="23" t="s">
        <v>78</v>
      </c>
      <c r="O593" s="23">
        <v>65.8</v>
      </c>
      <c r="P593" s="23" t="s">
        <v>79</v>
      </c>
      <c r="Q593" s="23" t="s">
        <v>83</v>
      </c>
      <c r="R593" s="23">
        <v>11100176</v>
      </c>
      <c r="S593" s="24">
        <v>46100</v>
      </c>
      <c r="T593" s="24">
        <v>46086</v>
      </c>
      <c r="U593" s="24">
        <v>46100</v>
      </c>
      <c r="X593" s="24">
        <v>46084</v>
      </c>
      <c r="Y593" s="23">
        <v>1111</v>
      </c>
      <c r="Z593" s="23">
        <v>11400895</v>
      </c>
      <c r="AA593" s="23">
        <v>515103</v>
      </c>
      <c r="AB593" s="24">
        <v>46084</v>
      </c>
    </row>
    <row r="594" spans="2:28" x14ac:dyDescent="0.2">
      <c r="C594" s="23">
        <v>1100578710</v>
      </c>
      <c r="E594" s="23">
        <v>30</v>
      </c>
      <c r="F594" s="23" t="s">
        <v>4244</v>
      </c>
      <c r="G594" s="23" t="s">
        <v>4245</v>
      </c>
      <c r="H594" s="24">
        <v>46100</v>
      </c>
      <c r="I594" s="24">
        <v>46100</v>
      </c>
      <c r="J594" s="23" t="s">
        <v>256</v>
      </c>
      <c r="K594" s="23" t="s">
        <v>256</v>
      </c>
      <c r="L594" s="23">
        <v>20</v>
      </c>
      <c r="M594" s="23" t="s">
        <v>78</v>
      </c>
      <c r="N594" s="23" t="s">
        <v>78</v>
      </c>
      <c r="O594" s="23">
        <v>87.8</v>
      </c>
      <c r="P594" s="23" t="s">
        <v>79</v>
      </c>
      <c r="Q594" s="23" t="s">
        <v>83</v>
      </c>
      <c r="R594" s="23">
        <v>11100176</v>
      </c>
      <c r="S594" s="24">
        <v>46100</v>
      </c>
      <c r="T594" s="24">
        <v>46086</v>
      </c>
      <c r="U594" s="24">
        <v>46100</v>
      </c>
      <c r="X594" s="24">
        <v>46084</v>
      </c>
      <c r="Y594" s="23">
        <v>1111</v>
      </c>
      <c r="Z594" s="23">
        <v>11400895</v>
      </c>
      <c r="AA594" s="23">
        <v>515103</v>
      </c>
      <c r="AB594" s="24">
        <v>46084</v>
      </c>
    </row>
    <row r="595" spans="2:28" x14ac:dyDescent="0.2">
      <c r="B595" s="23" t="s">
        <v>81</v>
      </c>
      <c r="C595" s="23">
        <v>1100578710</v>
      </c>
      <c r="H595" s="24">
        <v>46100</v>
      </c>
      <c r="O595" s="23">
        <v>249.6</v>
      </c>
      <c r="P595" s="23" t="s">
        <v>79</v>
      </c>
    </row>
    <row r="596" spans="2:28" x14ac:dyDescent="0.2">
      <c r="C596" s="23">
        <v>1100555848</v>
      </c>
      <c r="E596" s="23">
        <v>10</v>
      </c>
      <c r="F596" s="23" t="s">
        <v>1887</v>
      </c>
      <c r="G596" s="23" t="s">
        <v>1888</v>
      </c>
      <c r="H596" s="24">
        <v>46101</v>
      </c>
      <c r="I596" s="24">
        <v>46101</v>
      </c>
      <c r="J596" s="23" t="s">
        <v>1044</v>
      </c>
      <c r="K596" s="23" t="s">
        <v>1044</v>
      </c>
      <c r="L596" s="23">
        <v>1</v>
      </c>
      <c r="M596" s="23" t="s">
        <v>78</v>
      </c>
      <c r="N596" s="23" t="s">
        <v>78</v>
      </c>
      <c r="O596" s="23">
        <v>44780</v>
      </c>
      <c r="P596" s="23" t="s">
        <v>79</v>
      </c>
      <c r="Q596" s="23" t="s">
        <v>83</v>
      </c>
      <c r="R596" s="23">
        <v>11100018</v>
      </c>
      <c r="S596" s="24">
        <v>45929</v>
      </c>
      <c r="T596" s="24">
        <v>45847</v>
      </c>
      <c r="U596" s="24" t="s">
        <v>80</v>
      </c>
      <c r="X596" s="24">
        <v>45845</v>
      </c>
      <c r="Y596" s="23">
        <v>1111</v>
      </c>
      <c r="Z596" s="23">
        <v>11400742</v>
      </c>
      <c r="AA596" s="23">
        <v>3358</v>
      </c>
      <c r="AB596" s="24">
        <v>45847</v>
      </c>
    </row>
    <row r="597" spans="2:28" x14ac:dyDescent="0.2">
      <c r="C597" s="23">
        <v>1100555848</v>
      </c>
      <c r="E597" s="23">
        <v>20</v>
      </c>
      <c r="F597" s="23" t="s">
        <v>84</v>
      </c>
      <c r="G597" s="23" t="s">
        <v>123</v>
      </c>
      <c r="H597" s="24">
        <v>46101</v>
      </c>
      <c r="I597" s="24">
        <v>46101</v>
      </c>
      <c r="J597" s="23" t="s">
        <v>1044</v>
      </c>
      <c r="K597" s="23" t="s">
        <v>1044</v>
      </c>
      <c r="L597" s="23">
        <v>1</v>
      </c>
      <c r="M597" s="23" t="s">
        <v>78</v>
      </c>
      <c r="N597" s="23" t="s">
        <v>78</v>
      </c>
      <c r="O597" s="23">
        <v>0.01</v>
      </c>
      <c r="P597" s="23" t="s">
        <v>79</v>
      </c>
      <c r="Q597" s="23" t="s">
        <v>83</v>
      </c>
      <c r="R597" s="23">
        <v>11100018</v>
      </c>
      <c r="S597" s="24">
        <v>45929</v>
      </c>
      <c r="T597" s="24">
        <v>45847</v>
      </c>
      <c r="U597" s="24" t="s">
        <v>80</v>
      </c>
      <c r="X597" s="24">
        <v>45845</v>
      </c>
      <c r="Y597" s="23">
        <v>1111</v>
      </c>
      <c r="Z597" s="23">
        <v>11400742</v>
      </c>
      <c r="AA597" s="23">
        <v>3358</v>
      </c>
      <c r="AB597" s="24">
        <v>45847</v>
      </c>
    </row>
    <row r="598" spans="2:28" x14ac:dyDescent="0.2">
      <c r="C598" s="23">
        <v>1100555848</v>
      </c>
      <c r="E598" s="23">
        <v>30</v>
      </c>
      <c r="F598" s="23" t="s">
        <v>96</v>
      </c>
      <c r="G598" s="23" t="s">
        <v>97</v>
      </c>
      <c r="H598" s="24">
        <v>46101</v>
      </c>
      <c r="I598" s="24">
        <v>46101</v>
      </c>
      <c r="J598" s="23" t="s">
        <v>1044</v>
      </c>
      <c r="K598" s="23" t="s">
        <v>1044</v>
      </c>
      <c r="L598" s="23">
        <v>1</v>
      </c>
      <c r="M598" s="23" t="s">
        <v>78</v>
      </c>
      <c r="N598" s="23" t="s">
        <v>78</v>
      </c>
      <c r="O598" s="23">
        <v>0.01</v>
      </c>
      <c r="P598" s="23" t="s">
        <v>79</v>
      </c>
      <c r="Q598" s="23" t="s">
        <v>83</v>
      </c>
      <c r="R598" s="23">
        <v>11100018</v>
      </c>
      <c r="S598" s="24">
        <v>45929</v>
      </c>
      <c r="T598" s="24">
        <v>45847</v>
      </c>
      <c r="U598" s="24" t="s">
        <v>80</v>
      </c>
      <c r="X598" s="24">
        <v>45845</v>
      </c>
      <c r="Y598" s="23">
        <v>1111</v>
      </c>
      <c r="Z598" s="23">
        <v>11400742</v>
      </c>
      <c r="AA598" s="23">
        <v>3358</v>
      </c>
      <c r="AB598" s="24">
        <v>45847</v>
      </c>
    </row>
    <row r="599" spans="2:28" x14ac:dyDescent="0.2">
      <c r="C599" s="23">
        <v>1100555848</v>
      </c>
      <c r="E599" s="23">
        <v>40</v>
      </c>
      <c r="F599" s="23" t="s">
        <v>82</v>
      </c>
      <c r="G599" s="23" t="s">
        <v>139</v>
      </c>
      <c r="H599" s="24">
        <v>46101</v>
      </c>
      <c r="I599" s="24">
        <v>46101</v>
      </c>
      <c r="J599" s="23" t="s">
        <v>1044</v>
      </c>
      <c r="K599" s="23" t="s">
        <v>1044</v>
      </c>
      <c r="L599" s="23">
        <v>1</v>
      </c>
      <c r="M599" s="23" t="s">
        <v>78</v>
      </c>
      <c r="N599" s="23" t="s">
        <v>78</v>
      </c>
      <c r="O599" s="23">
        <v>0</v>
      </c>
      <c r="P599" s="23" t="s">
        <v>79</v>
      </c>
      <c r="Q599" s="23" t="s">
        <v>83</v>
      </c>
      <c r="R599" s="23">
        <v>11100018</v>
      </c>
      <c r="S599" s="24" t="s">
        <v>80</v>
      </c>
      <c r="T599" s="24">
        <v>45847</v>
      </c>
      <c r="U599" s="24" t="s">
        <v>80</v>
      </c>
      <c r="X599" s="24">
        <v>45845</v>
      </c>
      <c r="Y599" s="23">
        <v>1111</v>
      </c>
      <c r="Z599" s="23">
        <v>11400742</v>
      </c>
      <c r="AA599" s="23">
        <v>3358</v>
      </c>
      <c r="AB599" s="24">
        <v>45847</v>
      </c>
    </row>
    <row r="600" spans="2:28" x14ac:dyDescent="0.2">
      <c r="B600" s="23" t="s">
        <v>81</v>
      </c>
      <c r="C600" s="23">
        <v>1100555848</v>
      </c>
      <c r="H600" s="24">
        <v>46101</v>
      </c>
      <c r="O600" s="23">
        <v>44780.02</v>
      </c>
      <c r="P600" s="23" t="s">
        <v>79</v>
      </c>
    </row>
    <row r="601" spans="2:28" x14ac:dyDescent="0.2">
      <c r="C601" s="23">
        <v>1100563653</v>
      </c>
      <c r="E601" s="23">
        <v>10</v>
      </c>
      <c r="F601" s="23" t="s">
        <v>837</v>
      </c>
      <c r="G601" s="23" t="s">
        <v>838</v>
      </c>
      <c r="H601" s="24">
        <v>46101</v>
      </c>
      <c r="I601" s="24">
        <v>46101</v>
      </c>
      <c r="J601" s="23" t="s">
        <v>558</v>
      </c>
      <c r="K601" s="23" t="s">
        <v>558</v>
      </c>
      <c r="L601" s="23">
        <v>1</v>
      </c>
      <c r="M601" s="23" t="s">
        <v>78</v>
      </c>
      <c r="N601" s="23" t="s">
        <v>78</v>
      </c>
      <c r="O601" s="23">
        <v>7680</v>
      </c>
      <c r="P601" s="23" t="s">
        <v>79</v>
      </c>
      <c r="Q601" s="23" t="s">
        <v>83</v>
      </c>
      <c r="R601" s="23">
        <v>11100008</v>
      </c>
      <c r="S601" s="24">
        <v>46003</v>
      </c>
      <c r="T601" s="24">
        <v>45919</v>
      </c>
      <c r="U601" s="24">
        <v>46752</v>
      </c>
      <c r="X601" s="24">
        <v>45896</v>
      </c>
      <c r="Y601" s="23">
        <v>1111</v>
      </c>
      <c r="Z601" s="23">
        <v>11400704</v>
      </c>
      <c r="AA601" s="23">
        <v>335803</v>
      </c>
      <c r="AB601" s="24">
        <v>45918</v>
      </c>
    </row>
    <row r="602" spans="2:28" x14ac:dyDescent="0.2">
      <c r="C602" s="23">
        <v>1100563653</v>
      </c>
      <c r="E602" s="23">
        <v>20</v>
      </c>
      <c r="F602" s="23" t="s">
        <v>563</v>
      </c>
      <c r="G602" s="23" t="s">
        <v>564</v>
      </c>
      <c r="H602" s="24">
        <v>46101</v>
      </c>
      <c r="I602" s="24">
        <v>46101</v>
      </c>
      <c r="J602" s="23" t="s">
        <v>558</v>
      </c>
      <c r="K602" s="23" t="s">
        <v>558</v>
      </c>
      <c r="L602" s="23">
        <v>1</v>
      </c>
      <c r="M602" s="23" t="s">
        <v>78</v>
      </c>
      <c r="N602" s="23" t="s">
        <v>78</v>
      </c>
      <c r="O602" s="23">
        <v>6901</v>
      </c>
      <c r="P602" s="23" t="s">
        <v>79</v>
      </c>
      <c r="Q602" s="23" t="s">
        <v>83</v>
      </c>
      <c r="R602" s="23">
        <v>11100008</v>
      </c>
      <c r="S602" s="24">
        <v>46003</v>
      </c>
      <c r="T602" s="24">
        <v>45919</v>
      </c>
      <c r="U602" s="24">
        <v>46752</v>
      </c>
      <c r="X602" s="24">
        <v>45896</v>
      </c>
      <c r="Y602" s="23">
        <v>1111</v>
      </c>
      <c r="Z602" s="23">
        <v>11400704</v>
      </c>
      <c r="AA602" s="23">
        <v>335803</v>
      </c>
      <c r="AB602" s="24">
        <v>45918</v>
      </c>
    </row>
    <row r="603" spans="2:28" x14ac:dyDescent="0.2">
      <c r="C603" s="23">
        <v>1100563653</v>
      </c>
      <c r="E603" s="23">
        <v>40</v>
      </c>
      <c r="F603" s="23" t="s">
        <v>2921</v>
      </c>
      <c r="G603" s="23" t="s">
        <v>2922</v>
      </c>
      <c r="H603" s="24">
        <v>46101</v>
      </c>
      <c r="I603" s="24">
        <v>46101</v>
      </c>
      <c r="J603" s="23" t="s">
        <v>558</v>
      </c>
      <c r="K603" s="23" t="s">
        <v>558</v>
      </c>
      <c r="L603" s="23">
        <v>1</v>
      </c>
      <c r="M603" s="23" t="s">
        <v>78</v>
      </c>
      <c r="N603" s="23" t="s">
        <v>78</v>
      </c>
      <c r="O603" s="23">
        <v>12100</v>
      </c>
      <c r="P603" s="23" t="s">
        <v>79</v>
      </c>
      <c r="Q603" s="23" t="s">
        <v>83</v>
      </c>
      <c r="R603" s="23">
        <v>11100008</v>
      </c>
      <c r="S603" s="24">
        <v>46094</v>
      </c>
      <c r="T603" s="24">
        <v>45919</v>
      </c>
      <c r="U603" s="24">
        <v>47116</v>
      </c>
      <c r="X603" s="24">
        <v>45896</v>
      </c>
      <c r="Y603" s="23">
        <v>1111</v>
      </c>
      <c r="Z603" s="23">
        <v>11400704</v>
      </c>
      <c r="AA603" s="23">
        <v>335803</v>
      </c>
      <c r="AB603" s="24">
        <v>45918</v>
      </c>
    </row>
    <row r="604" spans="2:28" x14ac:dyDescent="0.2">
      <c r="B604" s="23" t="s">
        <v>81</v>
      </c>
      <c r="C604" s="23">
        <v>1100563653</v>
      </c>
      <c r="H604" s="24">
        <v>46101</v>
      </c>
      <c r="O604" s="23">
        <v>26681</v>
      </c>
      <c r="P604" s="23" t="s">
        <v>79</v>
      </c>
    </row>
    <row r="605" spans="2:28" x14ac:dyDescent="0.2">
      <c r="C605" s="23">
        <v>1100569507</v>
      </c>
      <c r="E605" s="23">
        <v>10</v>
      </c>
      <c r="F605" s="23" t="s">
        <v>1862</v>
      </c>
      <c r="G605" s="23" t="s">
        <v>1863</v>
      </c>
      <c r="H605" s="24">
        <v>46101</v>
      </c>
      <c r="I605" s="24">
        <v>46101</v>
      </c>
      <c r="J605" s="23" t="s">
        <v>735</v>
      </c>
      <c r="K605" s="23" t="s">
        <v>735</v>
      </c>
      <c r="L605" s="23">
        <v>10</v>
      </c>
      <c r="M605" s="23" t="s">
        <v>78</v>
      </c>
      <c r="N605" s="23" t="s">
        <v>78</v>
      </c>
      <c r="O605" s="23">
        <v>47116.6</v>
      </c>
      <c r="P605" s="23" t="s">
        <v>79</v>
      </c>
      <c r="Q605" s="23" t="s">
        <v>83</v>
      </c>
      <c r="R605" s="23">
        <v>11100176</v>
      </c>
      <c r="S605" s="24">
        <v>45680</v>
      </c>
      <c r="T605" s="24">
        <v>45981</v>
      </c>
      <c r="U605" s="24" t="s">
        <v>80</v>
      </c>
      <c r="X605" s="24">
        <v>45980</v>
      </c>
      <c r="Y605" s="23">
        <v>1111</v>
      </c>
      <c r="Z605" s="23">
        <v>11400704</v>
      </c>
      <c r="AA605" s="23">
        <v>505103</v>
      </c>
      <c r="AB605" s="24">
        <v>45980</v>
      </c>
    </row>
    <row r="606" spans="2:28" x14ac:dyDescent="0.2">
      <c r="B606" s="23" t="s">
        <v>81</v>
      </c>
      <c r="C606" s="23">
        <v>1100569507</v>
      </c>
      <c r="H606" s="24">
        <v>46101</v>
      </c>
      <c r="O606" s="23">
        <v>47116.6</v>
      </c>
      <c r="P606" s="23" t="s">
        <v>79</v>
      </c>
    </row>
    <row r="607" spans="2:28" x14ac:dyDescent="0.2">
      <c r="C607" s="23">
        <v>1100570323</v>
      </c>
      <c r="E607" s="23">
        <v>30</v>
      </c>
      <c r="F607" s="23" t="s">
        <v>1877</v>
      </c>
      <c r="G607" s="23" t="s">
        <v>1878</v>
      </c>
      <c r="H607" s="24">
        <v>46101</v>
      </c>
      <c r="I607" s="24">
        <v>46101</v>
      </c>
      <c r="J607" s="23" t="s">
        <v>636</v>
      </c>
      <c r="K607" s="23" t="s">
        <v>636</v>
      </c>
      <c r="L607" s="23">
        <v>2</v>
      </c>
      <c r="M607" s="23" t="s">
        <v>78</v>
      </c>
      <c r="N607" s="23" t="s">
        <v>78</v>
      </c>
      <c r="O607" s="23">
        <v>2504.4</v>
      </c>
      <c r="P607" s="23" t="s">
        <v>79</v>
      </c>
      <c r="Q607" s="23" t="s">
        <v>83</v>
      </c>
      <c r="R607" s="23">
        <v>11100176</v>
      </c>
      <c r="S607" s="24">
        <v>46017</v>
      </c>
      <c r="T607" s="24">
        <v>45994</v>
      </c>
      <c r="U607" s="24">
        <v>46752</v>
      </c>
      <c r="X607" s="24">
        <v>45993</v>
      </c>
      <c r="Y607" s="23">
        <v>1111</v>
      </c>
      <c r="Z607" s="23">
        <v>11400742</v>
      </c>
      <c r="AA607" s="23">
        <v>505103</v>
      </c>
      <c r="AB607" s="24">
        <v>45993</v>
      </c>
    </row>
    <row r="608" spans="2:28" x14ac:dyDescent="0.2">
      <c r="B608" s="23" t="s">
        <v>81</v>
      </c>
      <c r="C608" s="23">
        <v>1100570323</v>
      </c>
      <c r="H608" s="24">
        <v>46101</v>
      </c>
      <c r="O608" s="23">
        <v>2504.4</v>
      </c>
      <c r="P608" s="23" t="s">
        <v>79</v>
      </c>
    </row>
    <row r="609" spans="2:28" x14ac:dyDescent="0.2">
      <c r="C609" s="23">
        <v>1100570669</v>
      </c>
      <c r="E609" s="23">
        <v>10</v>
      </c>
      <c r="F609" s="23" t="s">
        <v>1895</v>
      </c>
      <c r="G609" s="23" t="s">
        <v>1896</v>
      </c>
      <c r="H609" s="24">
        <v>46101</v>
      </c>
      <c r="I609" s="24">
        <v>46101</v>
      </c>
      <c r="J609" s="23" t="s">
        <v>1897</v>
      </c>
      <c r="K609" s="23" t="s">
        <v>1897</v>
      </c>
      <c r="L609" s="23">
        <v>1</v>
      </c>
      <c r="M609" s="23" t="s">
        <v>78</v>
      </c>
      <c r="N609" s="23" t="s">
        <v>78</v>
      </c>
      <c r="O609" s="23">
        <v>2454.5300000000002</v>
      </c>
      <c r="P609" s="23" t="s">
        <v>79</v>
      </c>
      <c r="Q609" s="23" t="s">
        <v>83</v>
      </c>
      <c r="R609" s="23">
        <v>11100176</v>
      </c>
      <c r="S609" s="24">
        <v>46031</v>
      </c>
      <c r="T609" s="24">
        <v>45997</v>
      </c>
      <c r="U609" s="24" t="s">
        <v>80</v>
      </c>
      <c r="X609" s="24">
        <v>45995</v>
      </c>
      <c r="Y609" s="23">
        <v>1111</v>
      </c>
      <c r="Z609" s="23">
        <v>11400811</v>
      </c>
      <c r="AA609" s="23">
        <v>5051</v>
      </c>
      <c r="AB609" s="24">
        <v>45979</v>
      </c>
    </row>
    <row r="610" spans="2:28" x14ac:dyDescent="0.2">
      <c r="C610" s="23">
        <v>1100570669</v>
      </c>
      <c r="E610" s="23">
        <v>20</v>
      </c>
      <c r="F610" s="23" t="s">
        <v>82</v>
      </c>
      <c r="G610" s="23" t="s">
        <v>139</v>
      </c>
      <c r="H610" s="24">
        <v>46101</v>
      </c>
      <c r="I610" s="24">
        <v>46101</v>
      </c>
      <c r="J610" s="23" t="s">
        <v>1897</v>
      </c>
      <c r="K610" s="23" t="s">
        <v>1897</v>
      </c>
      <c r="L610" s="23">
        <v>1</v>
      </c>
      <c r="M610" s="23" t="s">
        <v>78</v>
      </c>
      <c r="N610" s="23" t="s">
        <v>78</v>
      </c>
      <c r="O610" s="23">
        <v>0.01</v>
      </c>
      <c r="P610" s="23" t="s">
        <v>79</v>
      </c>
      <c r="Q610" s="23" t="s">
        <v>83</v>
      </c>
      <c r="R610" s="23">
        <v>11100176</v>
      </c>
      <c r="S610" s="24" t="s">
        <v>80</v>
      </c>
      <c r="T610" s="24">
        <v>45997</v>
      </c>
      <c r="U610" s="24" t="s">
        <v>80</v>
      </c>
      <c r="X610" s="24">
        <v>45995</v>
      </c>
      <c r="Y610" s="23">
        <v>1111</v>
      </c>
      <c r="Z610" s="23">
        <v>11400811</v>
      </c>
      <c r="AA610" s="23">
        <v>5051</v>
      </c>
      <c r="AB610" s="24">
        <v>45979</v>
      </c>
    </row>
    <row r="611" spans="2:28" x14ac:dyDescent="0.2">
      <c r="B611" s="23" t="s">
        <v>81</v>
      </c>
      <c r="C611" s="23">
        <v>1100570669</v>
      </c>
      <c r="H611" s="24">
        <v>46101</v>
      </c>
      <c r="O611" s="23">
        <v>2454.54</v>
      </c>
      <c r="P611" s="23" t="s">
        <v>79</v>
      </c>
    </row>
    <row r="612" spans="2:28" x14ac:dyDescent="0.2">
      <c r="C612" s="23">
        <v>1100571362</v>
      </c>
      <c r="E612" s="23">
        <v>10</v>
      </c>
      <c r="F612" s="23" t="s">
        <v>2107</v>
      </c>
      <c r="G612" s="23" t="s">
        <v>2108</v>
      </c>
      <c r="H612" s="24">
        <v>46101</v>
      </c>
      <c r="I612" s="24">
        <v>46101</v>
      </c>
      <c r="J612" s="23" t="s">
        <v>1930</v>
      </c>
      <c r="K612" s="23" t="s">
        <v>1930</v>
      </c>
      <c r="L612" s="23">
        <v>1</v>
      </c>
      <c r="M612" s="23" t="s">
        <v>78</v>
      </c>
      <c r="N612" s="23" t="s">
        <v>78</v>
      </c>
      <c r="O612" s="23">
        <v>5530</v>
      </c>
      <c r="P612" s="23" t="s">
        <v>79</v>
      </c>
      <c r="Q612" s="23" t="s">
        <v>83</v>
      </c>
      <c r="R612" s="23">
        <v>11100176</v>
      </c>
      <c r="S612" s="24">
        <v>45708</v>
      </c>
      <c r="T612" s="24">
        <v>46003</v>
      </c>
      <c r="U612" s="24">
        <v>46752</v>
      </c>
      <c r="X612" s="24">
        <v>46002</v>
      </c>
      <c r="Y612" s="23">
        <v>1111</v>
      </c>
      <c r="Z612" s="23">
        <v>11400606</v>
      </c>
      <c r="AA612" s="23">
        <v>5051</v>
      </c>
      <c r="AB612" s="24">
        <v>45932</v>
      </c>
    </row>
    <row r="613" spans="2:28" x14ac:dyDescent="0.2">
      <c r="C613" s="23">
        <v>1100571362</v>
      </c>
      <c r="E613" s="23">
        <v>40</v>
      </c>
      <c r="F613" s="23">
        <v>3732039</v>
      </c>
      <c r="G613" s="23" t="s">
        <v>1175</v>
      </c>
      <c r="H613" s="24">
        <v>46101</v>
      </c>
      <c r="I613" s="24">
        <v>46113</v>
      </c>
      <c r="J613" s="23" t="s">
        <v>1930</v>
      </c>
      <c r="K613" s="23" t="s">
        <v>1930</v>
      </c>
      <c r="L613" s="23">
        <v>1</v>
      </c>
      <c r="M613" s="23" t="s">
        <v>78</v>
      </c>
      <c r="N613" s="23" t="s">
        <v>78</v>
      </c>
      <c r="O613" s="23">
        <v>570</v>
      </c>
      <c r="P613" s="23" t="s">
        <v>79</v>
      </c>
      <c r="Q613" s="23" t="s">
        <v>83</v>
      </c>
      <c r="R613" s="23">
        <v>11100176</v>
      </c>
      <c r="S613" s="24">
        <v>45708</v>
      </c>
      <c r="T613" s="24">
        <v>46003</v>
      </c>
      <c r="U613" s="24">
        <v>46752</v>
      </c>
      <c r="X613" s="24">
        <v>46002</v>
      </c>
      <c r="Y613" s="23">
        <v>1111</v>
      </c>
      <c r="Z613" s="23">
        <v>11400606</v>
      </c>
      <c r="AA613" s="23">
        <v>5051</v>
      </c>
      <c r="AB613" s="24">
        <v>45932</v>
      </c>
    </row>
    <row r="614" spans="2:28" x14ac:dyDescent="0.2">
      <c r="B614" s="23" t="s">
        <v>81</v>
      </c>
      <c r="C614" s="23">
        <v>1100571362</v>
      </c>
      <c r="H614" s="24">
        <v>46101</v>
      </c>
      <c r="O614" s="23">
        <v>6100</v>
      </c>
      <c r="P614" s="23" t="s">
        <v>79</v>
      </c>
    </row>
    <row r="615" spans="2:28" x14ac:dyDescent="0.2">
      <c r="C615" s="23">
        <v>1100571610</v>
      </c>
      <c r="E615" s="23">
        <v>10</v>
      </c>
      <c r="F615" s="23" t="s">
        <v>873</v>
      </c>
      <c r="G615" s="23" t="s">
        <v>874</v>
      </c>
      <c r="H615" s="24">
        <v>46101</v>
      </c>
      <c r="I615" s="24">
        <v>46101</v>
      </c>
      <c r="J615" s="23" t="s">
        <v>875</v>
      </c>
      <c r="K615" s="23" t="s">
        <v>875</v>
      </c>
      <c r="L615" s="23">
        <v>4</v>
      </c>
      <c r="M615" s="23" t="s">
        <v>78</v>
      </c>
      <c r="N615" s="23" t="s">
        <v>78</v>
      </c>
      <c r="O615" s="23">
        <v>4240</v>
      </c>
      <c r="P615" s="23" t="s">
        <v>79</v>
      </c>
      <c r="Q615" s="23" t="s">
        <v>83</v>
      </c>
      <c r="R615" s="23">
        <v>11100176</v>
      </c>
      <c r="S615" s="24">
        <v>46080</v>
      </c>
      <c r="T615" s="24">
        <v>46007</v>
      </c>
      <c r="U615" s="24">
        <v>46014</v>
      </c>
      <c r="X615" s="24">
        <v>46002</v>
      </c>
      <c r="Y615" s="23">
        <v>1111</v>
      </c>
      <c r="Z615" s="23">
        <v>11400704</v>
      </c>
      <c r="AA615" s="23">
        <v>5051</v>
      </c>
      <c r="AB615" s="24">
        <v>46006</v>
      </c>
    </row>
    <row r="616" spans="2:28" x14ac:dyDescent="0.2">
      <c r="C616" s="23">
        <v>1100571610</v>
      </c>
      <c r="E616" s="23">
        <v>20</v>
      </c>
      <c r="F616" s="23" t="s">
        <v>209</v>
      </c>
      <c r="G616" s="23" t="s">
        <v>210</v>
      </c>
      <c r="H616" s="24">
        <v>46101</v>
      </c>
      <c r="I616" s="24">
        <v>46101</v>
      </c>
      <c r="J616" s="23" t="s">
        <v>875</v>
      </c>
      <c r="K616" s="23" t="s">
        <v>875</v>
      </c>
      <c r="L616" s="23">
        <v>1</v>
      </c>
      <c r="M616" s="23" t="s">
        <v>78</v>
      </c>
      <c r="N616" s="23" t="s">
        <v>78</v>
      </c>
      <c r="O616" s="23">
        <v>40</v>
      </c>
      <c r="P616" s="23" t="s">
        <v>79</v>
      </c>
      <c r="Q616" s="23" t="s">
        <v>83</v>
      </c>
      <c r="R616" s="23">
        <v>11100176</v>
      </c>
      <c r="S616" s="24" t="s">
        <v>80</v>
      </c>
      <c r="T616" s="24">
        <v>46007</v>
      </c>
      <c r="U616" s="24">
        <v>46009</v>
      </c>
      <c r="X616" s="24">
        <v>46002</v>
      </c>
      <c r="Y616" s="23">
        <v>1111</v>
      </c>
      <c r="Z616" s="23">
        <v>11400704</v>
      </c>
      <c r="AA616" s="23">
        <v>5051</v>
      </c>
      <c r="AB616" s="24">
        <v>46006</v>
      </c>
    </row>
    <row r="617" spans="2:28" x14ac:dyDescent="0.2">
      <c r="B617" s="23" t="s">
        <v>81</v>
      </c>
      <c r="C617" s="23">
        <v>1100571610</v>
      </c>
      <c r="H617" s="24">
        <v>46101</v>
      </c>
      <c r="O617" s="23">
        <v>4280</v>
      </c>
      <c r="P617" s="23" t="s">
        <v>79</v>
      </c>
    </row>
    <row r="618" spans="2:28" x14ac:dyDescent="0.2">
      <c r="C618" s="23">
        <v>1100571872</v>
      </c>
      <c r="E618" s="23">
        <v>10</v>
      </c>
      <c r="F618" s="23" t="s">
        <v>661</v>
      </c>
      <c r="G618" s="23" t="s">
        <v>662</v>
      </c>
      <c r="H618" s="24">
        <v>46101</v>
      </c>
      <c r="I618" s="24">
        <v>46101</v>
      </c>
      <c r="J618" s="23" t="s">
        <v>1095</v>
      </c>
      <c r="K618" s="23" t="s">
        <v>1095</v>
      </c>
      <c r="L618" s="23">
        <v>1</v>
      </c>
      <c r="M618" s="23" t="s">
        <v>78</v>
      </c>
      <c r="N618" s="23" t="s">
        <v>78</v>
      </c>
      <c r="O618" s="23">
        <v>4736.88</v>
      </c>
      <c r="P618" s="23" t="s">
        <v>79</v>
      </c>
      <c r="Q618" s="23" t="s">
        <v>83</v>
      </c>
      <c r="R618" s="23">
        <v>11100008</v>
      </c>
      <c r="S618" s="24">
        <v>46065</v>
      </c>
      <c r="T618" s="24">
        <v>46009</v>
      </c>
      <c r="U618" s="24" t="s">
        <v>80</v>
      </c>
      <c r="X618" s="24">
        <v>46008</v>
      </c>
      <c r="Y618" s="23">
        <v>1111</v>
      </c>
      <c r="Z618" s="23">
        <v>11400606</v>
      </c>
      <c r="AA618" s="23">
        <v>335103</v>
      </c>
      <c r="AB618" s="24">
        <v>45995</v>
      </c>
    </row>
    <row r="619" spans="2:28" x14ac:dyDescent="0.2">
      <c r="B619" s="23" t="s">
        <v>81</v>
      </c>
      <c r="C619" s="23">
        <v>1100571872</v>
      </c>
      <c r="H619" s="24">
        <v>46101</v>
      </c>
      <c r="O619" s="23">
        <v>4736.88</v>
      </c>
      <c r="P619" s="23" t="s">
        <v>79</v>
      </c>
    </row>
    <row r="620" spans="2:28" x14ac:dyDescent="0.2">
      <c r="C620" s="23">
        <v>1100572231</v>
      </c>
      <c r="E620" s="23">
        <v>10</v>
      </c>
      <c r="F620" s="23" t="s">
        <v>655</v>
      </c>
      <c r="G620" s="23" t="s">
        <v>656</v>
      </c>
      <c r="H620" s="24">
        <v>46101</v>
      </c>
      <c r="I620" s="24">
        <v>46101</v>
      </c>
      <c r="J620" s="23" t="s">
        <v>671</v>
      </c>
      <c r="K620" s="23" t="s">
        <v>671</v>
      </c>
      <c r="L620" s="23">
        <v>1</v>
      </c>
      <c r="M620" s="23" t="s">
        <v>78</v>
      </c>
      <c r="N620" s="23" t="s">
        <v>78</v>
      </c>
      <c r="O620" s="23">
        <v>7842.17</v>
      </c>
      <c r="P620" s="23" t="s">
        <v>79</v>
      </c>
      <c r="Q620" s="23" t="s">
        <v>83</v>
      </c>
      <c r="R620" s="23">
        <v>11100176</v>
      </c>
      <c r="S620" s="24">
        <v>46048</v>
      </c>
      <c r="T620" s="24">
        <v>46013</v>
      </c>
      <c r="U620" s="24" t="s">
        <v>80</v>
      </c>
      <c r="X620" s="24">
        <v>46010</v>
      </c>
      <c r="Y620" s="23">
        <v>1111</v>
      </c>
      <c r="Z620" s="23">
        <v>11600007</v>
      </c>
      <c r="AA620" s="23">
        <v>335103</v>
      </c>
      <c r="AB620" s="24">
        <v>46008</v>
      </c>
    </row>
    <row r="621" spans="2:28" x14ac:dyDescent="0.2">
      <c r="C621" s="23">
        <v>1100572231</v>
      </c>
      <c r="E621" s="23">
        <v>20</v>
      </c>
      <c r="F621" s="23" t="s">
        <v>82</v>
      </c>
      <c r="G621" s="23" t="s">
        <v>139</v>
      </c>
      <c r="H621" s="24">
        <v>46101</v>
      </c>
      <c r="I621" s="24">
        <v>46101</v>
      </c>
      <c r="J621" s="23" t="s">
        <v>671</v>
      </c>
      <c r="K621" s="23" t="s">
        <v>671</v>
      </c>
      <c r="L621" s="23">
        <v>1</v>
      </c>
      <c r="M621" s="23" t="s">
        <v>78</v>
      </c>
      <c r="N621" s="23" t="s">
        <v>78</v>
      </c>
      <c r="O621" s="23">
        <v>0.01</v>
      </c>
      <c r="P621" s="23" t="s">
        <v>79</v>
      </c>
      <c r="Q621" s="23" t="s">
        <v>83</v>
      </c>
      <c r="R621" s="23">
        <v>11100176</v>
      </c>
      <c r="S621" s="24" t="s">
        <v>80</v>
      </c>
      <c r="T621" s="24">
        <v>46013</v>
      </c>
      <c r="U621" s="24" t="s">
        <v>80</v>
      </c>
      <c r="X621" s="24">
        <v>46010</v>
      </c>
      <c r="Y621" s="23">
        <v>1111</v>
      </c>
      <c r="Z621" s="23">
        <v>11600007</v>
      </c>
      <c r="AA621" s="23">
        <v>335103</v>
      </c>
      <c r="AB621" s="24">
        <v>46008</v>
      </c>
    </row>
    <row r="622" spans="2:28" x14ac:dyDescent="0.2">
      <c r="B622" s="23" t="s">
        <v>81</v>
      </c>
      <c r="C622" s="23">
        <v>1100572231</v>
      </c>
      <c r="H622" s="24">
        <v>46101</v>
      </c>
      <c r="O622" s="23">
        <v>7842.18</v>
      </c>
      <c r="P622" s="23" t="s">
        <v>79</v>
      </c>
    </row>
    <row r="623" spans="2:28" x14ac:dyDescent="0.2">
      <c r="C623" s="23">
        <v>1100572688</v>
      </c>
      <c r="E623" s="23">
        <v>10</v>
      </c>
      <c r="F623" s="23" t="s">
        <v>1895</v>
      </c>
      <c r="G623" s="23" t="s">
        <v>1896</v>
      </c>
      <c r="H623" s="24">
        <v>46101</v>
      </c>
      <c r="I623" s="24">
        <v>46101</v>
      </c>
      <c r="J623" s="23" t="s">
        <v>381</v>
      </c>
      <c r="K623" s="23" t="s">
        <v>381</v>
      </c>
      <c r="L623" s="23">
        <v>3</v>
      </c>
      <c r="M623" s="23" t="s">
        <v>78</v>
      </c>
      <c r="N623" s="23" t="s">
        <v>78</v>
      </c>
      <c r="O623" s="23">
        <v>7363.59</v>
      </c>
      <c r="P623" s="23" t="s">
        <v>79</v>
      </c>
      <c r="Q623" s="23" t="s">
        <v>83</v>
      </c>
      <c r="R623" s="23">
        <v>11100176</v>
      </c>
      <c r="S623" s="24">
        <v>46052</v>
      </c>
      <c r="T623" s="24">
        <v>46024</v>
      </c>
      <c r="U623" s="24" t="s">
        <v>80</v>
      </c>
      <c r="X623" s="24">
        <v>46024</v>
      </c>
      <c r="Y623" s="23">
        <v>1111</v>
      </c>
      <c r="Z623" s="23">
        <v>11100137</v>
      </c>
      <c r="AA623" s="23">
        <v>5051</v>
      </c>
      <c r="AB623" s="24">
        <v>45995</v>
      </c>
    </row>
    <row r="624" spans="2:28" x14ac:dyDescent="0.2">
      <c r="C624" s="23">
        <v>1100572688</v>
      </c>
      <c r="E624" s="23">
        <v>20</v>
      </c>
      <c r="F624" s="23" t="s">
        <v>82</v>
      </c>
      <c r="G624" s="23" t="s">
        <v>139</v>
      </c>
      <c r="H624" s="24">
        <v>46101</v>
      </c>
      <c r="I624" s="24">
        <v>46101</v>
      </c>
      <c r="J624" s="23" t="s">
        <v>381</v>
      </c>
      <c r="K624" s="23" t="s">
        <v>381</v>
      </c>
      <c r="L624" s="23">
        <v>1</v>
      </c>
      <c r="M624" s="23" t="s">
        <v>78</v>
      </c>
      <c r="N624" s="23" t="s">
        <v>78</v>
      </c>
      <c r="O624" s="23">
        <v>0.01</v>
      </c>
      <c r="P624" s="23" t="s">
        <v>79</v>
      </c>
      <c r="Q624" s="23" t="s">
        <v>83</v>
      </c>
      <c r="R624" s="23">
        <v>11100176</v>
      </c>
      <c r="S624" s="24" t="s">
        <v>80</v>
      </c>
      <c r="T624" s="24">
        <v>46024</v>
      </c>
      <c r="U624" s="24" t="s">
        <v>80</v>
      </c>
      <c r="X624" s="24">
        <v>46024</v>
      </c>
      <c r="Y624" s="23">
        <v>1111</v>
      </c>
      <c r="Z624" s="23">
        <v>11100137</v>
      </c>
      <c r="AA624" s="23">
        <v>5051</v>
      </c>
      <c r="AB624" s="24">
        <v>45995</v>
      </c>
    </row>
    <row r="625" spans="2:28" x14ac:dyDescent="0.2">
      <c r="B625" s="23" t="s">
        <v>81</v>
      </c>
      <c r="C625" s="23">
        <v>1100572688</v>
      </c>
      <c r="H625" s="24">
        <v>46101</v>
      </c>
      <c r="O625" s="23">
        <v>7363.6</v>
      </c>
      <c r="P625" s="23" t="s">
        <v>79</v>
      </c>
    </row>
    <row r="626" spans="2:28" x14ac:dyDescent="0.2">
      <c r="C626" s="23">
        <v>1100573175</v>
      </c>
      <c r="E626" s="23">
        <v>20</v>
      </c>
      <c r="F626" s="23" t="s">
        <v>1862</v>
      </c>
      <c r="G626" s="23" t="s">
        <v>2093</v>
      </c>
      <c r="H626" s="24">
        <v>46101</v>
      </c>
      <c r="I626" s="24">
        <v>46101</v>
      </c>
      <c r="J626" s="23" t="s">
        <v>735</v>
      </c>
      <c r="K626" s="23" t="s">
        <v>735</v>
      </c>
      <c r="L626" s="23">
        <v>11</v>
      </c>
      <c r="M626" s="23" t="s">
        <v>78</v>
      </c>
      <c r="N626" s="23" t="s">
        <v>78</v>
      </c>
      <c r="O626" s="23">
        <v>51828.26</v>
      </c>
      <c r="P626" s="23" t="s">
        <v>79</v>
      </c>
      <c r="Q626" s="23" t="s">
        <v>83</v>
      </c>
      <c r="R626" s="23">
        <v>11100176</v>
      </c>
      <c r="S626" s="24">
        <v>46086</v>
      </c>
      <c r="T626" s="24">
        <v>46030</v>
      </c>
      <c r="U626" s="24">
        <v>47116</v>
      </c>
      <c r="X626" s="24">
        <v>46029</v>
      </c>
      <c r="Y626" s="23">
        <v>1111</v>
      </c>
      <c r="Z626" s="23">
        <v>11100137</v>
      </c>
      <c r="AA626" s="23">
        <v>505103</v>
      </c>
      <c r="AB626" s="24">
        <v>46029</v>
      </c>
    </row>
    <row r="627" spans="2:28" x14ac:dyDescent="0.2">
      <c r="B627" s="23" t="s">
        <v>81</v>
      </c>
      <c r="C627" s="23">
        <v>1100573175</v>
      </c>
      <c r="H627" s="24">
        <v>46101</v>
      </c>
      <c r="O627" s="23">
        <v>51828.26</v>
      </c>
      <c r="P627" s="23" t="s">
        <v>79</v>
      </c>
    </row>
    <row r="628" spans="2:28" x14ac:dyDescent="0.2">
      <c r="C628" s="23">
        <v>1100573215</v>
      </c>
      <c r="E628" s="23">
        <v>10</v>
      </c>
      <c r="F628" s="23" t="s">
        <v>1105</v>
      </c>
      <c r="G628" s="23" t="s">
        <v>1106</v>
      </c>
      <c r="H628" s="24">
        <v>46101</v>
      </c>
      <c r="I628" s="24">
        <v>46101</v>
      </c>
      <c r="J628" s="23" t="s">
        <v>2144</v>
      </c>
      <c r="K628" s="23" t="s">
        <v>2144</v>
      </c>
      <c r="L628" s="23">
        <v>1</v>
      </c>
      <c r="M628" s="23" t="s">
        <v>78</v>
      </c>
      <c r="N628" s="23" t="s">
        <v>78</v>
      </c>
      <c r="O628" s="23">
        <v>1074.57</v>
      </c>
      <c r="P628" s="23" t="s">
        <v>79</v>
      </c>
      <c r="Q628" s="23" t="s">
        <v>83</v>
      </c>
      <c r="R628" s="23">
        <v>11100176</v>
      </c>
      <c r="S628" s="24">
        <v>46087</v>
      </c>
      <c r="T628" s="24">
        <v>46031</v>
      </c>
      <c r="U628" s="24" t="s">
        <v>80</v>
      </c>
      <c r="X628" s="24">
        <v>46029</v>
      </c>
      <c r="Y628" s="23">
        <v>1111</v>
      </c>
      <c r="Z628" s="23">
        <v>11400895</v>
      </c>
      <c r="AA628" s="23">
        <v>335103</v>
      </c>
      <c r="AB628" s="24">
        <v>46028</v>
      </c>
    </row>
    <row r="629" spans="2:28" x14ac:dyDescent="0.2">
      <c r="B629" s="23" t="s">
        <v>81</v>
      </c>
      <c r="C629" s="23">
        <v>1100573215</v>
      </c>
      <c r="H629" s="24">
        <v>46101</v>
      </c>
      <c r="O629" s="23">
        <v>1074.57</v>
      </c>
      <c r="P629" s="23" t="s">
        <v>79</v>
      </c>
    </row>
    <row r="630" spans="2:28" x14ac:dyDescent="0.2">
      <c r="C630" s="23">
        <v>1100573239</v>
      </c>
      <c r="E630" s="23">
        <v>10</v>
      </c>
      <c r="F630" s="23" t="s">
        <v>2145</v>
      </c>
      <c r="G630" s="23" t="s">
        <v>2146</v>
      </c>
      <c r="H630" s="24">
        <v>46101</v>
      </c>
      <c r="I630" s="24">
        <v>46101</v>
      </c>
      <c r="J630" s="23" t="s">
        <v>242</v>
      </c>
      <c r="K630" s="23" t="s">
        <v>242</v>
      </c>
      <c r="L630" s="23">
        <v>1</v>
      </c>
      <c r="M630" s="23" t="s">
        <v>78</v>
      </c>
      <c r="N630" s="23" t="s">
        <v>78</v>
      </c>
      <c r="O630" s="23">
        <v>3296.76</v>
      </c>
      <c r="P630" s="23" t="s">
        <v>79</v>
      </c>
      <c r="Q630" s="23" t="s">
        <v>83</v>
      </c>
      <c r="R630" s="23">
        <v>11100176</v>
      </c>
      <c r="S630" s="24">
        <v>46073</v>
      </c>
      <c r="T630" s="24">
        <v>46031</v>
      </c>
      <c r="U630" s="24" t="s">
        <v>80</v>
      </c>
      <c r="X630" s="24">
        <v>46029</v>
      </c>
      <c r="Y630" s="23">
        <v>1111</v>
      </c>
      <c r="Z630" s="23">
        <v>11400937</v>
      </c>
      <c r="AA630" s="23">
        <v>5051</v>
      </c>
      <c r="AB630" s="24">
        <v>46029</v>
      </c>
    </row>
    <row r="631" spans="2:28" x14ac:dyDescent="0.2">
      <c r="C631" s="23">
        <v>1100573239</v>
      </c>
      <c r="E631" s="23">
        <v>20</v>
      </c>
      <c r="F631" s="23" t="s">
        <v>82</v>
      </c>
      <c r="G631" s="23" t="s">
        <v>139</v>
      </c>
      <c r="H631" s="24">
        <v>46101</v>
      </c>
      <c r="I631" s="24">
        <v>46101</v>
      </c>
      <c r="J631" s="23" t="s">
        <v>242</v>
      </c>
      <c r="K631" s="23" t="s">
        <v>242</v>
      </c>
      <c r="L631" s="23">
        <v>1</v>
      </c>
      <c r="M631" s="23" t="s">
        <v>78</v>
      </c>
      <c r="N631" s="23" t="s">
        <v>78</v>
      </c>
      <c r="O631" s="23">
        <v>0.01</v>
      </c>
      <c r="P631" s="23" t="s">
        <v>79</v>
      </c>
      <c r="Q631" s="23" t="s">
        <v>83</v>
      </c>
      <c r="R631" s="23">
        <v>11100176</v>
      </c>
      <c r="S631" s="24" t="s">
        <v>80</v>
      </c>
      <c r="T631" s="24">
        <v>46031</v>
      </c>
      <c r="U631" s="24" t="s">
        <v>80</v>
      </c>
      <c r="X631" s="24">
        <v>46029</v>
      </c>
      <c r="Y631" s="23">
        <v>1111</v>
      </c>
      <c r="Z631" s="23">
        <v>11400937</v>
      </c>
      <c r="AA631" s="23">
        <v>5051</v>
      </c>
      <c r="AB631" s="24">
        <v>46029</v>
      </c>
    </row>
    <row r="632" spans="2:28" x14ac:dyDescent="0.2">
      <c r="B632" s="23" t="s">
        <v>81</v>
      </c>
      <c r="C632" s="23">
        <v>1100573239</v>
      </c>
      <c r="H632" s="24">
        <v>46101</v>
      </c>
      <c r="O632" s="23">
        <v>3296.77</v>
      </c>
      <c r="P632" s="23" t="s">
        <v>79</v>
      </c>
    </row>
    <row r="633" spans="2:28" x14ac:dyDescent="0.2">
      <c r="C633" s="23">
        <v>1100573323</v>
      </c>
      <c r="E633" s="23">
        <v>10</v>
      </c>
      <c r="F633" s="23" t="s">
        <v>2148</v>
      </c>
      <c r="G633" s="23" t="s">
        <v>2149</v>
      </c>
      <c r="H633" s="24">
        <v>46101</v>
      </c>
      <c r="I633" s="24">
        <v>46101</v>
      </c>
      <c r="J633" s="23" t="s">
        <v>2118</v>
      </c>
      <c r="K633" s="23" t="s">
        <v>2118</v>
      </c>
      <c r="L633" s="23">
        <v>1</v>
      </c>
      <c r="M633" s="23" t="s">
        <v>78</v>
      </c>
      <c r="N633" s="23" t="s">
        <v>78</v>
      </c>
      <c r="O633" s="23">
        <v>1654.62</v>
      </c>
      <c r="P633" s="23" t="s">
        <v>79</v>
      </c>
      <c r="Q633" s="23" t="s">
        <v>83</v>
      </c>
      <c r="R633" s="23">
        <v>11100176</v>
      </c>
      <c r="S633" s="24">
        <v>46101</v>
      </c>
      <c r="T633" s="24">
        <v>46031</v>
      </c>
      <c r="U633" s="24" t="s">
        <v>80</v>
      </c>
      <c r="X633" s="24">
        <v>46030</v>
      </c>
      <c r="Y633" s="23">
        <v>1111</v>
      </c>
      <c r="Z633" s="23">
        <v>11400937</v>
      </c>
      <c r="AA633" s="23">
        <v>505103</v>
      </c>
      <c r="AB633" s="24">
        <v>46002</v>
      </c>
    </row>
    <row r="634" spans="2:28" x14ac:dyDescent="0.2">
      <c r="C634" s="23">
        <v>1100573323</v>
      </c>
      <c r="E634" s="23">
        <v>20</v>
      </c>
      <c r="F634" s="23" t="s">
        <v>82</v>
      </c>
      <c r="G634" s="23" t="s">
        <v>139</v>
      </c>
      <c r="H634" s="24">
        <v>46101</v>
      </c>
      <c r="I634" s="24">
        <v>46101</v>
      </c>
      <c r="J634" s="23" t="s">
        <v>2118</v>
      </c>
      <c r="K634" s="23" t="s">
        <v>2118</v>
      </c>
      <c r="L634" s="23">
        <v>1</v>
      </c>
      <c r="M634" s="23" t="s">
        <v>78</v>
      </c>
      <c r="N634" s="23" t="s">
        <v>78</v>
      </c>
      <c r="O634" s="23">
        <v>0.01</v>
      </c>
      <c r="P634" s="23" t="s">
        <v>79</v>
      </c>
      <c r="Q634" s="23" t="s">
        <v>83</v>
      </c>
      <c r="R634" s="23">
        <v>11100176</v>
      </c>
      <c r="S634" s="24" t="s">
        <v>80</v>
      </c>
      <c r="T634" s="24">
        <v>46031</v>
      </c>
      <c r="U634" s="24" t="s">
        <v>80</v>
      </c>
      <c r="X634" s="24">
        <v>46030</v>
      </c>
      <c r="Y634" s="23">
        <v>1111</v>
      </c>
      <c r="Z634" s="23">
        <v>11400937</v>
      </c>
      <c r="AA634" s="23">
        <v>505103</v>
      </c>
      <c r="AB634" s="24">
        <v>46002</v>
      </c>
    </row>
    <row r="635" spans="2:28" x14ac:dyDescent="0.2">
      <c r="B635" s="23" t="s">
        <v>81</v>
      </c>
      <c r="C635" s="23">
        <v>1100573323</v>
      </c>
      <c r="H635" s="24">
        <v>46101</v>
      </c>
      <c r="O635" s="23">
        <v>1654.63</v>
      </c>
      <c r="P635" s="23" t="s">
        <v>79</v>
      </c>
    </row>
    <row r="636" spans="2:28" x14ac:dyDescent="0.2">
      <c r="C636" s="23">
        <v>1100573366</v>
      </c>
      <c r="E636" s="23">
        <v>10</v>
      </c>
      <c r="F636" s="23" t="s">
        <v>1725</v>
      </c>
      <c r="G636" s="23" t="s">
        <v>1726</v>
      </c>
      <c r="H636" s="24">
        <v>46101</v>
      </c>
      <c r="I636" s="24">
        <v>46101</v>
      </c>
      <c r="J636" s="23" t="s">
        <v>351</v>
      </c>
      <c r="K636" s="23" t="s">
        <v>351</v>
      </c>
      <c r="L636" s="23">
        <v>1</v>
      </c>
      <c r="M636" s="23" t="s">
        <v>78</v>
      </c>
      <c r="N636" s="23" t="s">
        <v>78</v>
      </c>
      <c r="O636" s="23">
        <v>1030.68</v>
      </c>
      <c r="P636" s="23" t="s">
        <v>79</v>
      </c>
      <c r="Q636" s="23" t="s">
        <v>83</v>
      </c>
      <c r="R636" s="23">
        <v>11100176</v>
      </c>
      <c r="S636" s="24">
        <v>46052</v>
      </c>
      <c r="T636" s="24">
        <v>46032</v>
      </c>
      <c r="U636" s="24" t="s">
        <v>80</v>
      </c>
      <c r="X636" s="24">
        <v>46030</v>
      </c>
      <c r="Y636" s="23">
        <v>1111</v>
      </c>
      <c r="Z636" s="23">
        <v>11400937</v>
      </c>
      <c r="AA636" s="23">
        <v>3951</v>
      </c>
      <c r="AB636" s="24">
        <v>46029</v>
      </c>
    </row>
    <row r="637" spans="2:28" x14ac:dyDescent="0.2">
      <c r="C637" s="23">
        <v>1100573366</v>
      </c>
      <c r="E637" s="23">
        <v>20</v>
      </c>
      <c r="F637" s="23" t="s">
        <v>82</v>
      </c>
      <c r="G637" s="23" t="s">
        <v>139</v>
      </c>
      <c r="H637" s="24">
        <v>46101</v>
      </c>
      <c r="I637" s="24">
        <v>46101</v>
      </c>
      <c r="J637" s="23" t="s">
        <v>351</v>
      </c>
      <c r="K637" s="23" t="s">
        <v>351</v>
      </c>
      <c r="L637" s="23">
        <v>1</v>
      </c>
      <c r="M637" s="23" t="s">
        <v>78</v>
      </c>
      <c r="N637" s="23" t="s">
        <v>78</v>
      </c>
      <c r="O637" s="23">
        <v>0.01</v>
      </c>
      <c r="P637" s="23" t="s">
        <v>79</v>
      </c>
      <c r="Q637" s="23" t="s">
        <v>83</v>
      </c>
      <c r="R637" s="23">
        <v>11100176</v>
      </c>
      <c r="S637" s="24" t="s">
        <v>80</v>
      </c>
      <c r="T637" s="24">
        <v>46032</v>
      </c>
      <c r="U637" s="24" t="s">
        <v>80</v>
      </c>
      <c r="X637" s="24">
        <v>46030</v>
      </c>
      <c r="Y637" s="23">
        <v>1111</v>
      </c>
      <c r="Z637" s="23">
        <v>11400937</v>
      </c>
      <c r="AA637" s="23">
        <v>3951</v>
      </c>
      <c r="AB637" s="24">
        <v>46029</v>
      </c>
    </row>
    <row r="638" spans="2:28" x14ac:dyDescent="0.2">
      <c r="B638" s="23" t="s">
        <v>81</v>
      </c>
      <c r="C638" s="23">
        <v>1100573366</v>
      </c>
      <c r="H638" s="24">
        <v>46101</v>
      </c>
      <c r="O638" s="23">
        <v>1030.69</v>
      </c>
      <c r="P638" s="23" t="s">
        <v>79</v>
      </c>
    </row>
    <row r="639" spans="2:28" x14ac:dyDescent="0.2">
      <c r="C639" s="23">
        <v>1100573582</v>
      </c>
      <c r="E639" s="23">
        <v>10</v>
      </c>
      <c r="F639" s="23" t="s">
        <v>1123</v>
      </c>
      <c r="G639" s="23" t="s">
        <v>1124</v>
      </c>
      <c r="H639" s="24">
        <v>46101</v>
      </c>
      <c r="I639" s="24">
        <v>46101</v>
      </c>
      <c r="J639" s="23" t="s">
        <v>2923</v>
      </c>
      <c r="K639" s="23" t="s">
        <v>2923</v>
      </c>
      <c r="L639" s="23">
        <v>1</v>
      </c>
      <c r="M639" s="23" t="s">
        <v>78</v>
      </c>
      <c r="N639" s="23" t="s">
        <v>78</v>
      </c>
      <c r="O639" s="23">
        <v>1695.17</v>
      </c>
      <c r="P639" s="23" t="s">
        <v>79</v>
      </c>
      <c r="Q639" s="23" t="s">
        <v>83</v>
      </c>
      <c r="R639" s="23">
        <v>11100176</v>
      </c>
      <c r="S639" s="24">
        <v>46101</v>
      </c>
      <c r="T639" s="24">
        <v>46035</v>
      </c>
      <c r="U639" s="24" t="s">
        <v>80</v>
      </c>
      <c r="X639" s="24">
        <v>46034</v>
      </c>
      <c r="Y639" s="23">
        <v>1111</v>
      </c>
      <c r="Z639" s="23">
        <v>11100137</v>
      </c>
      <c r="AA639" s="23">
        <v>5051</v>
      </c>
      <c r="AB639" s="24">
        <v>45996</v>
      </c>
    </row>
    <row r="640" spans="2:28" x14ac:dyDescent="0.2">
      <c r="C640" s="23">
        <v>1100573582</v>
      </c>
      <c r="E640" s="23">
        <v>20</v>
      </c>
      <c r="F640" s="23" t="s">
        <v>209</v>
      </c>
      <c r="G640" s="23" t="s">
        <v>210</v>
      </c>
      <c r="H640" s="24">
        <v>46101</v>
      </c>
      <c r="I640" s="24">
        <v>46101</v>
      </c>
      <c r="J640" s="23" t="s">
        <v>2923</v>
      </c>
      <c r="K640" s="23" t="s">
        <v>2923</v>
      </c>
      <c r="L640" s="23">
        <v>1</v>
      </c>
      <c r="M640" s="23" t="s">
        <v>78</v>
      </c>
      <c r="N640" s="23" t="s">
        <v>78</v>
      </c>
      <c r="O640" s="23">
        <v>0.01</v>
      </c>
      <c r="P640" s="23" t="s">
        <v>79</v>
      </c>
      <c r="Q640" s="23" t="s">
        <v>83</v>
      </c>
      <c r="R640" s="23">
        <v>11100176</v>
      </c>
      <c r="S640" s="24" t="s">
        <v>80</v>
      </c>
      <c r="T640" s="24">
        <v>46035</v>
      </c>
      <c r="U640" s="24" t="s">
        <v>80</v>
      </c>
      <c r="X640" s="24">
        <v>46034</v>
      </c>
      <c r="Y640" s="23">
        <v>1111</v>
      </c>
      <c r="Z640" s="23">
        <v>11100137</v>
      </c>
      <c r="AA640" s="23">
        <v>5051</v>
      </c>
      <c r="AB640" s="24">
        <v>45996</v>
      </c>
    </row>
    <row r="641" spans="2:28" x14ac:dyDescent="0.2">
      <c r="B641" s="23" t="s">
        <v>81</v>
      </c>
      <c r="C641" s="23">
        <v>1100573582</v>
      </c>
      <c r="H641" s="24">
        <v>46101</v>
      </c>
      <c r="O641" s="23">
        <v>1695.18</v>
      </c>
      <c r="P641" s="23" t="s">
        <v>79</v>
      </c>
    </row>
    <row r="642" spans="2:28" x14ac:dyDescent="0.2">
      <c r="C642" s="23">
        <v>1100573710</v>
      </c>
      <c r="E642" s="23">
        <v>10</v>
      </c>
      <c r="F642" s="23" t="s">
        <v>2924</v>
      </c>
      <c r="G642" s="23" t="s">
        <v>2925</v>
      </c>
      <c r="H642" s="24">
        <v>46101</v>
      </c>
      <c r="I642" s="24">
        <v>46101</v>
      </c>
      <c r="J642" s="23" t="s">
        <v>883</v>
      </c>
      <c r="K642" s="23" t="s">
        <v>883</v>
      </c>
      <c r="L642" s="23">
        <v>1</v>
      </c>
      <c r="M642" s="23" t="s">
        <v>78</v>
      </c>
      <c r="N642" s="23" t="s">
        <v>78</v>
      </c>
      <c r="O642" s="23">
        <v>1348.7</v>
      </c>
      <c r="P642" s="23" t="s">
        <v>79</v>
      </c>
      <c r="Q642" s="23" t="s">
        <v>83</v>
      </c>
      <c r="R642" s="23">
        <v>11100176</v>
      </c>
      <c r="S642" s="24">
        <v>46064</v>
      </c>
      <c r="T642" s="24">
        <v>46036</v>
      </c>
      <c r="U642" s="24" t="s">
        <v>80</v>
      </c>
      <c r="X642" s="24">
        <v>46031</v>
      </c>
      <c r="Y642" s="23">
        <v>1111</v>
      </c>
      <c r="Z642" s="23">
        <v>11400937</v>
      </c>
      <c r="AA642" s="23">
        <v>505103</v>
      </c>
      <c r="AB642" s="24">
        <v>46035</v>
      </c>
    </row>
    <row r="643" spans="2:28" x14ac:dyDescent="0.2">
      <c r="B643" s="23" t="s">
        <v>81</v>
      </c>
      <c r="C643" s="23">
        <v>1100573710</v>
      </c>
      <c r="H643" s="24">
        <v>46101</v>
      </c>
      <c r="O643" s="23">
        <v>1348.7</v>
      </c>
      <c r="P643" s="23" t="s">
        <v>79</v>
      </c>
    </row>
    <row r="644" spans="2:28" x14ac:dyDescent="0.2">
      <c r="C644" s="23">
        <v>1100573828</v>
      </c>
      <c r="E644" s="23">
        <v>10</v>
      </c>
      <c r="F644" s="23" t="s">
        <v>2926</v>
      </c>
      <c r="G644" s="23" t="s">
        <v>2927</v>
      </c>
      <c r="H644" s="24">
        <v>46101</v>
      </c>
      <c r="I644" s="24">
        <v>46101</v>
      </c>
      <c r="J644" s="23" t="s">
        <v>551</v>
      </c>
      <c r="K644" s="23" t="s">
        <v>551</v>
      </c>
      <c r="L644" s="23">
        <v>1</v>
      </c>
      <c r="M644" s="23" t="s">
        <v>78</v>
      </c>
      <c r="N644" s="23" t="s">
        <v>78</v>
      </c>
      <c r="O644" s="23">
        <v>1588.5</v>
      </c>
      <c r="P644" s="23" t="s">
        <v>79</v>
      </c>
      <c r="Q644" s="23" t="s">
        <v>83</v>
      </c>
      <c r="R644" s="23">
        <v>11100176</v>
      </c>
      <c r="S644" s="24">
        <v>46071</v>
      </c>
      <c r="T644" s="24">
        <v>46036</v>
      </c>
      <c r="U644" s="24">
        <v>47116</v>
      </c>
      <c r="X644" s="24">
        <v>46035</v>
      </c>
      <c r="Y644" s="23">
        <v>1111</v>
      </c>
      <c r="Z644" s="23">
        <v>11600001</v>
      </c>
      <c r="AA644" s="23">
        <v>5251</v>
      </c>
      <c r="AB644" s="24">
        <v>46029</v>
      </c>
    </row>
    <row r="645" spans="2:28" x14ac:dyDescent="0.2">
      <c r="C645" s="23">
        <v>1100573828</v>
      </c>
      <c r="E645" s="23">
        <v>20</v>
      </c>
      <c r="F645" s="23" t="s">
        <v>1758</v>
      </c>
      <c r="G645" s="23" t="s">
        <v>1759</v>
      </c>
      <c r="H645" s="24">
        <v>46101</v>
      </c>
      <c r="I645" s="24">
        <v>46101</v>
      </c>
      <c r="J645" s="23" t="s">
        <v>551</v>
      </c>
      <c r="K645" s="23" t="s">
        <v>551</v>
      </c>
      <c r="L645" s="23">
        <v>1</v>
      </c>
      <c r="M645" s="23" t="s">
        <v>78</v>
      </c>
      <c r="N645" s="23" t="s">
        <v>78</v>
      </c>
      <c r="O645" s="23">
        <v>1818.56</v>
      </c>
      <c r="P645" s="23" t="s">
        <v>79</v>
      </c>
      <c r="Q645" s="23" t="s">
        <v>83</v>
      </c>
      <c r="R645" s="23">
        <v>11100176</v>
      </c>
      <c r="S645" s="24">
        <v>46071</v>
      </c>
      <c r="T645" s="24">
        <v>46036</v>
      </c>
      <c r="U645" s="24">
        <v>47116</v>
      </c>
      <c r="X645" s="24">
        <v>46035</v>
      </c>
      <c r="Y645" s="23">
        <v>1111</v>
      </c>
      <c r="Z645" s="23">
        <v>11600001</v>
      </c>
      <c r="AA645" s="23">
        <v>5251</v>
      </c>
      <c r="AB645" s="24">
        <v>46029</v>
      </c>
    </row>
    <row r="646" spans="2:28" x14ac:dyDescent="0.2">
      <c r="C646" s="23">
        <v>1100573828</v>
      </c>
      <c r="E646" s="23">
        <v>30</v>
      </c>
      <c r="F646" s="23" t="s">
        <v>1760</v>
      </c>
      <c r="G646" s="23" t="s">
        <v>1761</v>
      </c>
      <c r="H646" s="24">
        <v>46101</v>
      </c>
      <c r="I646" s="24">
        <v>46101</v>
      </c>
      <c r="J646" s="23" t="s">
        <v>551</v>
      </c>
      <c r="K646" s="23" t="s">
        <v>551</v>
      </c>
      <c r="L646" s="23">
        <v>1</v>
      </c>
      <c r="M646" s="23" t="s">
        <v>78</v>
      </c>
      <c r="N646" s="23" t="s">
        <v>78</v>
      </c>
      <c r="O646" s="23">
        <v>1818.56</v>
      </c>
      <c r="P646" s="23" t="s">
        <v>79</v>
      </c>
      <c r="Q646" s="23" t="s">
        <v>83</v>
      </c>
      <c r="R646" s="23">
        <v>11100176</v>
      </c>
      <c r="S646" s="24">
        <v>46071</v>
      </c>
      <c r="T646" s="24">
        <v>46036</v>
      </c>
      <c r="U646" s="24">
        <v>47116</v>
      </c>
      <c r="X646" s="24">
        <v>46035</v>
      </c>
      <c r="Y646" s="23">
        <v>1111</v>
      </c>
      <c r="Z646" s="23">
        <v>11600001</v>
      </c>
      <c r="AA646" s="23">
        <v>5251</v>
      </c>
      <c r="AB646" s="24">
        <v>46029</v>
      </c>
    </row>
    <row r="647" spans="2:28" x14ac:dyDescent="0.2">
      <c r="C647" s="23">
        <v>1100573828</v>
      </c>
      <c r="E647" s="23">
        <v>50</v>
      </c>
      <c r="F647" s="23" t="s">
        <v>2928</v>
      </c>
      <c r="G647" s="23" t="s">
        <v>2929</v>
      </c>
      <c r="H647" s="24">
        <v>46101</v>
      </c>
      <c r="I647" s="24">
        <v>46101</v>
      </c>
      <c r="J647" s="23" t="s">
        <v>551</v>
      </c>
      <c r="K647" s="23" t="s">
        <v>551</v>
      </c>
      <c r="L647" s="23">
        <v>1</v>
      </c>
      <c r="M647" s="23" t="s">
        <v>78</v>
      </c>
      <c r="N647" s="23" t="s">
        <v>78</v>
      </c>
      <c r="O647" s="23">
        <v>797.53</v>
      </c>
      <c r="P647" s="23" t="s">
        <v>79</v>
      </c>
      <c r="Q647" s="23" t="s">
        <v>83</v>
      </c>
      <c r="R647" s="23">
        <v>11100176</v>
      </c>
      <c r="S647" s="24">
        <v>46071</v>
      </c>
      <c r="T647" s="24">
        <v>46036</v>
      </c>
      <c r="U647" s="24">
        <v>47116</v>
      </c>
      <c r="X647" s="24">
        <v>46035</v>
      </c>
      <c r="Y647" s="23">
        <v>1111</v>
      </c>
      <c r="Z647" s="23">
        <v>11600001</v>
      </c>
      <c r="AA647" s="23">
        <v>5251</v>
      </c>
      <c r="AB647" s="24">
        <v>46029</v>
      </c>
    </row>
    <row r="648" spans="2:28" x14ac:dyDescent="0.2">
      <c r="C648" s="23">
        <v>1100573828</v>
      </c>
      <c r="E648" s="23">
        <v>60</v>
      </c>
      <c r="F648" s="23" t="s">
        <v>2930</v>
      </c>
      <c r="G648" s="23" t="s">
        <v>2931</v>
      </c>
      <c r="H648" s="24">
        <v>46101</v>
      </c>
      <c r="I648" s="24">
        <v>46101</v>
      </c>
      <c r="J648" s="23" t="s">
        <v>551</v>
      </c>
      <c r="K648" s="23" t="s">
        <v>551</v>
      </c>
      <c r="L648" s="23">
        <v>1</v>
      </c>
      <c r="M648" s="23" t="s">
        <v>78</v>
      </c>
      <c r="N648" s="23" t="s">
        <v>78</v>
      </c>
      <c r="O648" s="23">
        <v>3112.43</v>
      </c>
      <c r="P648" s="23" t="s">
        <v>79</v>
      </c>
      <c r="Q648" s="23" t="s">
        <v>83</v>
      </c>
      <c r="R648" s="23">
        <v>11100176</v>
      </c>
      <c r="S648" s="24">
        <v>46071</v>
      </c>
      <c r="T648" s="24">
        <v>46036</v>
      </c>
      <c r="U648" s="24">
        <v>47116</v>
      </c>
      <c r="X648" s="24">
        <v>46035</v>
      </c>
      <c r="Y648" s="23">
        <v>1111</v>
      </c>
      <c r="Z648" s="23">
        <v>11600001</v>
      </c>
      <c r="AA648" s="23">
        <v>5251</v>
      </c>
      <c r="AB648" s="24">
        <v>46029</v>
      </c>
    </row>
    <row r="649" spans="2:28" x14ac:dyDescent="0.2">
      <c r="C649" s="23">
        <v>1100573828</v>
      </c>
      <c r="E649" s="23">
        <v>70</v>
      </c>
      <c r="F649" s="23" t="s">
        <v>2932</v>
      </c>
      <c r="G649" s="23" t="s">
        <v>2933</v>
      </c>
      <c r="H649" s="24">
        <v>46101</v>
      </c>
      <c r="I649" s="24">
        <v>46101</v>
      </c>
      <c r="J649" s="23" t="s">
        <v>551</v>
      </c>
      <c r="K649" s="23" t="s">
        <v>551</v>
      </c>
      <c r="L649" s="23">
        <v>1</v>
      </c>
      <c r="M649" s="23" t="s">
        <v>78</v>
      </c>
      <c r="N649" s="23" t="s">
        <v>78</v>
      </c>
      <c r="O649" s="23">
        <v>399.98</v>
      </c>
      <c r="P649" s="23" t="s">
        <v>79</v>
      </c>
      <c r="Q649" s="23" t="s">
        <v>83</v>
      </c>
      <c r="R649" s="23">
        <v>11100176</v>
      </c>
      <c r="S649" s="24">
        <v>46071</v>
      </c>
      <c r="T649" s="24">
        <v>46036</v>
      </c>
      <c r="U649" s="24">
        <v>47116</v>
      </c>
      <c r="X649" s="24">
        <v>46035</v>
      </c>
      <c r="Y649" s="23">
        <v>1111</v>
      </c>
      <c r="Z649" s="23">
        <v>11600001</v>
      </c>
      <c r="AA649" s="23">
        <v>5251</v>
      </c>
      <c r="AB649" s="24">
        <v>46029</v>
      </c>
    </row>
    <row r="650" spans="2:28" x14ac:dyDescent="0.2">
      <c r="B650" s="23" t="s">
        <v>81</v>
      </c>
      <c r="C650" s="23">
        <v>1100573828</v>
      </c>
      <c r="H650" s="24">
        <v>46101</v>
      </c>
      <c r="O650" s="23">
        <v>9535.56</v>
      </c>
      <c r="P650" s="23" t="s">
        <v>79</v>
      </c>
    </row>
    <row r="651" spans="2:28" x14ac:dyDescent="0.2">
      <c r="C651" s="23">
        <v>1100574552</v>
      </c>
      <c r="E651" s="23">
        <v>20</v>
      </c>
      <c r="F651" s="23" t="s">
        <v>2934</v>
      </c>
      <c r="G651" s="23" t="s">
        <v>2935</v>
      </c>
      <c r="H651" s="24">
        <v>46101</v>
      </c>
      <c r="I651" s="24">
        <v>46101</v>
      </c>
      <c r="J651" s="23" t="s">
        <v>1777</v>
      </c>
      <c r="K651" s="23" t="s">
        <v>1777</v>
      </c>
      <c r="L651" s="23">
        <v>5</v>
      </c>
      <c r="M651" s="23" t="s">
        <v>78</v>
      </c>
      <c r="N651" s="23" t="s">
        <v>78</v>
      </c>
      <c r="O651" s="23">
        <v>5859</v>
      </c>
      <c r="P651" s="23" t="s">
        <v>79</v>
      </c>
      <c r="Q651" s="23" t="s">
        <v>83</v>
      </c>
      <c r="R651" s="23">
        <v>11100176</v>
      </c>
      <c r="S651" s="24">
        <v>46087</v>
      </c>
      <c r="T651" s="24">
        <v>46045</v>
      </c>
      <c r="U651" s="24">
        <v>46752</v>
      </c>
      <c r="X651" s="24">
        <v>46043</v>
      </c>
      <c r="Y651" s="23">
        <v>1111</v>
      </c>
      <c r="Z651" s="23">
        <v>11600003</v>
      </c>
      <c r="AA651" s="23">
        <v>3351</v>
      </c>
      <c r="AB651" s="24">
        <v>46029</v>
      </c>
    </row>
    <row r="652" spans="2:28" x14ac:dyDescent="0.2">
      <c r="B652" s="23" t="s">
        <v>81</v>
      </c>
      <c r="C652" s="23">
        <v>1100574552</v>
      </c>
      <c r="H652" s="24">
        <v>46101</v>
      </c>
      <c r="O652" s="23">
        <v>5859</v>
      </c>
      <c r="P652" s="23" t="s">
        <v>79</v>
      </c>
    </row>
    <row r="653" spans="2:28" x14ac:dyDescent="0.2">
      <c r="C653" s="23">
        <v>1100574841</v>
      </c>
      <c r="E653" s="23">
        <v>10</v>
      </c>
      <c r="F653" s="23" t="s">
        <v>1918</v>
      </c>
      <c r="G653" s="23" t="s">
        <v>1919</v>
      </c>
      <c r="H653" s="24">
        <v>46101</v>
      </c>
      <c r="I653" s="24">
        <v>46101</v>
      </c>
      <c r="J653" s="23" t="s">
        <v>2936</v>
      </c>
      <c r="K653" s="23" t="s">
        <v>2936</v>
      </c>
      <c r="L653" s="23">
        <v>1</v>
      </c>
      <c r="M653" s="23" t="s">
        <v>78</v>
      </c>
      <c r="N653" s="23" t="s">
        <v>78</v>
      </c>
      <c r="O653" s="23">
        <v>402.42</v>
      </c>
      <c r="P653" s="23" t="s">
        <v>79</v>
      </c>
      <c r="Q653" s="23" t="s">
        <v>83</v>
      </c>
      <c r="R653" s="23">
        <v>11100176</v>
      </c>
      <c r="S653" s="24">
        <v>46097</v>
      </c>
      <c r="T653" s="24">
        <v>46048</v>
      </c>
      <c r="U653" s="24">
        <v>47116</v>
      </c>
      <c r="X653" s="24">
        <v>46045</v>
      </c>
      <c r="Y653" s="23">
        <v>1111</v>
      </c>
      <c r="Z653" s="23">
        <v>11400937</v>
      </c>
      <c r="AA653" s="23">
        <v>395103</v>
      </c>
      <c r="AB653" s="24">
        <v>46039</v>
      </c>
    </row>
    <row r="654" spans="2:28" x14ac:dyDescent="0.2">
      <c r="C654" s="23">
        <v>1100574841</v>
      </c>
      <c r="E654" s="23">
        <v>20</v>
      </c>
      <c r="F654" s="23" t="s">
        <v>665</v>
      </c>
      <c r="G654" s="23" t="s">
        <v>666</v>
      </c>
      <c r="H654" s="24">
        <v>46101</v>
      </c>
      <c r="I654" s="24">
        <v>46101</v>
      </c>
      <c r="J654" s="23" t="s">
        <v>2936</v>
      </c>
      <c r="K654" s="23" t="s">
        <v>2936</v>
      </c>
      <c r="L654" s="23">
        <v>2</v>
      </c>
      <c r="M654" s="23" t="s">
        <v>78</v>
      </c>
      <c r="N654" s="23" t="s">
        <v>78</v>
      </c>
      <c r="O654" s="23">
        <v>208.34</v>
      </c>
      <c r="P654" s="23" t="s">
        <v>79</v>
      </c>
      <c r="Q654" s="23" t="s">
        <v>83</v>
      </c>
      <c r="R654" s="23">
        <v>11100176</v>
      </c>
      <c r="S654" s="24">
        <v>46097</v>
      </c>
      <c r="T654" s="24">
        <v>46048</v>
      </c>
      <c r="U654" s="24">
        <v>47116</v>
      </c>
      <c r="X654" s="24">
        <v>46045</v>
      </c>
      <c r="Y654" s="23">
        <v>1111</v>
      </c>
      <c r="Z654" s="23">
        <v>11400937</v>
      </c>
      <c r="AA654" s="23">
        <v>395103</v>
      </c>
      <c r="AB654" s="24">
        <v>46039</v>
      </c>
    </row>
    <row r="655" spans="2:28" x14ac:dyDescent="0.2">
      <c r="C655" s="23">
        <v>1100574841</v>
      </c>
      <c r="E655" s="23">
        <v>30</v>
      </c>
      <c r="F655" s="23" t="s">
        <v>918</v>
      </c>
      <c r="G655" s="23" t="s">
        <v>2937</v>
      </c>
      <c r="H655" s="24">
        <v>46101</v>
      </c>
      <c r="I655" s="24">
        <v>46101</v>
      </c>
      <c r="J655" s="23" t="s">
        <v>2936</v>
      </c>
      <c r="K655" s="23" t="s">
        <v>2936</v>
      </c>
      <c r="L655" s="23">
        <v>6</v>
      </c>
      <c r="M655" s="23" t="s">
        <v>78</v>
      </c>
      <c r="N655" s="23" t="s">
        <v>78</v>
      </c>
      <c r="O655" s="23">
        <v>256.56</v>
      </c>
      <c r="P655" s="23" t="s">
        <v>79</v>
      </c>
      <c r="Q655" s="23" t="s">
        <v>83</v>
      </c>
      <c r="R655" s="23">
        <v>11100176</v>
      </c>
      <c r="S655" s="24">
        <v>46097</v>
      </c>
      <c r="T655" s="24">
        <v>46048</v>
      </c>
      <c r="U655" s="24">
        <v>47116</v>
      </c>
      <c r="X655" s="24">
        <v>46045</v>
      </c>
      <c r="Y655" s="23">
        <v>1111</v>
      </c>
      <c r="Z655" s="23">
        <v>11400937</v>
      </c>
      <c r="AA655" s="23">
        <v>395103</v>
      </c>
      <c r="AB655" s="24">
        <v>46039</v>
      </c>
    </row>
    <row r="656" spans="2:28" x14ac:dyDescent="0.2">
      <c r="C656" s="23">
        <v>1100574841</v>
      </c>
      <c r="E656" s="23">
        <v>70</v>
      </c>
      <c r="F656" s="23" t="s">
        <v>2938</v>
      </c>
      <c r="G656" s="23" t="s">
        <v>2939</v>
      </c>
      <c r="H656" s="24">
        <v>46101</v>
      </c>
      <c r="I656" s="24">
        <v>46101</v>
      </c>
      <c r="J656" s="23" t="s">
        <v>2936</v>
      </c>
      <c r="K656" s="23" t="s">
        <v>2936</v>
      </c>
      <c r="L656" s="23">
        <v>1</v>
      </c>
      <c r="M656" s="23" t="s">
        <v>78</v>
      </c>
      <c r="N656" s="23" t="s">
        <v>78</v>
      </c>
      <c r="O656" s="23">
        <v>1746.42</v>
      </c>
      <c r="P656" s="23" t="s">
        <v>79</v>
      </c>
      <c r="Q656" s="23" t="s">
        <v>83</v>
      </c>
      <c r="R656" s="23">
        <v>11100176</v>
      </c>
      <c r="S656" s="24">
        <v>46097</v>
      </c>
      <c r="T656" s="24">
        <v>46048</v>
      </c>
      <c r="U656" s="24">
        <v>47116</v>
      </c>
      <c r="X656" s="24">
        <v>46045</v>
      </c>
      <c r="Y656" s="23">
        <v>1111</v>
      </c>
      <c r="Z656" s="23">
        <v>11400937</v>
      </c>
      <c r="AA656" s="23">
        <v>395103</v>
      </c>
      <c r="AB656" s="24">
        <v>46039</v>
      </c>
    </row>
    <row r="657" spans="2:28" x14ac:dyDescent="0.2">
      <c r="C657" s="23">
        <v>1100574841</v>
      </c>
      <c r="E657" s="23">
        <v>90</v>
      </c>
      <c r="F657" s="23" t="s">
        <v>1137</v>
      </c>
      <c r="G657" s="23" t="s">
        <v>2940</v>
      </c>
      <c r="H657" s="24">
        <v>46101</v>
      </c>
      <c r="I657" s="24">
        <v>46101</v>
      </c>
      <c r="J657" s="23" t="s">
        <v>2936</v>
      </c>
      <c r="K657" s="23" t="s">
        <v>2936</v>
      </c>
      <c r="L657" s="23">
        <v>1</v>
      </c>
      <c r="M657" s="23" t="s">
        <v>78</v>
      </c>
      <c r="N657" s="23" t="s">
        <v>78</v>
      </c>
      <c r="O657" s="23">
        <v>63.6</v>
      </c>
      <c r="P657" s="23" t="s">
        <v>79</v>
      </c>
      <c r="Q657" s="23" t="s">
        <v>83</v>
      </c>
      <c r="R657" s="23">
        <v>11100176</v>
      </c>
      <c r="S657" s="24">
        <v>46097</v>
      </c>
      <c r="T657" s="24">
        <v>46048</v>
      </c>
      <c r="U657" s="24">
        <v>47116</v>
      </c>
      <c r="X657" s="24">
        <v>46045</v>
      </c>
      <c r="Y657" s="23">
        <v>1111</v>
      </c>
      <c r="Z657" s="23">
        <v>11400937</v>
      </c>
      <c r="AA657" s="23">
        <v>395103</v>
      </c>
      <c r="AB657" s="24">
        <v>46039</v>
      </c>
    </row>
    <row r="658" spans="2:28" x14ac:dyDescent="0.2">
      <c r="C658" s="23">
        <v>1100574841</v>
      </c>
      <c r="E658" s="23">
        <v>120</v>
      </c>
      <c r="F658" s="23" t="s">
        <v>2941</v>
      </c>
      <c r="G658" s="23" t="s">
        <v>2942</v>
      </c>
      <c r="H658" s="24">
        <v>46101</v>
      </c>
      <c r="I658" s="24">
        <v>46101</v>
      </c>
      <c r="J658" s="23" t="s">
        <v>2936</v>
      </c>
      <c r="K658" s="23" t="s">
        <v>2936</v>
      </c>
      <c r="L658" s="23">
        <v>2</v>
      </c>
      <c r="M658" s="23" t="s">
        <v>78</v>
      </c>
      <c r="N658" s="23" t="s">
        <v>78</v>
      </c>
      <c r="O658" s="23">
        <v>745.62</v>
      </c>
      <c r="P658" s="23" t="s">
        <v>79</v>
      </c>
      <c r="Q658" s="23" t="s">
        <v>83</v>
      </c>
      <c r="R658" s="23">
        <v>11100176</v>
      </c>
      <c r="S658" s="24">
        <v>46051</v>
      </c>
      <c r="T658" s="24">
        <v>46048</v>
      </c>
      <c r="U658" s="24">
        <v>47116</v>
      </c>
      <c r="X658" s="24">
        <v>46045</v>
      </c>
      <c r="Y658" s="23">
        <v>1111</v>
      </c>
      <c r="Z658" s="23">
        <v>11400937</v>
      </c>
      <c r="AA658" s="23">
        <v>395103</v>
      </c>
      <c r="AB658" s="24">
        <v>46039</v>
      </c>
    </row>
    <row r="659" spans="2:28" x14ac:dyDescent="0.2">
      <c r="B659" s="23" t="s">
        <v>81</v>
      </c>
      <c r="C659" s="23">
        <v>1100574841</v>
      </c>
      <c r="H659" s="24">
        <v>46101</v>
      </c>
      <c r="O659" s="23">
        <v>3422.96</v>
      </c>
      <c r="P659" s="23" t="s">
        <v>79</v>
      </c>
    </row>
    <row r="660" spans="2:28" x14ac:dyDescent="0.2">
      <c r="C660" s="23">
        <v>1100575041</v>
      </c>
      <c r="E660" s="23">
        <v>10</v>
      </c>
      <c r="F660" s="23" t="s">
        <v>2943</v>
      </c>
      <c r="G660" s="23" t="s">
        <v>2944</v>
      </c>
      <c r="H660" s="24">
        <v>46101</v>
      </c>
      <c r="I660" s="24">
        <v>46101</v>
      </c>
      <c r="J660" s="23" t="s">
        <v>644</v>
      </c>
      <c r="K660" s="23" t="s">
        <v>644</v>
      </c>
      <c r="L660" s="23">
        <v>2</v>
      </c>
      <c r="M660" s="23" t="s">
        <v>78</v>
      </c>
      <c r="N660" s="23" t="s">
        <v>78</v>
      </c>
      <c r="O660" s="23">
        <v>1495.62</v>
      </c>
      <c r="P660" s="23" t="s">
        <v>79</v>
      </c>
      <c r="Q660" s="23" t="s">
        <v>83</v>
      </c>
      <c r="R660" s="23">
        <v>11100176</v>
      </c>
      <c r="S660" s="24">
        <v>46100</v>
      </c>
      <c r="T660" s="24">
        <v>46049</v>
      </c>
      <c r="U660" s="24" t="s">
        <v>80</v>
      </c>
      <c r="X660" s="24">
        <v>46048</v>
      </c>
      <c r="Y660" s="23">
        <v>1111</v>
      </c>
      <c r="Z660" s="23">
        <v>11100137</v>
      </c>
      <c r="AA660" s="23">
        <v>335103</v>
      </c>
      <c r="AB660" s="24">
        <v>46048</v>
      </c>
    </row>
    <row r="661" spans="2:28" x14ac:dyDescent="0.2">
      <c r="C661" s="23">
        <v>1100575041</v>
      </c>
      <c r="E661" s="23">
        <v>20</v>
      </c>
      <c r="F661" s="23" t="s">
        <v>82</v>
      </c>
      <c r="G661" s="23" t="s">
        <v>139</v>
      </c>
      <c r="H661" s="24">
        <v>46101</v>
      </c>
      <c r="I661" s="24">
        <v>46101</v>
      </c>
      <c r="J661" s="23" t="s">
        <v>644</v>
      </c>
      <c r="K661" s="23" t="s">
        <v>644</v>
      </c>
      <c r="L661" s="23">
        <v>1</v>
      </c>
      <c r="M661" s="23" t="s">
        <v>78</v>
      </c>
      <c r="N661" s="23" t="s">
        <v>78</v>
      </c>
      <c r="O661" s="23">
        <v>0.01</v>
      </c>
      <c r="P661" s="23" t="s">
        <v>79</v>
      </c>
      <c r="Q661" s="23" t="s">
        <v>83</v>
      </c>
      <c r="R661" s="23">
        <v>11100176</v>
      </c>
      <c r="S661" s="24" t="s">
        <v>80</v>
      </c>
      <c r="T661" s="24">
        <v>46049</v>
      </c>
      <c r="U661" s="24" t="s">
        <v>80</v>
      </c>
      <c r="X661" s="24">
        <v>46048</v>
      </c>
      <c r="Y661" s="23">
        <v>1111</v>
      </c>
      <c r="Z661" s="23">
        <v>11100137</v>
      </c>
      <c r="AA661" s="23">
        <v>335103</v>
      </c>
      <c r="AB661" s="24">
        <v>46048</v>
      </c>
    </row>
    <row r="662" spans="2:28" x14ac:dyDescent="0.2">
      <c r="B662" s="23" t="s">
        <v>81</v>
      </c>
      <c r="C662" s="23">
        <v>1100575041</v>
      </c>
      <c r="H662" s="24">
        <v>46101</v>
      </c>
      <c r="O662" s="23">
        <v>1495.63</v>
      </c>
      <c r="P662" s="23" t="s">
        <v>79</v>
      </c>
    </row>
    <row r="663" spans="2:28" x14ac:dyDescent="0.2">
      <c r="C663" s="23">
        <v>1100575218</v>
      </c>
      <c r="E663" s="23">
        <v>10</v>
      </c>
      <c r="F663" s="23" t="s">
        <v>725</v>
      </c>
      <c r="G663" s="23" t="s">
        <v>726</v>
      </c>
      <c r="H663" s="24">
        <v>46101</v>
      </c>
      <c r="I663" s="24">
        <v>46101</v>
      </c>
      <c r="J663" s="23" t="s">
        <v>2945</v>
      </c>
      <c r="K663" s="23" t="s">
        <v>2945</v>
      </c>
      <c r="L663" s="23">
        <v>1</v>
      </c>
      <c r="M663" s="23" t="s">
        <v>78</v>
      </c>
      <c r="N663" s="23" t="s">
        <v>78</v>
      </c>
      <c r="O663" s="23">
        <v>1494.41</v>
      </c>
      <c r="P663" s="23" t="s">
        <v>79</v>
      </c>
      <c r="Q663" s="23" t="s">
        <v>83</v>
      </c>
      <c r="R663" s="23">
        <v>11100176</v>
      </c>
      <c r="S663" s="24">
        <v>46101</v>
      </c>
      <c r="T663" s="24">
        <v>46050</v>
      </c>
      <c r="U663" s="24">
        <v>47116</v>
      </c>
      <c r="X663" s="24">
        <v>46049</v>
      </c>
      <c r="Y663" s="23">
        <v>1111</v>
      </c>
      <c r="Z663" s="23">
        <v>11100320</v>
      </c>
      <c r="AA663" s="23">
        <v>3351</v>
      </c>
      <c r="AB663" s="24">
        <v>46050</v>
      </c>
    </row>
    <row r="664" spans="2:28" x14ac:dyDescent="0.2">
      <c r="C664" s="23">
        <v>1100575218</v>
      </c>
      <c r="E664" s="23">
        <v>130</v>
      </c>
      <c r="F664" s="23" t="s">
        <v>2946</v>
      </c>
      <c r="G664" s="23" t="s">
        <v>2947</v>
      </c>
      <c r="H664" s="24">
        <v>46101</v>
      </c>
      <c r="I664" s="24">
        <v>46101</v>
      </c>
      <c r="J664" s="23" t="s">
        <v>2945</v>
      </c>
      <c r="K664" s="23" t="s">
        <v>2945</v>
      </c>
      <c r="L664" s="23">
        <v>1</v>
      </c>
      <c r="M664" s="23" t="s">
        <v>78</v>
      </c>
      <c r="N664" s="23" t="s">
        <v>78</v>
      </c>
      <c r="O664" s="23">
        <v>841.43</v>
      </c>
      <c r="P664" s="23" t="s">
        <v>79</v>
      </c>
      <c r="Q664" s="23" t="s">
        <v>83</v>
      </c>
      <c r="R664" s="23">
        <v>11100176</v>
      </c>
      <c r="S664" s="24">
        <v>46101</v>
      </c>
      <c r="T664" s="24">
        <v>46050</v>
      </c>
      <c r="U664" s="24">
        <v>47116</v>
      </c>
      <c r="X664" s="24">
        <v>46049</v>
      </c>
      <c r="Y664" s="23">
        <v>1111</v>
      </c>
      <c r="Z664" s="23">
        <v>11100320</v>
      </c>
      <c r="AA664" s="23">
        <v>3351</v>
      </c>
      <c r="AB664" s="24">
        <v>46050</v>
      </c>
    </row>
    <row r="665" spans="2:28" x14ac:dyDescent="0.2">
      <c r="C665" s="23">
        <v>1100575218</v>
      </c>
      <c r="E665" s="23">
        <v>140</v>
      </c>
      <c r="F665" s="23" t="s">
        <v>2948</v>
      </c>
      <c r="G665" s="23" t="s">
        <v>2949</v>
      </c>
      <c r="H665" s="24">
        <v>46101</v>
      </c>
      <c r="I665" s="24">
        <v>46101</v>
      </c>
      <c r="J665" s="23" t="s">
        <v>2945</v>
      </c>
      <c r="K665" s="23" t="s">
        <v>2945</v>
      </c>
      <c r="L665" s="23">
        <v>1</v>
      </c>
      <c r="M665" s="23" t="s">
        <v>78</v>
      </c>
      <c r="N665" s="23" t="s">
        <v>78</v>
      </c>
      <c r="O665" s="23">
        <v>450.55</v>
      </c>
      <c r="P665" s="23" t="s">
        <v>79</v>
      </c>
      <c r="Q665" s="23" t="s">
        <v>83</v>
      </c>
      <c r="R665" s="23">
        <v>11100176</v>
      </c>
      <c r="S665" s="24">
        <v>46101</v>
      </c>
      <c r="T665" s="24">
        <v>46050</v>
      </c>
      <c r="U665" s="24">
        <v>47116</v>
      </c>
      <c r="X665" s="24">
        <v>46049</v>
      </c>
      <c r="Y665" s="23">
        <v>1111</v>
      </c>
      <c r="Z665" s="23">
        <v>11100320</v>
      </c>
      <c r="AA665" s="23">
        <v>3351</v>
      </c>
      <c r="AB665" s="24">
        <v>46050</v>
      </c>
    </row>
    <row r="666" spans="2:28" x14ac:dyDescent="0.2">
      <c r="B666" s="23" t="s">
        <v>81</v>
      </c>
      <c r="C666" s="23">
        <v>1100575218</v>
      </c>
      <c r="H666" s="24">
        <v>46101</v>
      </c>
      <c r="O666" s="23">
        <v>2786.39</v>
      </c>
      <c r="P666" s="23" t="s">
        <v>79</v>
      </c>
    </row>
    <row r="667" spans="2:28" x14ac:dyDescent="0.2">
      <c r="C667" s="23">
        <v>1100575278</v>
      </c>
      <c r="E667" s="23">
        <v>20</v>
      </c>
      <c r="F667" s="23" t="s">
        <v>1806</v>
      </c>
      <c r="G667" s="23" t="s">
        <v>1807</v>
      </c>
      <c r="H667" s="24">
        <v>46101</v>
      </c>
      <c r="I667" s="24">
        <v>46101</v>
      </c>
      <c r="J667" s="23" t="s">
        <v>502</v>
      </c>
      <c r="K667" s="23" t="s">
        <v>502</v>
      </c>
      <c r="L667" s="23">
        <v>2</v>
      </c>
      <c r="M667" s="23" t="s">
        <v>78</v>
      </c>
      <c r="N667" s="23" t="s">
        <v>78</v>
      </c>
      <c r="O667" s="23">
        <v>2037.3</v>
      </c>
      <c r="P667" s="23" t="s">
        <v>79</v>
      </c>
      <c r="Q667" s="23" t="s">
        <v>83</v>
      </c>
      <c r="R667" s="23">
        <v>11100176</v>
      </c>
      <c r="S667" s="24">
        <v>46079</v>
      </c>
      <c r="T667" s="24">
        <v>46051</v>
      </c>
      <c r="U667" s="24">
        <v>47116</v>
      </c>
      <c r="X667" s="24">
        <v>46037</v>
      </c>
      <c r="Y667" s="23">
        <v>1111</v>
      </c>
      <c r="Z667" s="23">
        <v>11400797</v>
      </c>
      <c r="AA667" s="23">
        <v>335103</v>
      </c>
      <c r="AB667" s="24">
        <v>46050</v>
      </c>
    </row>
    <row r="668" spans="2:28" x14ac:dyDescent="0.2">
      <c r="B668" s="23" t="s">
        <v>81</v>
      </c>
      <c r="C668" s="23">
        <v>1100575278</v>
      </c>
      <c r="H668" s="24">
        <v>46101</v>
      </c>
      <c r="O668" s="23">
        <v>2037.3</v>
      </c>
      <c r="P668" s="23" t="s">
        <v>79</v>
      </c>
    </row>
    <row r="669" spans="2:28" x14ac:dyDescent="0.2">
      <c r="C669" s="23">
        <v>1100575591</v>
      </c>
      <c r="E669" s="23">
        <v>10</v>
      </c>
      <c r="F669" s="23" t="s">
        <v>2950</v>
      </c>
      <c r="G669" s="23" t="s">
        <v>2951</v>
      </c>
      <c r="H669" s="24">
        <v>46101</v>
      </c>
      <c r="I669" s="24">
        <v>46101</v>
      </c>
      <c r="J669" s="23" t="s">
        <v>2952</v>
      </c>
      <c r="K669" s="23" t="s">
        <v>2952</v>
      </c>
      <c r="L669" s="23">
        <v>4</v>
      </c>
      <c r="M669" s="23" t="s">
        <v>78</v>
      </c>
      <c r="N669" s="23" t="s">
        <v>78</v>
      </c>
      <c r="O669" s="23">
        <v>2732.48</v>
      </c>
      <c r="P669" s="23" t="s">
        <v>79</v>
      </c>
      <c r="Q669" s="23" t="s">
        <v>83</v>
      </c>
      <c r="R669" s="23">
        <v>11100176</v>
      </c>
      <c r="S669" s="24">
        <v>46080</v>
      </c>
      <c r="T669" s="24">
        <v>46052</v>
      </c>
      <c r="U669" s="24" t="s">
        <v>80</v>
      </c>
      <c r="X669" s="24">
        <v>46049</v>
      </c>
      <c r="Y669" s="23">
        <v>1111</v>
      </c>
      <c r="Z669" s="23">
        <v>11600001</v>
      </c>
      <c r="AA669" s="23">
        <v>505103</v>
      </c>
      <c r="AB669" s="24">
        <v>46052</v>
      </c>
    </row>
    <row r="670" spans="2:28" x14ac:dyDescent="0.2">
      <c r="B670" s="23" t="s">
        <v>81</v>
      </c>
      <c r="C670" s="23">
        <v>1100575591</v>
      </c>
      <c r="H670" s="24">
        <v>46101</v>
      </c>
      <c r="O670" s="23">
        <v>2732.48</v>
      </c>
      <c r="P670" s="23" t="s">
        <v>79</v>
      </c>
    </row>
    <row r="671" spans="2:28" x14ac:dyDescent="0.2">
      <c r="C671" s="23">
        <v>1100575982</v>
      </c>
      <c r="E671" s="23">
        <v>10</v>
      </c>
      <c r="F671" s="23" t="s">
        <v>757</v>
      </c>
      <c r="G671" s="23" t="s">
        <v>2806</v>
      </c>
      <c r="H671" s="24">
        <v>46101</v>
      </c>
      <c r="I671" s="24">
        <v>46101</v>
      </c>
      <c r="J671" s="23" t="s">
        <v>682</v>
      </c>
      <c r="K671" s="23" t="s">
        <v>682</v>
      </c>
      <c r="L671" s="23">
        <v>1</v>
      </c>
      <c r="M671" s="23" t="s">
        <v>78</v>
      </c>
      <c r="N671" s="23" t="s">
        <v>78</v>
      </c>
      <c r="O671" s="23">
        <v>892.55</v>
      </c>
      <c r="P671" s="23" t="s">
        <v>79</v>
      </c>
      <c r="Q671" s="23" t="s">
        <v>83</v>
      </c>
      <c r="R671" s="23">
        <v>11100176</v>
      </c>
      <c r="S671" s="24">
        <v>46065</v>
      </c>
      <c r="T671" s="24">
        <v>46058</v>
      </c>
      <c r="U671" s="24">
        <v>47116</v>
      </c>
      <c r="X671" s="24">
        <v>46057</v>
      </c>
      <c r="Y671" s="23">
        <v>1111</v>
      </c>
      <c r="Z671" s="23">
        <v>11400745</v>
      </c>
      <c r="AA671" s="23">
        <v>335103</v>
      </c>
      <c r="AB671" s="24">
        <v>46055</v>
      </c>
    </row>
    <row r="672" spans="2:28" x14ac:dyDescent="0.2">
      <c r="C672" s="23">
        <v>1100575982</v>
      </c>
      <c r="E672" s="23">
        <v>80</v>
      </c>
      <c r="F672" s="23" t="s">
        <v>2953</v>
      </c>
      <c r="G672" s="23" t="s">
        <v>2954</v>
      </c>
      <c r="H672" s="24">
        <v>46101</v>
      </c>
      <c r="I672" s="24">
        <v>46101</v>
      </c>
      <c r="J672" s="23" t="s">
        <v>682</v>
      </c>
      <c r="K672" s="23" t="s">
        <v>682</v>
      </c>
      <c r="L672" s="23">
        <v>1</v>
      </c>
      <c r="M672" s="23" t="s">
        <v>78</v>
      </c>
      <c r="N672" s="23" t="s">
        <v>78</v>
      </c>
      <c r="O672" s="23">
        <v>235.75</v>
      </c>
      <c r="P672" s="23" t="s">
        <v>79</v>
      </c>
      <c r="Q672" s="23" t="s">
        <v>83</v>
      </c>
      <c r="R672" s="23">
        <v>11100176</v>
      </c>
      <c r="S672" s="24">
        <v>46065</v>
      </c>
      <c r="T672" s="24">
        <v>46058</v>
      </c>
      <c r="U672" s="24">
        <v>47116</v>
      </c>
      <c r="X672" s="24">
        <v>46057</v>
      </c>
      <c r="Y672" s="23">
        <v>1111</v>
      </c>
      <c r="Z672" s="23">
        <v>11400745</v>
      </c>
      <c r="AA672" s="23">
        <v>335103</v>
      </c>
      <c r="AB672" s="24">
        <v>46055</v>
      </c>
    </row>
    <row r="673" spans="2:28" x14ac:dyDescent="0.2">
      <c r="C673" s="23">
        <v>1100575982</v>
      </c>
      <c r="E673" s="23">
        <v>120</v>
      </c>
      <c r="F673" s="23" t="s">
        <v>2955</v>
      </c>
      <c r="G673" s="23" t="s">
        <v>2956</v>
      </c>
      <c r="H673" s="24">
        <v>46101</v>
      </c>
      <c r="I673" s="24">
        <v>46101</v>
      </c>
      <c r="J673" s="23" t="s">
        <v>682</v>
      </c>
      <c r="K673" s="23" t="s">
        <v>682</v>
      </c>
      <c r="L673" s="23">
        <v>1</v>
      </c>
      <c r="M673" s="23" t="s">
        <v>78</v>
      </c>
      <c r="N673" s="23" t="s">
        <v>78</v>
      </c>
      <c r="O673" s="23">
        <v>4.3899999999999997</v>
      </c>
      <c r="P673" s="23" t="s">
        <v>79</v>
      </c>
      <c r="Q673" s="23" t="s">
        <v>83</v>
      </c>
      <c r="R673" s="23">
        <v>11100176</v>
      </c>
      <c r="S673" s="24">
        <v>46065</v>
      </c>
      <c r="T673" s="24">
        <v>46058</v>
      </c>
      <c r="U673" s="24">
        <v>47116</v>
      </c>
      <c r="X673" s="24">
        <v>46057</v>
      </c>
      <c r="Y673" s="23">
        <v>1111</v>
      </c>
      <c r="Z673" s="23">
        <v>11400745</v>
      </c>
      <c r="AA673" s="23">
        <v>335103</v>
      </c>
      <c r="AB673" s="24">
        <v>46055</v>
      </c>
    </row>
    <row r="674" spans="2:28" x14ac:dyDescent="0.2">
      <c r="B674" s="23" t="s">
        <v>81</v>
      </c>
      <c r="C674" s="23">
        <v>1100575982</v>
      </c>
      <c r="H674" s="24">
        <v>46101</v>
      </c>
      <c r="O674" s="23">
        <v>1132.69</v>
      </c>
      <c r="P674" s="23" t="s">
        <v>79</v>
      </c>
    </row>
    <row r="675" spans="2:28" x14ac:dyDescent="0.2">
      <c r="C675" s="23">
        <v>1100576029</v>
      </c>
      <c r="E675" s="23">
        <v>10</v>
      </c>
      <c r="F675" s="23" t="s">
        <v>2957</v>
      </c>
      <c r="G675" s="23" t="s">
        <v>2958</v>
      </c>
      <c r="H675" s="24">
        <v>46101</v>
      </c>
      <c r="I675" s="24">
        <v>46101</v>
      </c>
      <c r="J675" s="23" t="s">
        <v>98</v>
      </c>
      <c r="K675" s="23" t="s">
        <v>98</v>
      </c>
      <c r="L675" s="23">
        <v>1</v>
      </c>
      <c r="M675" s="23" t="s">
        <v>78</v>
      </c>
      <c r="N675" s="23" t="s">
        <v>78</v>
      </c>
      <c r="O675" s="23">
        <v>880.7</v>
      </c>
      <c r="P675" s="23" t="s">
        <v>79</v>
      </c>
      <c r="Q675" s="23" t="s">
        <v>83</v>
      </c>
      <c r="R675" s="23">
        <v>11100176</v>
      </c>
      <c r="S675" s="24">
        <v>46072</v>
      </c>
      <c r="T675" s="24">
        <v>46058</v>
      </c>
      <c r="U675" s="24" t="s">
        <v>80</v>
      </c>
      <c r="X675" s="24">
        <v>46052</v>
      </c>
      <c r="Y675" s="23">
        <v>1111</v>
      </c>
      <c r="Z675" s="23">
        <v>11600001</v>
      </c>
      <c r="AA675" s="23">
        <v>315103</v>
      </c>
      <c r="AB675" s="24">
        <v>46056</v>
      </c>
    </row>
    <row r="676" spans="2:28" x14ac:dyDescent="0.2">
      <c r="C676" s="23">
        <v>1100576029</v>
      </c>
      <c r="E676" s="23">
        <v>20</v>
      </c>
      <c r="F676" s="23" t="s">
        <v>2959</v>
      </c>
      <c r="G676" s="23" t="s">
        <v>2960</v>
      </c>
      <c r="H676" s="24">
        <v>46101</v>
      </c>
      <c r="I676" s="24">
        <v>46114</v>
      </c>
      <c r="J676" s="23" t="s">
        <v>98</v>
      </c>
      <c r="K676" s="23" t="s">
        <v>98</v>
      </c>
      <c r="L676" s="23">
        <v>1</v>
      </c>
      <c r="M676" s="23" t="s">
        <v>78</v>
      </c>
      <c r="N676" s="23" t="s">
        <v>78</v>
      </c>
      <c r="O676" s="23">
        <v>1814.25</v>
      </c>
      <c r="P676" s="23" t="s">
        <v>79</v>
      </c>
      <c r="Q676" s="23" t="s">
        <v>83</v>
      </c>
      <c r="R676" s="23">
        <v>11100176</v>
      </c>
      <c r="S676" s="24">
        <v>46100</v>
      </c>
      <c r="T676" s="24">
        <v>46058</v>
      </c>
      <c r="U676" s="24" t="s">
        <v>80</v>
      </c>
      <c r="X676" s="24">
        <v>46052</v>
      </c>
      <c r="Y676" s="23">
        <v>1111</v>
      </c>
      <c r="Z676" s="23">
        <v>11600001</v>
      </c>
      <c r="AA676" s="23">
        <v>315103</v>
      </c>
      <c r="AB676" s="24">
        <v>46056</v>
      </c>
    </row>
    <row r="677" spans="2:28" x14ac:dyDescent="0.2">
      <c r="C677" s="23">
        <v>1100576029</v>
      </c>
      <c r="E677" s="23">
        <v>30</v>
      </c>
      <c r="F677" s="23" t="s">
        <v>84</v>
      </c>
      <c r="G677" s="23" t="s">
        <v>123</v>
      </c>
      <c r="H677" s="24">
        <v>46101</v>
      </c>
      <c r="I677" s="24">
        <v>46101</v>
      </c>
      <c r="J677" s="23" t="s">
        <v>98</v>
      </c>
      <c r="K677" s="23" t="s">
        <v>98</v>
      </c>
      <c r="L677" s="23">
        <v>1</v>
      </c>
      <c r="M677" s="23" t="s">
        <v>78</v>
      </c>
      <c r="N677" s="23" t="s">
        <v>78</v>
      </c>
      <c r="O677" s="23">
        <v>0.01</v>
      </c>
      <c r="P677" s="23" t="s">
        <v>79</v>
      </c>
      <c r="Q677" s="23" t="s">
        <v>83</v>
      </c>
      <c r="R677" s="23">
        <v>11100176</v>
      </c>
      <c r="S677" s="24" t="s">
        <v>80</v>
      </c>
      <c r="T677" s="24">
        <v>46058</v>
      </c>
      <c r="U677" s="24" t="s">
        <v>80</v>
      </c>
      <c r="X677" s="24">
        <v>46052</v>
      </c>
      <c r="Y677" s="23">
        <v>1111</v>
      </c>
      <c r="Z677" s="23">
        <v>11600001</v>
      </c>
      <c r="AA677" s="23">
        <v>315103</v>
      </c>
      <c r="AB677" s="24">
        <v>46056</v>
      </c>
    </row>
    <row r="678" spans="2:28" x14ac:dyDescent="0.2">
      <c r="B678" s="23" t="s">
        <v>81</v>
      </c>
      <c r="C678" s="23">
        <v>1100576029</v>
      </c>
      <c r="H678" s="24">
        <v>46101</v>
      </c>
      <c r="O678" s="23">
        <v>2694.96</v>
      </c>
      <c r="P678" s="23" t="s">
        <v>79</v>
      </c>
    </row>
    <row r="679" spans="2:28" x14ac:dyDescent="0.2">
      <c r="C679" s="23">
        <v>1100576072</v>
      </c>
      <c r="E679" s="23">
        <v>10</v>
      </c>
      <c r="F679" s="23" t="s">
        <v>2961</v>
      </c>
      <c r="G679" s="23" t="s">
        <v>2962</v>
      </c>
      <c r="H679" s="24">
        <v>46101</v>
      </c>
      <c r="I679" s="24">
        <v>46101</v>
      </c>
      <c r="J679" s="23" t="s">
        <v>2963</v>
      </c>
      <c r="K679" s="23" t="s">
        <v>2963</v>
      </c>
      <c r="L679" s="23">
        <v>1</v>
      </c>
      <c r="M679" s="23" t="s">
        <v>78</v>
      </c>
      <c r="N679" s="23" t="s">
        <v>78</v>
      </c>
      <c r="O679" s="23">
        <v>702.4</v>
      </c>
      <c r="P679" s="23" t="s">
        <v>79</v>
      </c>
      <c r="Q679" s="23" t="s">
        <v>83</v>
      </c>
      <c r="R679" s="23">
        <v>11100176</v>
      </c>
      <c r="S679" s="24">
        <v>46101</v>
      </c>
      <c r="T679" s="24">
        <v>46058</v>
      </c>
      <c r="U679" s="24" t="s">
        <v>80</v>
      </c>
      <c r="X679" s="24">
        <v>45965</v>
      </c>
      <c r="Y679" s="23">
        <v>1111</v>
      </c>
      <c r="Z679" s="23">
        <v>11400704</v>
      </c>
      <c r="AA679" s="23">
        <v>3951</v>
      </c>
      <c r="AB679" s="24">
        <v>45965</v>
      </c>
    </row>
    <row r="680" spans="2:28" x14ac:dyDescent="0.2">
      <c r="C680" s="23">
        <v>1100576072</v>
      </c>
      <c r="E680" s="23">
        <v>20</v>
      </c>
      <c r="F680" s="23" t="s">
        <v>82</v>
      </c>
      <c r="G680" s="23" t="s">
        <v>139</v>
      </c>
      <c r="H680" s="24">
        <v>46101</v>
      </c>
      <c r="I680" s="24">
        <v>46101</v>
      </c>
      <c r="J680" s="23" t="s">
        <v>2963</v>
      </c>
      <c r="K680" s="23" t="s">
        <v>2963</v>
      </c>
      <c r="L680" s="23">
        <v>1</v>
      </c>
      <c r="M680" s="23" t="s">
        <v>78</v>
      </c>
      <c r="N680" s="23" t="s">
        <v>78</v>
      </c>
      <c r="O680" s="23">
        <v>0.01</v>
      </c>
      <c r="P680" s="23" t="s">
        <v>79</v>
      </c>
      <c r="Q680" s="23" t="s">
        <v>83</v>
      </c>
      <c r="R680" s="23">
        <v>11100176</v>
      </c>
      <c r="S680" s="24" t="s">
        <v>80</v>
      </c>
      <c r="T680" s="24">
        <v>46058</v>
      </c>
      <c r="U680" s="24" t="s">
        <v>80</v>
      </c>
      <c r="X680" s="24">
        <v>45965</v>
      </c>
      <c r="Y680" s="23">
        <v>1111</v>
      </c>
      <c r="Z680" s="23">
        <v>11400704</v>
      </c>
      <c r="AA680" s="23">
        <v>3951</v>
      </c>
      <c r="AB680" s="24">
        <v>45965</v>
      </c>
    </row>
    <row r="681" spans="2:28" x14ac:dyDescent="0.2">
      <c r="B681" s="23" t="s">
        <v>81</v>
      </c>
      <c r="C681" s="23">
        <v>1100576072</v>
      </c>
      <c r="H681" s="24">
        <v>46101</v>
      </c>
      <c r="O681" s="23">
        <v>702.41</v>
      </c>
      <c r="P681" s="23" t="s">
        <v>79</v>
      </c>
    </row>
    <row r="682" spans="2:28" x14ac:dyDescent="0.2">
      <c r="C682" s="23">
        <v>1100576089</v>
      </c>
      <c r="E682" s="23">
        <v>10</v>
      </c>
      <c r="F682" s="23" t="s">
        <v>2964</v>
      </c>
      <c r="G682" s="23" t="s">
        <v>2965</v>
      </c>
      <c r="H682" s="24">
        <v>46101</v>
      </c>
      <c r="I682" s="24">
        <v>46101</v>
      </c>
      <c r="J682" s="23" t="s">
        <v>1898</v>
      </c>
      <c r="K682" s="23" t="s">
        <v>1898</v>
      </c>
      <c r="L682" s="23">
        <v>2</v>
      </c>
      <c r="M682" s="23" t="s">
        <v>78</v>
      </c>
      <c r="N682" s="23" t="s">
        <v>78</v>
      </c>
      <c r="O682" s="23">
        <v>2096</v>
      </c>
      <c r="P682" s="23" t="s">
        <v>79</v>
      </c>
      <c r="Q682" s="23" t="s">
        <v>83</v>
      </c>
      <c r="R682" s="23">
        <v>11100176</v>
      </c>
      <c r="S682" s="24">
        <v>46114</v>
      </c>
      <c r="T682" s="24">
        <v>46059</v>
      </c>
      <c r="U682" s="24" t="s">
        <v>80</v>
      </c>
      <c r="X682" s="24">
        <v>46058</v>
      </c>
      <c r="Y682" s="23">
        <v>1111</v>
      </c>
      <c r="Z682" s="23">
        <v>11400745</v>
      </c>
      <c r="AA682" s="23">
        <v>3351</v>
      </c>
      <c r="AB682" s="24">
        <v>46058</v>
      </c>
    </row>
    <row r="683" spans="2:28" x14ac:dyDescent="0.2">
      <c r="C683" s="23">
        <v>1100576089</v>
      </c>
      <c r="E683" s="23">
        <v>20</v>
      </c>
      <c r="F683" s="23" t="s">
        <v>82</v>
      </c>
      <c r="G683" s="23" t="s">
        <v>139</v>
      </c>
      <c r="H683" s="24">
        <v>46101</v>
      </c>
      <c r="I683" s="24">
        <v>46101</v>
      </c>
      <c r="J683" s="23" t="s">
        <v>1898</v>
      </c>
      <c r="K683" s="23" t="s">
        <v>1898</v>
      </c>
      <c r="L683" s="23">
        <v>1</v>
      </c>
      <c r="M683" s="23" t="s">
        <v>78</v>
      </c>
      <c r="N683" s="23" t="s">
        <v>78</v>
      </c>
      <c r="O683" s="23">
        <v>0.01</v>
      </c>
      <c r="P683" s="23" t="s">
        <v>79</v>
      </c>
      <c r="Q683" s="23" t="s">
        <v>83</v>
      </c>
      <c r="R683" s="23">
        <v>11100176</v>
      </c>
      <c r="S683" s="24" t="s">
        <v>80</v>
      </c>
      <c r="T683" s="24">
        <v>46059</v>
      </c>
      <c r="U683" s="24" t="s">
        <v>80</v>
      </c>
      <c r="X683" s="24">
        <v>46058</v>
      </c>
      <c r="Y683" s="23">
        <v>1111</v>
      </c>
      <c r="Z683" s="23">
        <v>11400745</v>
      </c>
      <c r="AA683" s="23">
        <v>3351</v>
      </c>
      <c r="AB683" s="24">
        <v>46058</v>
      </c>
    </row>
    <row r="684" spans="2:28" x14ac:dyDescent="0.2">
      <c r="B684" s="23" t="s">
        <v>81</v>
      </c>
      <c r="C684" s="23">
        <v>1100576089</v>
      </c>
      <c r="H684" s="24">
        <v>46101</v>
      </c>
      <c r="O684" s="23">
        <v>2096.0100000000002</v>
      </c>
      <c r="P684" s="23" t="s">
        <v>79</v>
      </c>
    </row>
    <row r="685" spans="2:28" x14ac:dyDescent="0.2">
      <c r="C685" s="23">
        <v>1100576113</v>
      </c>
      <c r="E685" s="23">
        <v>10</v>
      </c>
      <c r="F685" s="23" t="s">
        <v>2257</v>
      </c>
      <c r="G685" s="23" t="s">
        <v>2258</v>
      </c>
      <c r="H685" s="24">
        <v>46101</v>
      </c>
      <c r="I685" s="24">
        <v>46101</v>
      </c>
      <c r="J685" s="23" t="s">
        <v>1066</v>
      </c>
      <c r="K685" s="23" t="s">
        <v>1066</v>
      </c>
      <c r="L685" s="23">
        <v>1</v>
      </c>
      <c r="M685" s="23" t="s">
        <v>78</v>
      </c>
      <c r="N685" s="23" t="s">
        <v>78</v>
      </c>
      <c r="O685" s="23">
        <v>47.15</v>
      </c>
      <c r="P685" s="23" t="s">
        <v>79</v>
      </c>
      <c r="Q685" s="23" t="s">
        <v>83</v>
      </c>
      <c r="R685" s="23">
        <v>11100176</v>
      </c>
      <c r="S685" s="24">
        <v>46087</v>
      </c>
      <c r="T685" s="24">
        <v>46059</v>
      </c>
      <c r="U685" s="24" t="s">
        <v>80</v>
      </c>
      <c r="X685" s="24">
        <v>46057</v>
      </c>
      <c r="Y685" s="23">
        <v>1111</v>
      </c>
      <c r="Z685" s="23">
        <v>11600003</v>
      </c>
      <c r="AA685" s="23">
        <v>335103</v>
      </c>
      <c r="AB685" s="24">
        <v>45936</v>
      </c>
    </row>
    <row r="686" spans="2:28" x14ac:dyDescent="0.2">
      <c r="C686" s="23">
        <v>1100576113</v>
      </c>
      <c r="E686" s="23">
        <v>20</v>
      </c>
      <c r="F686" s="23" t="s">
        <v>2966</v>
      </c>
      <c r="G686" s="23" t="s">
        <v>2967</v>
      </c>
      <c r="H686" s="24">
        <v>46101</v>
      </c>
      <c r="I686" s="24">
        <v>46101</v>
      </c>
      <c r="J686" s="23" t="s">
        <v>1066</v>
      </c>
      <c r="K686" s="23" t="s">
        <v>1066</v>
      </c>
      <c r="L686" s="23">
        <v>8</v>
      </c>
      <c r="M686" s="23" t="s">
        <v>78</v>
      </c>
      <c r="N686" s="23" t="s">
        <v>78</v>
      </c>
      <c r="O686" s="23">
        <v>359.68</v>
      </c>
      <c r="P686" s="23" t="s">
        <v>79</v>
      </c>
      <c r="Q686" s="23" t="s">
        <v>83</v>
      </c>
      <c r="R686" s="23">
        <v>11100176</v>
      </c>
      <c r="S686" s="24">
        <v>46087</v>
      </c>
      <c r="T686" s="24">
        <v>46059</v>
      </c>
      <c r="U686" s="24" t="s">
        <v>80</v>
      </c>
      <c r="X686" s="24">
        <v>46057</v>
      </c>
      <c r="Y686" s="23">
        <v>1111</v>
      </c>
      <c r="Z686" s="23">
        <v>11600003</v>
      </c>
      <c r="AA686" s="23">
        <v>335103</v>
      </c>
      <c r="AB686" s="24">
        <v>45936</v>
      </c>
    </row>
    <row r="687" spans="2:28" x14ac:dyDescent="0.2">
      <c r="C687" s="23">
        <v>1100576113</v>
      </c>
      <c r="E687" s="23">
        <v>30</v>
      </c>
      <c r="F687" s="23" t="s">
        <v>1733</v>
      </c>
      <c r="G687" s="23" t="s">
        <v>1734</v>
      </c>
      <c r="H687" s="24">
        <v>46101</v>
      </c>
      <c r="I687" s="24">
        <v>46101</v>
      </c>
      <c r="J687" s="23" t="s">
        <v>1066</v>
      </c>
      <c r="K687" s="23" t="s">
        <v>1066</v>
      </c>
      <c r="L687" s="23">
        <v>1</v>
      </c>
      <c r="M687" s="23" t="s">
        <v>78</v>
      </c>
      <c r="N687" s="23" t="s">
        <v>78</v>
      </c>
      <c r="O687" s="23">
        <v>1343.21</v>
      </c>
      <c r="P687" s="23" t="s">
        <v>79</v>
      </c>
      <c r="Q687" s="23" t="s">
        <v>83</v>
      </c>
      <c r="R687" s="23">
        <v>11100176</v>
      </c>
      <c r="S687" s="24">
        <v>46087</v>
      </c>
      <c r="T687" s="24">
        <v>46059</v>
      </c>
      <c r="U687" s="24" t="s">
        <v>80</v>
      </c>
      <c r="X687" s="24">
        <v>46057</v>
      </c>
      <c r="Y687" s="23">
        <v>1111</v>
      </c>
      <c r="Z687" s="23">
        <v>11600003</v>
      </c>
      <c r="AA687" s="23">
        <v>335103</v>
      </c>
      <c r="AB687" s="24">
        <v>45936</v>
      </c>
    </row>
    <row r="688" spans="2:28" x14ac:dyDescent="0.2">
      <c r="C688" s="23">
        <v>1100576113</v>
      </c>
      <c r="E688" s="23">
        <v>40</v>
      </c>
      <c r="F688" s="23" t="s">
        <v>2259</v>
      </c>
      <c r="G688" s="23" t="s">
        <v>2968</v>
      </c>
      <c r="H688" s="24">
        <v>46101</v>
      </c>
      <c r="I688" s="24">
        <v>46101</v>
      </c>
      <c r="J688" s="23" t="s">
        <v>1066</v>
      </c>
      <c r="K688" s="23" t="s">
        <v>1066</v>
      </c>
      <c r="L688" s="23">
        <v>2</v>
      </c>
      <c r="M688" s="23" t="s">
        <v>78</v>
      </c>
      <c r="N688" s="23" t="s">
        <v>78</v>
      </c>
      <c r="O688" s="23">
        <v>427.64</v>
      </c>
      <c r="P688" s="23" t="s">
        <v>79</v>
      </c>
      <c r="Q688" s="23" t="s">
        <v>83</v>
      </c>
      <c r="R688" s="23">
        <v>11100176</v>
      </c>
      <c r="S688" s="24">
        <v>46087</v>
      </c>
      <c r="T688" s="24">
        <v>46059</v>
      </c>
      <c r="U688" s="24" t="s">
        <v>80</v>
      </c>
      <c r="X688" s="24">
        <v>46057</v>
      </c>
      <c r="Y688" s="23">
        <v>1111</v>
      </c>
      <c r="Z688" s="23">
        <v>11600003</v>
      </c>
      <c r="AA688" s="23">
        <v>335103</v>
      </c>
      <c r="AB688" s="24">
        <v>45936</v>
      </c>
    </row>
    <row r="689" spans="2:28" x14ac:dyDescent="0.2">
      <c r="C689" s="23">
        <v>1100576113</v>
      </c>
      <c r="E689" s="23">
        <v>50</v>
      </c>
      <c r="F689" s="23" t="s">
        <v>2255</v>
      </c>
      <c r="G689" s="23" t="s">
        <v>2256</v>
      </c>
      <c r="H689" s="24">
        <v>46101</v>
      </c>
      <c r="I689" s="24">
        <v>46101</v>
      </c>
      <c r="J689" s="23" t="s">
        <v>1066</v>
      </c>
      <c r="K689" s="23" t="s">
        <v>1066</v>
      </c>
      <c r="L689" s="23">
        <v>1</v>
      </c>
      <c r="M689" s="23" t="s">
        <v>78</v>
      </c>
      <c r="N689" s="23" t="s">
        <v>78</v>
      </c>
      <c r="O689" s="23">
        <v>52.63</v>
      </c>
      <c r="P689" s="23" t="s">
        <v>79</v>
      </c>
      <c r="Q689" s="23" t="s">
        <v>83</v>
      </c>
      <c r="R689" s="23">
        <v>11100176</v>
      </c>
      <c r="S689" s="24">
        <v>46087</v>
      </c>
      <c r="T689" s="24">
        <v>46059</v>
      </c>
      <c r="U689" s="24" t="s">
        <v>80</v>
      </c>
      <c r="X689" s="24">
        <v>46057</v>
      </c>
      <c r="Y689" s="23">
        <v>1111</v>
      </c>
      <c r="Z689" s="23">
        <v>11600003</v>
      </c>
      <c r="AA689" s="23">
        <v>335103</v>
      </c>
      <c r="AB689" s="24">
        <v>45936</v>
      </c>
    </row>
    <row r="690" spans="2:28" x14ac:dyDescent="0.2">
      <c r="C690" s="23">
        <v>1100576113</v>
      </c>
      <c r="E690" s="23">
        <v>60</v>
      </c>
      <c r="F690" s="23" t="s">
        <v>1883</v>
      </c>
      <c r="G690" s="23" t="s">
        <v>1884</v>
      </c>
      <c r="H690" s="24">
        <v>46101</v>
      </c>
      <c r="I690" s="24">
        <v>46101</v>
      </c>
      <c r="J690" s="23" t="s">
        <v>1066</v>
      </c>
      <c r="K690" s="23" t="s">
        <v>1066</v>
      </c>
      <c r="L690" s="23">
        <v>2</v>
      </c>
      <c r="M690" s="23" t="s">
        <v>78</v>
      </c>
      <c r="N690" s="23" t="s">
        <v>78</v>
      </c>
      <c r="O690" s="23">
        <v>649.05999999999995</v>
      </c>
      <c r="P690" s="23" t="s">
        <v>79</v>
      </c>
      <c r="Q690" s="23" t="s">
        <v>83</v>
      </c>
      <c r="R690" s="23">
        <v>11100176</v>
      </c>
      <c r="S690" s="24">
        <v>46087</v>
      </c>
      <c r="T690" s="24">
        <v>46059</v>
      </c>
      <c r="U690" s="24" t="s">
        <v>80</v>
      </c>
      <c r="X690" s="24">
        <v>46057</v>
      </c>
      <c r="Y690" s="23">
        <v>1111</v>
      </c>
      <c r="Z690" s="23">
        <v>11600003</v>
      </c>
      <c r="AA690" s="23">
        <v>335103</v>
      </c>
      <c r="AB690" s="24">
        <v>45936</v>
      </c>
    </row>
    <row r="691" spans="2:28" x14ac:dyDescent="0.2">
      <c r="C691" s="23">
        <v>1100576113</v>
      </c>
      <c r="E691" s="23">
        <v>70</v>
      </c>
      <c r="F691" s="23" t="s">
        <v>209</v>
      </c>
      <c r="G691" s="23" t="s">
        <v>210</v>
      </c>
      <c r="H691" s="24">
        <v>46101</v>
      </c>
      <c r="I691" s="24">
        <v>46101</v>
      </c>
      <c r="J691" s="23" t="s">
        <v>1066</v>
      </c>
      <c r="K691" s="23" t="s">
        <v>1066</v>
      </c>
      <c r="L691" s="23">
        <v>1</v>
      </c>
      <c r="M691" s="23" t="s">
        <v>78</v>
      </c>
      <c r="N691" s="23" t="s">
        <v>78</v>
      </c>
      <c r="O691" s="23">
        <v>0.01</v>
      </c>
      <c r="P691" s="23" t="s">
        <v>79</v>
      </c>
      <c r="Q691" s="23" t="s">
        <v>83</v>
      </c>
      <c r="R691" s="23">
        <v>11100176</v>
      </c>
      <c r="S691" s="24">
        <v>46087</v>
      </c>
      <c r="T691" s="24">
        <v>46059</v>
      </c>
      <c r="U691" s="24" t="s">
        <v>80</v>
      </c>
      <c r="X691" s="24">
        <v>46057</v>
      </c>
      <c r="Y691" s="23">
        <v>1111</v>
      </c>
      <c r="Z691" s="23">
        <v>11600003</v>
      </c>
      <c r="AA691" s="23">
        <v>335103</v>
      </c>
      <c r="AB691" s="24">
        <v>45936</v>
      </c>
    </row>
    <row r="692" spans="2:28" x14ac:dyDescent="0.2">
      <c r="B692" s="23" t="s">
        <v>81</v>
      </c>
      <c r="C692" s="23">
        <v>1100576113</v>
      </c>
      <c r="H692" s="24">
        <v>46101</v>
      </c>
      <c r="O692" s="23">
        <v>2879.38</v>
      </c>
      <c r="P692" s="23" t="s">
        <v>79</v>
      </c>
    </row>
    <row r="693" spans="2:28" x14ac:dyDescent="0.2">
      <c r="C693" s="23">
        <v>1100576121</v>
      </c>
      <c r="E693" s="23">
        <v>10</v>
      </c>
      <c r="F693" s="23" t="s">
        <v>124</v>
      </c>
      <c r="G693" s="23" t="s">
        <v>125</v>
      </c>
      <c r="H693" s="24">
        <v>46101</v>
      </c>
      <c r="I693" s="24">
        <v>46101</v>
      </c>
      <c r="J693" s="23" t="s">
        <v>1084</v>
      </c>
      <c r="K693" s="23" t="s">
        <v>1084</v>
      </c>
      <c r="L693" s="23">
        <v>4</v>
      </c>
      <c r="M693" s="23" t="s">
        <v>78</v>
      </c>
      <c r="N693" s="23" t="s">
        <v>78</v>
      </c>
      <c r="O693" s="23">
        <v>5483.32</v>
      </c>
      <c r="P693" s="23" t="s">
        <v>79</v>
      </c>
      <c r="Q693" s="23" t="s">
        <v>83</v>
      </c>
      <c r="R693" s="23">
        <v>11100176</v>
      </c>
      <c r="S693" s="24">
        <v>46101</v>
      </c>
      <c r="T693" s="24">
        <v>46059</v>
      </c>
      <c r="U693" s="24" t="s">
        <v>80</v>
      </c>
      <c r="X693" s="24">
        <v>46055</v>
      </c>
      <c r="Y693" s="23">
        <v>1111</v>
      </c>
      <c r="Z693" s="23">
        <v>11400937</v>
      </c>
      <c r="AA693" s="23">
        <v>3351</v>
      </c>
      <c r="AB693" s="24">
        <v>46055</v>
      </c>
    </row>
    <row r="694" spans="2:28" x14ac:dyDescent="0.2">
      <c r="C694" s="23">
        <v>1100576121</v>
      </c>
      <c r="E694" s="23">
        <v>20</v>
      </c>
      <c r="F694" s="23" t="s">
        <v>82</v>
      </c>
      <c r="G694" s="23" t="s">
        <v>139</v>
      </c>
      <c r="H694" s="24">
        <v>46101</v>
      </c>
      <c r="I694" s="24">
        <v>46101</v>
      </c>
      <c r="J694" s="23" t="s">
        <v>1084</v>
      </c>
      <c r="K694" s="23" t="s">
        <v>1084</v>
      </c>
      <c r="L694" s="23">
        <v>1</v>
      </c>
      <c r="M694" s="23" t="s">
        <v>78</v>
      </c>
      <c r="N694" s="23" t="s">
        <v>78</v>
      </c>
      <c r="O694" s="23">
        <v>0.01</v>
      </c>
      <c r="P694" s="23" t="s">
        <v>79</v>
      </c>
      <c r="Q694" s="23" t="s">
        <v>83</v>
      </c>
      <c r="R694" s="23">
        <v>11100176</v>
      </c>
      <c r="S694" s="24" t="s">
        <v>80</v>
      </c>
      <c r="T694" s="24">
        <v>46059</v>
      </c>
      <c r="U694" s="24" t="s">
        <v>80</v>
      </c>
      <c r="X694" s="24">
        <v>46055</v>
      </c>
      <c r="Y694" s="23">
        <v>1111</v>
      </c>
      <c r="Z694" s="23">
        <v>11400937</v>
      </c>
      <c r="AA694" s="23">
        <v>3351</v>
      </c>
      <c r="AB694" s="24">
        <v>46055</v>
      </c>
    </row>
    <row r="695" spans="2:28" x14ac:dyDescent="0.2">
      <c r="B695" s="23" t="s">
        <v>81</v>
      </c>
      <c r="C695" s="23">
        <v>1100576121</v>
      </c>
      <c r="H695" s="24">
        <v>46101</v>
      </c>
      <c r="O695" s="23">
        <v>5483.33</v>
      </c>
      <c r="P695" s="23" t="s">
        <v>79</v>
      </c>
    </row>
    <row r="696" spans="2:28" x14ac:dyDescent="0.2">
      <c r="C696" s="23">
        <v>1100576175</v>
      </c>
      <c r="E696" s="23">
        <v>10</v>
      </c>
      <c r="F696" s="23" t="s">
        <v>2969</v>
      </c>
      <c r="G696" s="23" t="s">
        <v>2970</v>
      </c>
      <c r="H696" s="24">
        <v>46101</v>
      </c>
      <c r="I696" s="24">
        <v>46101</v>
      </c>
      <c r="J696" s="23" t="s">
        <v>732</v>
      </c>
      <c r="K696" s="23" t="s">
        <v>732</v>
      </c>
      <c r="L696" s="23">
        <v>1</v>
      </c>
      <c r="M696" s="23" t="s">
        <v>78</v>
      </c>
      <c r="N696" s="23" t="s">
        <v>78</v>
      </c>
      <c r="O696" s="23">
        <v>378</v>
      </c>
      <c r="P696" s="23" t="s">
        <v>79</v>
      </c>
      <c r="Q696" s="23" t="s">
        <v>83</v>
      </c>
      <c r="R696" s="23">
        <v>11100176</v>
      </c>
      <c r="S696" s="24">
        <v>46101</v>
      </c>
      <c r="T696" s="24">
        <v>46059</v>
      </c>
      <c r="U696" s="24" t="s">
        <v>80</v>
      </c>
      <c r="X696" s="24">
        <v>46058</v>
      </c>
      <c r="Y696" s="23">
        <v>1111</v>
      </c>
      <c r="Z696" s="23">
        <v>11600001</v>
      </c>
      <c r="AA696" s="23">
        <v>3351</v>
      </c>
      <c r="AB696" s="24">
        <v>46044</v>
      </c>
    </row>
    <row r="697" spans="2:28" x14ac:dyDescent="0.2">
      <c r="B697" s="23" t="s">
        <v>81</v>
      </c>
      <c r="C697" s="23">
        <v>1100576175</v>
      </c>
      <c r="H697" s="24">
        <v>46101</v>
      </c>
      <c r="O697" s="23">
        <v>378</v>
      </c>
      <c r="P697" s="23" t="s">
        <v>79</v>
      </c>
    </row>
    <row r="698" spans="2:28" x14ac:dyDescent="0.2">
      <c r="C698" s="23">
        <v>1100576180</v>
      </c>
      <c r="E698" s="23">
        <v>10</v>
      </c>
      <c r="F698" s="23" t="s">
        <v>702</v>
      </c>
      <c r="G698" s="23" t="s">
        <v>1797</v>
      </c>
      <c r="H698" s="24">
        <v>46101</v>
      </c>
      <c r="I698" s="24">
        <v>46101</v>
      </c>
      <c r="J698" s="23" t="s">
        <v>147</v>
      </c>
      <c r="K698" s="23" t="s">
        <v>147</v>
      </c>
      <c r="L698" s="23">
        <v>4</v>
      </c>
      <c r="M698" s="23" t="s">
        <v>78</v>
      </c>
      <c r="N698" s="23" t="s">
        <v>78</v>
      </c>
      <c r="O698" s="23">
        <v>513.16</v>
      </c>
      <c r="P698" s="23" t="s">
        <v>79</v>
      </c>
      <c r="Q698" s="23" t="s">
        <v>83</v>
      </c>
      <c r="R698" s="23">
        <v>11100176</v>
      </c>
      <c r="S698" s="24">
        <v>46101</v>
      </c>
      <c r="T698" s="24">
        <v>46059</v>
      </c>
      <c r="U698" s="24">
        <v>47116</v>
      </c>
      <c r="X698" s="24">
        <v>46058</v>
      </c>
      <c r="Y698" s="23">
        <v>1111</v>
      </c>
      <c r="Z698" s="23">
        <v>11400606</v>
      </c>
      <c r="AA698" s="23">
        <v>3351</v>
      </c>
      <c r="AB698" s="24">
        <v>46038</v>
      </c>
    </row>
    <row r="699" spans="2:28" x14ac:dyDescent="0.2">
      <c r="C699" s="23">
        <v>1100576180</v>
      </c>
      <c r="E699" s="23">
        <v>50</v>
      </c>
      <c r="F699" s="23" t="s">
        <v>1991</v>
      </c>
      <c r="G699" s="23" t="s">
        <v>1992</v>
      </c>
      <c r="H699" s="24">
        <v>46101</v>
      </c>
      <c r="I699" s="24">
        <v>46101</v>
      </c>
      <c r="J699" s="23" t="s">
        <v>147</v>
      </c>
      <c r="K699" s="23" t="s">
        <v>147</v>
      </c>
      <c r="L699" s="23">
        <v>1</v>
      </c>
      <c r="M699" s="23" t="s">
        <v>78</v>
      </c>
      <c r="N699" s="23" t="s">
        <v>78</v>
      </c>
      <c r="O699" s="23">
        <v>107.46</v>
      </c>
      <c r="P699" s="23" t="s">
        <v>79</v>
      </c>
      <c r="Q699" s="23" t="s">
        <v>83</v>
      </c>
      <c r="R699" s="23">
        <v>11100176</v>
      </c>
      <c r="S699" s="24">
        <v>46066</v>
      </c>
      <c r="T699" s="24">
        <v>46059</v>
      </c>
      <c r="U699" s="24">
        <v>47116</v>
      </c>
      <c r="X699" s="24">
        <v>46058</v>
      </c>
      <c r="Y699" s="23">
        <v>1111</v>
      </c>
      <c r="Z699" s="23">
        <v>11400606</v>
      </c>
      <c r="AA699" s="23">
        <v>3351</v>
      </c>
      <c r="AB699" s="24">
        <v>46038</v>
      </c>
    </row>
    <row r="700" spans="2:28" x14ac:dyDescent="0.2">
      <c r="B700" s="23" t="s">
        <v>81</v>
      </c>
      <c r="C700" s="23">
        <v>1100576180</v>
      </c>
      <c r="H700" s="24">
        <v>46101</v>
      </c>
      <c r="O700" s="23">
        <v>620.62</v>
      </c>
      <c r="P700" s="23" t="s">
        <v>79</v>
      </c>
    </row>
    <row r="701" spans="2:28" x14ac:dyDescent="0.2">
      <c r="C701" s="23">
        <v>1100576182</v>
      </c>
      <c r="E701" s="23">
        <v>10</v>
      </c>
      <c r="F701" s="23" t="s">
        <v>1976</v>
      </c>
      <c r="G701" s="23" t="s">
        <v>1977</v>
      </c>
      <c r="H701" s="24">
        <v>46101</v>
      </c>
      <c r="I701" s="24">
        <v>46101</v>
      </c>
      <c r="J701" s="23" t="s">
        <v>1882</v>
      </c>
      <c r="K701" s="23" t="s">
        <v>1882</v>
      </c>
      <c r="L701" s="23">
        <v>2</v>
      </c>
      <c r="M701" s="23" t="s">
        <v>78</v>
      </c>
      <c r="N701" s="23" t="s">
        <v>78</v>
      </c>
      <c r="O701" s="23">
        <v>1160</v>
      </c>
      <c r="P701" s="23" t="s">
        <v>79</v>
      </c>
      <c r="Q701" s="23" t="s">
        <v>83</v>
      </c>
      <c r="R701" s="23">
        <v>11100176</v>
      </c>
      <c r="S701" s="24">
        <v>46101</v>
      </c>
      <c r="T701" s="24">
        <v>46059</v>
      </c>
      <c r="U701" s="24" t="s">
        <v>80</v>
      </c>
      <c r="X701" s="24">
        <v>46058</v>
      </c>
      <c r="Y701" s="23">
        <v>1111</v>
      </c>
      <c r="Z701" s="23">
        <v>11600003</v>
      </c>
      <c r="AA701" s="23">
        <v>335103</v>
      </c>
      <c r="AB701" s="24">
        <v>46058</v>
      </c>
    </row>
    <row r="702" spans="2:28" x14ac:dyDescent="0.2">
      <c r="C702" s="23">
        <v>1100576182</v>
      </c>
      <c r="E702" s="23">
        <v>20</v>
      </c>
      <c r="F702" s="23" t="s">
        <v>845</v>
      </c>
      <c r="G702" s="23" t="s">
        <v>846</v>
      </c>
      <c r="H702" s="24">
        <v>46101</v>
      </c>
      <c r="I702" s="24">
        <v>46101</v>
      </c>
      <c r="J702" s="23" t="s">
        <v>1882</v>
      </c>
      <c r="K702" s="23" t="s">
        <v>1882</v>
      </c>
      <c r="L702" s="23">
        <v>2</v>
      </c>
      <c r="M702" s="23" t="s">
        <v>78</v>
      </c>
      <c r="N702" s="23" t="s">
        <v>78</v>
      </c>
      <c r="O702" s="23">
        <v>932.02</v>
      </c>
      <c r="P702" s="23" t="s">
        <v>79</v>
      </c>
      <c r="Q702" s="23" t="s">
        <v>83</v>
      </c>
      <c r="R702" s="23">
        <v>11100176</v>
      </c>
      <c r="S702" s="24">
        <v>46101</v>
      </c>
      <c r="T702" s="24">
        <v>46059</v>
      </c>
      <c r="U702" s="24" t="s">
        <v>80</v>
      </c>
      <c r="X702" s="24">
        <v>46058</v>
      </c>
      <c r="Y702" s="23">
        <v>1111</v>
      </c>
      <c r="Z702" s="23">
        <v>11600003</v>
      </c>
      <c r="AA702" s="23">
        <v>335103</v>
      </c>
      <c r="AB702" s="24">
        <v>46058</v>
      </c>
    </row>
    <row r="703" spans="2:28" x14ac:dyDescent="0.2">
      <c r="C703" s="23">
        <v>1100576182</v>
      </c>
      <c r="E703" s="23">
        <v>30</v>
      </c>
      <c r="F703" s="23" t="s">
        <v>2971</v>
      </c>
      <c r="G703" s="23" t="s">
        <v>2972</v>
      </c>
      <c r="H703" s="24">
        <v>46101</v>
      </c>
      <c r="I703" s="24">
        <v>46101</v>
      </c>
      <c r="J703" s="23" t="s">
        <v>1882</v>
      </c>
      <c r="K703" s="23" t="s">
        <v>1882</v>
      </c>
      <c r="L703" s="23">
        <v>2</v>
      </c>
      <c r="M703" s="23" t="s">
        <v>78</v>
      </c>
      <c r="N703" s="23" t="s">
        <v>78</v>
      </c>
      <c r="O703" s="23">
        <v>103.08</v>
      </c>
      <c r="P703" s="23" t="s">
        <v>79</v>
      </c>
      <c r="Q703" s="23" t="s">
        <v>83</v>
      </c>
      <c r="R703" s="23">
        <v>11100176</v>
      </c>
      <c r="S703" s="24">
        <v>46101</v>
      </c>
      <c r="T703" s="24">
        <v>46059</v>
      </c>
      <c r="U703" s="24" t="s">
        <v>80</v>
      </c>
      <c r="X703" s="24">
        <v>46058</v>
      </c>
      <c r="Y703" s="23">
        <v>1111</v>
      </c>
      <c r="Z703" s="23">
        <v>11600003</v>
      </c>
      <c r="AA703" s="23">
        <v>335103</v>
      </c>
      <c r="AB703" s="24">
        <v>46058</v>
      </c>
    </row>
    <row r="704" spans="2:28" x14ac:dyDescent="0.2">
      <c r="C704" s="23">
        <v>1100576182</v>
      </c>
      <c r="E704" s="23">
        <v>40</v>
      </c>
      <c r="F704" s="23" t="s">
        <v>2973</v>
      </c>
      <c r="G704" s="23" t="s">
        <v>2974</v>
      </c>
      <c r="H704" s="24">
        <v>46101</v>
      </c>
      <c r="I704" s="24">
        <v>46101</v>
      </c>
      <c r="J704" s="23" t="s">
        <v>1882</v>
      </c>
      <c r="K704" s="23" t="s">
        <v>1882</v>
      </c>
      <c r="L704" s="23">
        <v>2</v>
      </c>
      <c r="M704" s="23" t="s">
        <v>78</v>
      </c>
      <c r="N704" s="23" t="s">
        <v>78</v>
      </c>
      <c r="O704" s="23">
        <v>4085.56</v>
      </c>
      <c r="P704" s="23" t="s">
        <v>79</v>
      </c>
      <c r="Q704" s="23" t="s">
        <v>83</v>
      </c>
      <c r="R704" s="23">
        <v>11100176</v>
      </c>
      <c r="S704" s="24">
        <v>46101</v>
      </c>
      <c r="T704" s="24">
        <v>46059</v>
      </c>
      <c r="U704" s="24" t="s">
        <v>80</v>
      </c>
      <c r="X704" s="24">
        <v>46058</v>
      </c>
      <c r="Y704" s="23">
        <v>1111</v>
      </c>
      <c r="Z704" s="23">
        <v>11600003</v>
      </c>
      <c r="AA704" s="23">
        <v>335103</v>
      </c>
      <c r="AB704" s="24">
        <v>46058</v>
      </c>
    </row>
    <row r="705" spans="2:28" x14ac:dyDescent="0.2">
      <c r="C705" s="23">
        <v>1100576182</v>
      </c>
      <c r="E705" s="23">
        <v>50</v>
      </c>
      <c r="F705" s="23" t="s">
        <v>2975</v>
      </c>
      <c r="G705" s="23" t="s">
        <v>2976</v>
      </c>
      <c r="H705" s="24">
        <v>46101</v>
      </c>
      <c r="I705" s="24">
        <v>46101</v>
      </c>
      <c r="J705" s="23" t="s">
        <v>1882</v>
      </c>
      <c r="K705" s="23" t="s">
        <v>1882</v>
      </c>
      <c r="L705" s="23">
        <v>2</v>
      </c>
      <c r="M705" s="23" t="s">
        <v>78</v>
      </c>
      <c r="N705" s="23" t="s">
        <v>78</v>
      </c>
      <c r="O705" s="23">
        <v>728.44</v>
      </c>
      <c r="P705" s="23" t="s">
        <v>79</v>
      </c>
      <c r="Q705" s="23" t="s">
        <v>83</v>
      </c>
      <c r="R705" s="23">
        <v>11100176</v>
      </c>
      <c r="S705" s="24">
        <v>46101</v>
      </c>
      <c r="T705" s="24">
        <v>46059</v>
      </c>
      <c r="U705" s="24" t="s">
        <v>80</v>
      </c>
      <c r="X705" s="24">
        <v>46058</v>
      </c>
      <c r="Y705" s="23">
        <v>1111</v>
      </c>
      <c r="Z705" s="23">
        <v>11600003</v>
      </c>
      <c r="AA705" s="23">
        <v>335103</v>
      </c>
      <c r="AB705" s="24">
        <v>46058</v>
      </c>
    </row>
    <row r="706" spans="2:28" x14ac:dyDescent="0.2">
      <c r="C706" s="23">
        <v>1100576182</v>
      </c>
      <c r="E706" s="23">
        <v>60</v>
      </c>
      <c r="F706" s="23" t="s">
        <v>82</v>
      </c>
      <c r="G706" s="23" t="s">
        <v>139</v>
      </c>
      <c r="H706" s="24">
        <v>46101</v>
      </c>
      <c r="I706" s="24">
        <v>46101</v>
      </c>
      <c r="J706" s="23" t="s">
        <v>1882</v>
      </c>
      <c r="K706" s="23" t="s">
        <v>1882</v>
      </c>
      <c r="L706" s="23">
        <v>1</v>
      </c>
      <c r="M706" s="23" t="s">
        <v>78</v>
      </c>
      <c r="N706" s="23" t="s">
        <v>78</v>
      </c>
      <c r="O706" s="23">
        <v>0.01</v>
      </c>
      <c r="P706" s="23" t="s">
        <v>79</v>
      </c>
      <c r="Q706" s="23" t="s">
        <v>83</v>
      </c>
      <c r="R706" s="23">
        <v>11100176</v>
      </c>
      <c r="S706" s="24">
        <v>46101</v>
      </c>
      <c r="T706" s="24">
        <v>46059</v>
      </c>
      <c r="U706" s="24" t="s">
        <v>80</v>
      </c>
      <c r="X706" s="24">
        <v>46058</v>
      </c>
      <c r="Y706" s="23">
        <v>1111</v>
      </c>
      <c r="Z706" s="23">
        <v>11600003</v>
      </c>
      <c r="AA706" s="23">
        <v>335103</v>
      </c>
      <c r="AB706" s="24">
        <v>46058</v>
      </c>
    </row>
    <row r="707" spans="2:28" x14ac:dyDescent="0.2">
      <c r="B707" s="23" t="s">
        <v>81</v>
      </c>
      <c r="C707" s="23">
        <v>1100576182</v>
      </c>
      <c r="H707" s="24">
        <v>46101</v>
      </c>
      <c r="O707" s="23">
        <v>7009.11</v>
      </c>
      <c r="P707" s="23" t="s">
        <v>79</v>
      </c>
    </row>
    <row r="708" spans="2:28" x14ac:dyDescent="0.2">
      <c r="C708" s="23">
        <v>1100576475</v>
      </c>
      <c r="E708" s="23">
        <v>10</v>
      </c>
      <c r="F708" s="23" t="s">
        <v>2977</v>
      </c>
      <c r="G708" s="23" t="s">
        <v>2978</v>
      </c>
      <c r="H708" s="24">
        <v>46101</v>
      </c>
      <c r="I708" s="24">
        <v>46101</v>
      </c>
      <c r="J708" s="23" t="s">
        <v>91</v>
      </c>
      <c r="K708" s="23" t="s">
        <v>91</v>
      </c>
      <c r="L708" s="23">
        <v>1</v>
      </c>
      <c r="M708" s="23" t="s">
        <v>78</v>
      </c>
      <c r="N708" s="23" t="s">
        <v>78</v>
      </c>
      <c r="O708" s="23">
        <v>376.1</v>
      </c>
      <c r="P708" s="23" t="s">
        <v>79</v>
      </c>
      <c r="Q708" s="23" t="s">
        <v>83</v>
      </c>
      <c r="R708" s="23">
        <v>11100176</v>
      </c>
      <c r="S708" s="24">
        <v>46101</v>
      </c>
      <c r="T708" s="24">
        <v>46064</v>
      </c>
      <c r="U708" s="24" t="s">
        <v>80</v>
      </c>
      <c r="X708" s="24">
        <v>46057</v>
      </c>
      <c r="Y708" s="23">
        <v>1111</v>
      </c>
      <c r="Z708" s="23">
        <v>11600003</v>
      </c>
      <c r="AA708" s="23">
        <v>335103</v>
      </c>
      <c r="AB708" s="24">
        <v>46058</v>
      </c>
    </row>
    <row r="709" spans="2:28" x14ac:dyDescent="0.2">
      <c r="C709" s="23">
        <v>1100576475</v>
      </c>
      <c r="E709" s="23">
        <v>20</v>
      </c>
      <c r="F709" s="23" t="s">
        <v>82</v>
      </c>
      <c r="G709" s="23" t="s">
        <v>139</v>
      </c>
      <c r="H709" s="24">
        <v>46101</v>
      </c>
      <c r="I709" s="24">
        <v>46101</v>
      </c>
      <c r="J709" s="23" t="s">
        <v>91</v>
      </c>
      <c r="K709" s="23" t="s">
        <v>91</v>
      </c>
      <c r="L709" s="23">
        <v>1</v>
      </c>
      <c r="M709" s="23" t="s">
        <v>78</v>
      </c>
      <c r="N709" s="23" t="s">
        <v>78</v>
      </c>
      <c r="O709" s="23">
        <v>0.01</v>
      </c>
      <c r="P709" s="23" t="s">
        <v>79</v>
      </c>
      <c r="Q709" s="23" t="s">
        <v>83</v>
      </c>
      <c r="R709" s="23">
        <v>11100176</v>
      </c>
      <c r="S709" s="24">
        <v>46101</v>
      </c>
      <c r="T709" s="24">
        <v>46064</v>
      </c>
      <c r="U709" s="24" t="s">
        <v>80</v>
      </c>
      <c r="X709" s="24">
        <v>46057</v>
      </c>
      <c r="Y709" s="23">
        <v>1111</v>
      </c>
      <c r="Z709" s="23">
        <v>11600003</v>
      </c>
      <c r="AA709" s="23">
        <v>335103</v>
      </c>
      <c r="AB709" s="24">
        <v>46058</v>
      </c>
    </row>
    <row r="710" spans="2:28" x14ac:dyDescent="0.2">
      <c r="B710" s="23" t="s">
        <v>81</v>
      </c>
      <c r="C710" s="23">
        <v>1100576475</v>
      </c>
      <c r="H710" s="24">
        <v>46101</v>
      </c>
      <c r="O710" s="23">
        <v>376.11</v>
      </c>
      <c r="P710" s="23" t="s">
        <v>79</v>
      </c>
    </row>
    <row r="711" spans="2:28" x14ac:dyDescent="0.2">
      <c r="C711" s="23">
        <v>1100576751</v>
      </c>
      <c r="E711" s="23">
        <v>10</v>
      </c>
      <c r="F711" s="23" t="s">
        <v>2979</v>
      </c>
      <c r="G711" s="23" t="s">
        <v>2980</v>
      </c>
      <c r="H711" s="24">
        <v>46101</v>
      </c>
      <c r="I711" s="24">
        <v>46101</v>
      </c>
      <c r="J711" s="23" t="s">
        <v>719</v>
      </c>
      <c r="K711" s="23" t="s">
        <v>719</v>
      </c>
      <c r="L711" s="23">
        <v>2</v>
      </c>
      <c r="M711" s="23" t="s">
        <v>78</v>
      </c>
      <c r="N711" s="23" t="s">
        <v>78</v>
      </c>
      <c r="O711" s="23">
        <v>12609.76</v>
      </c>
      <c r="P711" s="23" t="s">
        <v>79</v>
      </c>
      <c r="Q711" s="23" t="s">
        <v>119</v>
      </c>
      <c r="R711" s="23">
        <v>11100176</v>
      </c>
      <c r="S711" s="24">
        <v>46101</v>
      </c>
      <c r="T711" s="24">
        <v>46066</v>
      </c>
      <c r="U711" s="24">
        <v>46387</v>
      </c>
      <c r="X711" s="24">
        <v>46066</v>
      </c>
      <c r="Y711" s="23">
        <v>1111</v>
      </c>
      <c r="Z711" s="23">
        <v>11400789</v>
      </c>
      <c r="AA711" s="23">
        <v>335103</v>
      </c>
      <c r="AB711" s="24">
        <v>46057</v>
      </c>
    </row>
    <row r="712" spans="2:28" x14ac:dyDescent="0.2">
      <c r="C712" s="23">
        <v>1100576751</v>
      </c>
      <c r="E712" s="23">
        <v>20</v>
      </c>
      <c r="F712" s="23" t="s">
        <v>82</v>
      </c>
      <c r="G712" s="23" t="s">
        <v>139</v>
      </c>
      <c r="H712" s="24">
        <v>46101</v>
      </c>
      <c r="I712" s="24">
        <v>46101</v>
      </c>
      <c r="J712" s="23" t="s">
        <v>719</v>
      </c>
      <c r="K712" s="23" t="s">
        <v>719</v>
      </c>
      <c r="L712" s="23">
        <v>1</v>
      </c>
      <c r="M712" s="23" t="s">
        <v>78</v>
      </c>
      <c r="N712" s="23" t="s">
        <v>78</v>
      </c>
      <c r="O712" s="23">
        <v>0.01</v>
      </c>
      <c r="P712" s="23" t="s">
        <v>79</v>
      </c>
      <c r="Q712" s="23" t="s">
        <v>83</v>
      </c>
      <c r="R712" s="23">
        <v>11100176</v>
      </c>
      <c r="S712" s="24" t="s">
        <v>80</v>
      </c>
      <c r="T712" s="24">
        <v>46066</v>
      </c>
      <c r="U712" s="24">
        <v>46101</v>
      </c>
      <c r="X712" s="24">
        <v>46066</v>
      </c>
      <c r="Y712" s="23">
        <v>1111</v>
      </c>
      <c r="Z712" s="23">
        <v>11400789</v>
      </c>
      <c r="AA712" s="23">
        <v>335103</v>
      </c>
      <c r="AB712" s="24">
        <v>46057</v>
      </c>
    </row>
    <row r="713" spans="2:28" x14ac:dyDescent="0.2">
      <c r="B713" s="23" t="s">
        <v>81</v>
      </c>
      <c r="C713" s="23">
        <v>1100576751</v>
      </c>
      <c r="H713" s="24">
        <v>46101</v>
      </c>
      <c r="O713" s="23">
        <v>12609.77</v>
      </c>
      <c r="P713" s="23" t="s">
        <v>79</v>
      </c>
    </row>
    <row r="714" spans="2:28" x14ac:dyDescent="0.2">
      <c r="C714" s="23">
        <v>1100576969</v>
      </c>
      <c r="E714" s="23">
        <v>10</v>
      </c>
      <c r="F714" s="23" t="s">
        <v>2981</v>
      </c>
      <c r="G714" s="23" t="s">
        <v>2982</v>
      </c>
      <c r="H714" s="24">
        <v>46101</v>
      </c>
      <c r="I714" s="24">
        <v>46101</v>
      </c>
      <c r="J714" s="23" t="s">
        <v>92</v>
      </c>
      <c r="K714" s="23" t="s">
        <v>92</v>
      </c>
      <c r="L714" s="23">
        <v>1</v>
      </c>
      <c r="M714" s="23" t="s">
        <v>78</v>
      </c>
      <c r="N714" s="23" t="s">
        <v>78</v>
      </c>
      <c r="O714" s="23">
        <v>7278.65</v>
      </c>
      <c r="P714" s="23" t="s">
        <v>79</v>
      </c>
      <c r="Q714" s="23" t="s">
        <v>83</v>
      </c>
      <c r="R714" s="23">
        <v>11100176</v>
      </c>
      <c r="S714" s="24">
        <v>46090</v>
      </c>
      <c r="T714" s="24">
        <v>46070</v>
      </c>
      <c r="U714" s="24" t="s">
        <v>80</v>
      </c>
      <c r="X714" s="24">
        <v>46070</v>
      </c>
      <c r="Y714" s="23">
        <v>1111</v>
      </c>
      <c r="Z714" s="23">
        <v>11400789</v>
      </c>
      <c r="AA714" s="23">
        <v>5251</v>
      </c>
      <c r="AB714" s="24">
        <v>46065</v>
      </c>
    </row>
    <row r="715" spans="2:28" x14ac:dyDescent="0.2">
      <c r="B715" s="23" t="s">
        <v>81</v>
      </c>
      <c r="C715" s="23">
        <v>1100576969</v>
      </c>
      <c r="H715" s="24">
        <v>46101</v>
      </c>
      <c r="O715" s="23">
        <v>7278.65</v>
      </c>
      <c r="P715" s="23" t="s">
        <v>79</v>
      </c>
    </row>
    <row r="716" spans="2:28" x14ac:dyDescent="0.2">
      <c r="C716" s="23">
        <v>1100576986</v>
      </c>
      <c r="E716" s="23">
        <v>10</v>
      </c>
      <c r="F716" s="23" t="s">
        <v>240</v>
      </c>
      <c r="G716" s="23" t="s">
        <v>241</v>
      </c>
      <c r="H716" s="24">
        <v>46101</v>
      </c>
      <c r="I716" s="24">
        <v>46101</v>
      </c>
      <c r="J716" s="23" t="s">
        <v>1941</v>
      </c>
      <c r="K716" s="23" t="s">
        <v>1941</v>
      </c>
      <c r="L716" s="23">
        <v>1</v>
      </c>
      <c r="M716" s="23" t="s">
        <v>78</v>
      </c>
      <c r="N716" s="23" t="s">
        <v>78</v>
      </c>
      <c r="O716" s="23">
        <v>432.15</v>
      </c>
      <c r="P716" s="23" t="s">
        <v>79</v>
      </c>
      <c r="Q716" s="23" t="s">
        <v>83</v>
      </c>
      <c r="R716" s="23">
        <v>11100176</v>
      </c>
      <c r="S716" s="24">
        <v>46073</v>
      </c>
      <c r="T716" s="24">
        <v>46070</v>
      </c>
      <c r="U716" s="24" t="s">
        <v>80</v>
      </c>
      <c r="X716" s="24">
        <v>46029</v>
      </c>
      <c r="Y716" s="23">
        <v>1111</v>
      </c>
      <c r="Z716" s="23">
        <v>11400937</v>
      </c>
      <c r="AA716" s="23">
        <v>3351</v>
      </c>
      <c r="AB716" s="24">
        <v>46063</v>
      </c>
    </row>
    <row r="717" spans="2:28" x14ac:dyDescent="0.2">
      <c r="C717" s="23">
        <v>1100576986</v>
      </c>
      <c r="E717" s="23">
        <v>20</v>
      </c>
      <c r="F717" s="23" t="s">
        <v>2870</v>
      </c>
      <c r="G717" s="23" t="s">
        <v>2983</v>
      </c>
      <c r="H717" s="24">
        <v>46101</v>
      </c>
      <c r="I717" s="24">
        <v>46101</v>
      </c>
      <c r="J717" s="23" t="s">
        <v>1941</v>
      </c>
      <c r="K717" s="23" t="s">
        <v>1941</v>
      </c>
      <c r="L717" s="23">
        <v>1</v>
      </c>
      <c r="M717" s="23" t="s">
        <v>78</v>
      </c>
      <c r="N717" s="23" t="s">
        <v>78</v>
      </c>
      <c r="O717" s="23">
        <v>1027.04</v>
      </c>
      <c r="P717" s="23" t="s">
        <v>79</v>
      </c>
      <c r="Q717" s="23" t="s">
        <v>83</v>
      </c>
      <c r="R717" s="23">
        <v>11100176</v>
      </c>
      <c r="S717" s="24">
        <v>46098</v>
      </c>
      <c r="T717" s="24">
        <v>46070</v>
      </c>
      <c r="U717" s="24" t="s">
        <v>80</v>
      </c>
      <c r="X717" s="24">
        <v>46029</v>
      </c>
      <c r="Y717" s="23">
        <v>1111</v>
      </c>
      <c r="Z717" s="23">
        <v>11400937</v>
      </c>
      <c r="AA717" s="23">
        <v>3351</v>
      </c>
      <c r="AB717" s="24">
        <v>46063</v>
      </c>
    </row>
    <row r="718" spans="2:28" x14ac:dyDescent="0.2">
      <c r="C718" s="23">
        <v>1100576986</v>
      </c>
      <c r="E718" s="23">
        <v>30</v>
      </c>
      <c r="F718" s="23" t="s">
        <v>82</v>
      </c>
      <c r="G718" s="23" t="s">
        <v>139</v>
      </c>
      <c r="H718" s="24">
        <v>46101</v>
      </c>
      <c r="I718" s="24">
        <v>46101</v>
      </c>
      <c r="J718" s="23" t="s">
        <v>1941</v>
      </c>
      <c r="K718" s="23" t="s">
        <v>1941</v>
      </c>
      <c r="L718" s="23">
        <v>1</v>
      </c>
      <c r="M718" s="23" t="s">
        <v>78</v>
      </c>
      <c r="N718" s="23" t="s">
        <v>78</v>
      </c>
      <c r="O718" s="23">
        <v>0.01</v>
      </c>
      <c r="P718" s="23" t="s">
        <v>79</v>
      </c>
      <c r="Q718" s="23" t="s">
        <v>83</v>
      </c>
      <c r="R718" s="23">
        <v>11100176</v>
      </c>
      <c r="S718" s="24" t="s">
        <v>80</v>
      </c>
      <c r="T718" s="24">
        <v>46070</v>
      </c>
      <c r="U718" s="24" t="s">
        <v>80</v>
      </c>
      <c r="X718" s="24">
        <v>46029</v>
      </c>
      <c r="Y718" s="23">
        <v>1111</v>
      </c>
      <c r="Z718" s="23">
        <v>11400937</v>
      </c>
      <c r="AA718" s="23">
        <v>3351</v>
      </c>
      <c r="AB718" s="24">
        <v>46063</v>
      </c>
    </row>
    <row r="719" spans="2:28" x14ac:dyDescent="0.2">
      <c r="B719" s="23" t="s">
        <v>81</v>
      </c>
      <c r="C719" s="23">
        <v>1100576986</v>
      </c>
      <c r="H719" s="24">
        <v>46101</v>
      </c>
      <c r="O719" s="23">
        <v>1459.2</v>
      </c>
      <c r="P719" s="23" t="s">
        <v>79</v>
      </c>
    </row>
    <row r="720" spans="2:28" x14ac:dyDescent="0.2">
      <c r="C720" s="23">
        <v>1100577027</v>
      </c>
      <c r="E720" s="23">
        <v>10</v>
      </c>
      <c r="F720" s="23" t="s">
        <v>1059</v>
      </c>
      <c r="G720" s="23" t="s">
        <v>1060</v>
      </c>
      <c r="H720" s="24">
        <v>46101</v>
      </c>
      <c r="I720" s="24">
        <v>46101</v>
      </c>
      <c r="J720" s="23" t="s">
        <v>260</v>
      </c>
      <c r="K720" s="23" t="s">
        <v>260</v>
      </c>
      <c r="L720" s="23">
        <v>2</v>
      </c>
      <c r="M720" s="23" t="s">
        <v>78</v>
      </c>
      <c r="N720" s="23" t="s">
        <v>78</v>
      </c>
      <c r="O720" s="23">
        <v>1112.3</v>
      </c>
      <c r="P720" s="23" t="s">
        <v>79</v>
      </c>
      <c r="Q720" s="23" t="s">
        <v>83</v>
      </c>
      <c r="R720" s="23">
        <v>11100176</v>
      </c>
      <c r="S720" s="24">
        <v>46101</v>
      </c>
      <c r="T720" s="24">
        <v>46070</v>
      </c>
      <c r="U720" s="24" t="s">
        <v>80</v>
      </c>
      <c r="X720" s="24">
        <v>46066</v>
      </c>
      <c r="Y720" s="23">
        <v>1111</v>
      </c>
      <c r="Z720" s="23">
        <v>11100137</v>
      </c>
      <c r="AA720" s="23">
        <v>3151</v>
      </c>
      <c r="AB720" s="24">
        <v>46066</v>
      </c>
    </row>
    <row r="721" spans="2:28" x14ac:dyDescent="0.2">
      <c r="B721" s="23" t="s">
        <v>81</v>
      </c>
      <c r="C721" s="23">
        <v>1100577027</v>
      </c>
      <c r="H721" s="24">
        <v>46101</v>
      </c>
      <c r="O721" s="23">
        <v>1112.3</v>
      </c>
      <c r="P721" s="23" t="s">
        <v>79</v>
      </c>
    </row>
    <row r="722" spans="2:28" x14ac:dyDescent="0.2">
      <c r="C722" s="23">
        <v>1100577352</v>
      </c>
      <c r="E722" s="23">
        <v>10</v>
      </c>
      <c r="F722" s="23" t="s">
        <v>2984</v>
      </c>
      <c r="G722" s="23" t="s">
        <v>2985</v>
      </c>
      <c r="H722" s="24">
        <v>46101</v>
      </c>
      <c r="I722" s="24">
        <v>46101</v>
      </c>
      <c r="J722" s="23" t="s">
        <v>2046</v>
      </c>
      <c r="K722" s="23" t="s">
        <v>2046</v>
      </c>
      <c r="L722" s="23">
        <v>1</v>
      </c>
      <c r="M722" s="23" t="s">
        <v>78</v>
      </c>
      <c r="N722" s="23" t="s">
        <v>78</v>
      </c>
      <c r="O722" s="23">
        <v>419.23</v>
      </c>
      <c r="P722" s="23" t="s">
        <v>79</v>
      </c>
      <c r="Q722" s="23" t="s">
        <v>83</v>
      </c>
      <c r="R722" s="23">
        <v>11100008</v>
      </c>
      <c r="S722" s="24">
        <v>46101</v>
      </c>
      <c r="T722" s="24">
        <v>46073</v>
      </c>
      <c r="U722" s="24">
        <v>46101</v>
      </c>
      <c r="X722" s="24">
        <v>46066</v>
      </c>
      <c r="Y722" s="23">
        <v>1111</v>
      </c>
      <c r="Z722" s="23">
        <v>11600003</v>
      </c>
      <c r="AA722" s="23">
        <v>3351</v>
      </c>
      <c r="AB722" s="24">
        <v>46069</v>
      </c>
    </row>
    <row r="723" spans="2:28" x14ac:dyDescent="0.2">
      <c r="C723" s="23">
        <v>1100577352</v>
      </c>
      <c r="E723" s="23">
        <v>30</v>
      </c>
      <c r="F723" s="23" t="s">
        <v>2986</v>
      </c>
      <c r="G723" s="23" t="s">
        <v>2987</v>
      </c>
      <c r="H723" s="24">
        <v>46101</v>
      </c>
      <c r="I723" s="24">
        <v>46101</v>
      </c>
      <c r="J723" s="23" t="s">
        <v>2046</v>
      </c>
      <c r="K723" s="23" t="s">
        <v>2046</v>
      </c>
      <c r="L723" s="23">
        <v>1</v>
      </c>
      <c r="M723" s="23" t="s">
        <v>78</v>
      </c>
      <c r="N723" s="23" t="s">
        <v>78</v>
      </c>
      <c r="O723" s="23">
        <v>1673.83</v>
      </c>
      <c r="P723" s="23" t="s">
        <v>79</v>
      </c>
      <c r="Q723" s="23" t="s">
        <v>83</v>
      </c>
      <c r="R723" s="23">
        <v>11100008</v>
      </c>
      <c r="S723" s="24">
        <v>46101</v>
      </c>
      <c r="T723" s="24">
        <v>46073</v>
      </c>
      <c r="U723" s="24">
        <v>47116</v>
      </c>
      <c r="X723" s="24">
        <v>46066</v>
      </c>
      <c r="Y723" s="23">
        <v>1111</v>
      </c>
      <c r="Z723" s="23">
        <v>11600003</v>
      </c>
      <c r="AA723" s="23">
        <v>3351</v>
      </c>
      <c r="AB723" s="24">
        <v>46069</v>
      </c>
    </row>
    <row r="724" spans="2:28" x14ac:dyDescent="0.2">
      <c r="B724" s="23" t="s">
        <v>81</v>
      </c>
      <c r="C724" s="23">
        <v>1100577352</v>
      </c>
      <c r="H724" s="24">
        <v>46101</v>
      </c>
      <c r="O724" s="23">
        <v>2093.06</v>
      </c>
      <c r="P724" s="23" t="s">
        <v>79</v>
      </c>
    </row>
    <row r="725" spans="2:28" x14ac:dyDescent="0.2">
      <c r="C725" s="23">
        <v>1100577843</v>
      </c>
      <c r="E725" s="23">
        <v>10</v>
      </c>
      <c r="F725" s="23" t="s">
        <v>1773</v>
      </c>
      <c r="G725" s="23" t="s">
        <v>1774</v>
      </c>
      <c r="H725" s="24">
        <v>46101</v>
      </c>
      <c r="I725" s="24">
        <v>46101</v>
      </c>
      <c r="J725" s="23" t="s">
        <v>2988</v>
      </c>
      <c r="K725" s="23" t="s">
        <v>2988</v>
      </c>
      <c r="L725" s="23">
        <v>2</v>
      </c>
      <c r="M725" s="23" t="s">
        <v>78</v>
      </c>
      <c r="N725" s="23" t="s">
        <v>78</v>
      </c>
      <c r="O725" s="23">
        <v>228.1</v>
      </c>
      <c r="P725" s="23" t="s">
        <v>79</v>
      </c>
      <c r="Q725" s="23" t="s">
        <v>83</v>
      </c>
      <c r="R725" s="23">
        <v>11100189</v>
      </c>
      <c r="S725" s="24">
        <v>46099</v>
      </c>
      <c r="T725" s="24">
        <v>46077</v>
      </c>
      <c r="U725" s="24" t="s">
        <v>80</v>
      </c>
      <c r="X725" s="24">
        <v>46071</v>
      </c>
      <c r="Y725" s="23">
        <v>1111</v>
      </c>
      <c r="Z725" s="23">
        <v>11400704</v>
      </c>
      <c r="AA725" s="23">
        <v>5051</v>
      </c>
      <c r="AB725" s="24">
        <v>46073</v>
      </c>
    </row>
    <row r="726" spans="2:28" x14ac:dyDescent="0.2">
      <c r="C726" s="23">
        <v>1100577843</v>
      </c>
      <c r="E726" s="23">
        <v>20</v>
      </c>
      <c r="F726" s="23" t="s">
        <v>1770</v>
      </c>
      <c r="G726" s="23" t="s">
        <v>1771</v>
      </c>
      <c r="H726" s="24">
        <v>46101</v>
      </c>
      <c r="I726" s="24">
        <v>46101</v>
      </c>
      <c r="J726" s="23" t="s">
        <v>2988</v>
      </c>
      <c r="K726" s="23" t="s">
        <v>2988</v>
      </c>
      <c r="L726" s="23">
        <v>4</v>
      </c>
      <c r="M726" s="23" t="s">
        <v>78</v>
      </c>
      <c r="N726" s="23" t="s">
        <v>78</v>
      </c>
      <c r="O726" s="23">
        <v>17.399999999999999</v>
      </c>
      <c r="P726" s="23" t="s">
        <v>79</v>
      </c>
      <c r="Q726" s="23" t="s">
        <v>83</v>
      </c>
      <c r="R726" s="23">
        <v>11100189</v>
      </c>
      <c r="S726" s="24">
        <v>46099</v>
      </c>
      <c r="T726" s="24">
        <v>46077</v>
      </c>
      <c r="U726" s="24" t="s">
        <v>80</v>
      </c>
      <c r="X726" s="24">
        <v>46071</v>
      </c>
      <c r="Y726" s="23">
        <v>1111</v>
      </c>
      <c r="Z726" s="23">
        <v>11400704</v>
      </c>
      <c r="AA726" s="23">
        <v>5051</v>
      </c>
      <c r="AB726" s="24">
        <v>46073</v>
      </c>
    </row>
    <row r="727" spans="2:28" x14ac:dyDescent="0.2">
      <c r="C727" s="23">
        <v>1100577843</v>
      </c>
      <c r="E727" s="23">
        <v>30</v>
      </c>
      <c r="F727" s="23" t="s">
        <v>2178</v>
      </c>
      <c r="G727" s="23" t="s">
        <v>2179</v>
      </c>
      <c r="H727" s="24">
        <v>46101</v>
      </c>
      <c r="I727" s="24">
        <v>46101</v>
      </c>
      <c r="J727" s="23" t="s">
        <v>2988</v>
      </c>
      <c r="K727" s="23" t="s">
        <v>2988</v>
      </c>
      <c r="L727" s="23">
        <v>4</v>
      </c>
      <c r="M727" s="23" t="s">
        <v>78</v>
      </c>
      <c r="N727" s="23" t="s">
        <v>78</v>
      </c>
      <c r="O727" s="23">
        <v>18.2</v>
      </c>
      <c r="P727" s="23" t="s">
        <v>79</v>
      </c>
      <c r="Q727" s="23" t="s">
        <v>83</v>
      </c>
      <c r="R727" s="23">
        <v>11100189</v>
      </c>
      <c r="S727" s="24">
        <v>46099</v>
      </c>
      <c r="T727" s="24">
        <v>46077</v>
      </c>
      <c r="U727" s="24" t="s">
        <v>80</v>
      </c>
      <c r="X727" s="24">
        <v>46071</v>
      </c>
      <c r="Y727" s="23">
        <v>1111</v>
      </c>
      <c r="Z727" s="23">
        <v>11400704</v>
      </c>
      <c r="AA727" s="23">
        <v>5051</v>
      </c>
      <c r="AB727" s="24">
        <v>46073</v>
      </c>
    </row>
    <row r="728" spans="2:28" x14ac:dyDescent="0.2">
      <c r="B728" s="23" t="s">
        <v>81</v>
      </c>
      <c r="C728" s="23">
        <v>1100577843</v>
      </c>
      <c r="H728" s="24">
        <v>46101</v>
      </c>
      <c r="O728" s="23">
        <v>263.7</v>
      </c>
      <c r="P728" s="23" t="s">
        <v>79</v>
      </c>
    </row>
    <row r="729" spans="2:28" x14ac:dyDescent="0.2">
      <c r="C729" s="23">
        <v>1100578274</v>
      </c>
      <c r="E729" s="23">
        <v>10</v>
      </c>
      <c r="F729" s="23" t="s">
        <v>2989</v>
      </c>
      <c r="G729" s="23" t="s">
        <v>2990</v>
      </c>
      <c r="H729" s="24">
        <v>46101</v>
      </c>
      <c r="I729" s="24">
        <v>46101</v>
      </c>
      <c r="J729" s="23" t="s">
        <v>2991</v>
      </c>
      <c r="K729" s="23" t="s">
        <v>2991</v>
      </c>
      <c r="L729" s="23">
        <v>1</v>
      </c>
      <c r="M729" s="23" t="s">
        <v>78</v>
      </c>
      <c r="N729" s="23" t="s">
        <v>78</v>
      </c>
      <c r="O729" s="23">
        <v>250.08</v>
      </c>
      <c r="P729" s="23" t="s">
        <v>79</v>
      </c>
      <c r="Q729" s="23" t="s">
        <v>83</v>
      </c>
      <c r="R729" s="23">
        <v>11100176</v>
      </c>
      <c r="S729" s="24">
        <v>46101</v>
      </c>
      <c r="T729" s="24">
        <v>46080</v>
      </c>
      <c r="U729" s="24" t="s">
        <v>80</v>
      </c>
      <c r="X729" s="24">
        <v>46077</v>
      </c>
      <c r="Y729" s="23">
        <v>1111</v>
      </c>
      <c r="Z729" s="23">
        <v>11600001</v>
      </c>
      <c r="AA729" s="23">
        <v>3951</v>
      </c>
      <c r="AB729" s="24">
        <v>46079</v>
      </c>
    </row>
    <row r="730" spans="2:28" x14ac:dyDescent="0.2">
      <c r="C730" s="23">
        <v>1100578274</v>
      </c>
      <c r="E730" s="23">
        <v>20</v>
      </c>
      <c r="F730" s="23" t="s">
        <v>94</v>
      </c>
      <c r="G730" s="23" t="s">
        <v>95</v>
      </c>
      <c r="H730" s="24">
        <v>46101</v>
      </c>
      <c r="I730" s="24">
        <v>46101</v>
      </c>
      <c r="J730" s="23" t="s">
        <v>2991</v>
      </c>
      <c r="K730" s="23" t="s">
        <v>2991</v>
      </c>
      <c r="L730" s="23">
        <v>1</v>
      </c>
      <c r="M730" s="23" t="s">
        <v>78</v>
      </c>
      <c r="N730" s="23" t="s">
        <v>78</v>
      </c>
      <c r="O730" s="23">
        <v>15.44</v>
      </c>
      <c r="P730" s="23" t="s">
        <v>79</v>
      </c>
      <c r="Q730" s="23" t="s">
        <v>83</v>
      </c>
      <c r="R730" s="23">
        <v>11100176</v>
      </c>
      <c r="S730" s="24">
        <v>46101</v>
      </c>
      <c r="T730" s="24">
        <v>46080</v>
      </c>
      <c r="U730" s="24" t="s">
        <v>80</v>
      </c>
      <c r="X730" s="24">
        <v>46077</v>
      </c>
      <c r="Y730" s="23">
        <v>1111</v>
      </c>
      <c r="Z730" s="23">
        <v>11600001</v>
      </c>
      <c r="AA730" s="23">
        <v>3951</v>
      </c>
      <c r="AB730" s="24">
        <v>46079</v>
      </c>
    </row>
    <row r="731" spans="2:28" x14ac:dyDescent="0.2">
      <c r="B731" s="23" t="s">
        <v>81</v>
      </c>
      <c r="C731" s="23">
        <v>1100578274</v>
      </c>
      <c r="H731" s="24">
        <v>46101</v>
      </c>
      <c r="O731" s="23">
        <v>265.52</v>
      </c>
      <c r="P731" s="23" t="s">
        <v>79</v>
      </c>
    </row>
    <row r="732" spans="2:28" x14ac:dyDescent="0.2">
      <c r="C732" s="23">
        <v>1100578452</v>
      </c>
      <c r="E732" s="23">
        <v>20</v>
      </c>
      <c r="F732" s="23" t="s">
        <v>192</v>
      </c>
      <c r="G732" s="23" t="s">
        <v>4112</v>
      </c>
      <c r="H732" s="24">
        <v>46101</v>
      </c>
      <c r="I732" s="24">
        <v>46101</v>
      </c>
      <c r="J732" s="23" t="s">
        <v>4126</v>
      </c>
      <c r="K732" s="23" t="s">
        <v>4126</v>
      </c>
      <c r="L732" s="23">
        <v>1</v>
      </c>
      <c r="M732" s="23" t="s">
        <v>78</v>
      </c>
      <c r="N732" s="23" t="s">
        <v>78</v>
      </c>
      <c r="O732" s="23">
        <v>0.01</v>
      </c>
      <c r="P732" s="23" t="s">
        <v>79</v>
      </c>
      <c r="Q732" s="23" t="s">
        <v>83</v>
      </c>
      <c r="R732" s="23">
        <v>11100189</v>
      </c>
      <c r="S732" s="24" t="s">
        <v>80</v>
      </c>
      <c r="T732" s="24">
        <v>46083</v>
      </c>
      <c r="U732" s="24">
        <v>47116</v>
      </c>
      <c r="X732" s="24">
        <v>46083</v>
      </c>
      <c r="Y732" s="23">
        <v>1111</v>
      </c>
      <c r="Z732" s="23">
        <v>11100172</v>
      </c>
      <c r="AA732" s="23">
        <v>3955</v>
      </c>
      <c r="AB732" s="24">
        <v>46083</v>
      </c>
    </row>
    <row r="733" spans="2:28" x14ac:dyDescent="0.2">
      <c r="B733" s="23" t="s">
        <v>81</v>
      </c>
      <c r="C733" s="23">
        <v>1100578452</v>
      </c>
      <c r="H733" s="24">
        <v>46101</v>
      </c>
      <c r="O733" s="23">
        <v>0.01</v>
      </c>
      <c r="P733" s="23" t="s">
        <v>79</v>
      </c>
    </row>
    <row r="734" spans="2:28" x14ac:dyDescent="0.2">
      <c r="C734" s="23">
        <v>1100574043</v>
      </c>
      <c r="E734" s="23">
        <v>10</v>
      </c>
      <c r="F734" s="23" t="s">
        <v>757</v>
      </c>
      <c r="G734" s="23" t="s">
        <v>758</v>
      </c>
      <c r="H734" s="24">
        <v>46102</v>
      </c>
      <c r="I734" s="24">
        <v>46102</v>
      </c>
      <c r="J734" s="23" t="s">
        <v>813</v>
      </c>
      <c r="K734" s="23" t="s">
        <v>813</v>
      </c>
      <c r="L734" s="23">
        <v>1</v>
      </c>
      <c r="M734" s="23" t="s">
        <v>78</v>
      </c>
      <c r="N734" s="23" t="s">
        <v>78</v>
      </c>
      <c r="O734" s="23">
        <v>892.55</v>
      </c>
      <c r="P734" s="23" t="s">
        <v>79</v>
      </c>
      <c r="Q734" s="23" t="s">
        <v>83</v>
      </c>
      <c r="R734" s="23">
        <v>11100176</v>
      </c>
      <c r="S734" s="24">
        <v>46052</v>
      </c>
      <c r="T734" s="24">
        <v>46038</v>
      </c>
      <c r="U734" s="24" t="s">
        <v>80</v>
      </c>
      <c r="X734" s="24">
        <v>46035</v>
      </c>
      <c r="Y734" s="23">
        <v>1111</v>
      </c>
      <c r="Z734" s="23">
        <v>11600001</v>
      </c>
      <c r="AA734" s="23">
        <v>335103</v>
      </c>
      <c r="AB734" s="24">
        <v>46037</v>
      </c>
    </row>
    <row r="735" spans="2:28" x14ac:dyDescent="0.2">
      <c r="C735" s="23">
        <v>1100574043</v>
      </c>
      <c r="E735" s="23">
        <v>20</v>
      </c>
      <c r="F735" s="23" t="s">
        <v>82</v>
      </c>
      <c r="G735" s="23" t="s">
        <v>139</v>
      </c>
      <c r="H735" s="24">
        <v>46102</v>
      </c>
      <c r="I735" s="24">
        <v>46102</v>
      </c>
      <c r="J735" s="23" t="s">
        <v>813</v>
      </c>
      <c r="K735" s="23" t="s">
        <v>813</v>
      </c>
      <c r="L735" s="23">
        <v>1</v>
      </c>
      <c r="M735" s="23" t="s">
        <v>78</v>
      </c>
      <c r="N735" s="23" t="s">
        <v>78</v>
      </c>
      <c r="O735" s="23">
        <v>0.01</v>
      </c>
      <c r="P735" s="23" t="s">
        <v>79</v>
      </c>
      <c r="Q735" s="23" t="s">
        <v>83</v>
      </c>
      <c r="R735" s="23">
        <v>11100176</v>
      </c>
      <c r="S735" s="24">
        <v>46052</v>
      </c>
      <c r="T735" s="24">
        <v>46038</v>
      </c>
      <c r="U735" s="24" t="s">
        <v>80</v>
      </c>
      <c r="X735" s="24">
        <v>46035</v>
      </c>
      <c r="Y735" s="23">
        <v>1111</v>
      </c>
      <c r="Z735" s="23">
        <v>11600001</v>
      </c>
      <c r="AA735" s="23">
        <v>335103</v>
      </c>
      <c r="AB735" s="24">
        <v>46037</v>
      </c>
    </row>
    <row r="736" spans="2:28" x14ac:dyDescent="0.2">
      <c r="B736" s="23" t="s">
        <v>81</v>
      </c>
      <c r="C736" s="23">
        <v>1100574043</v>
      </c>
      <c r="H736" s="24">
        <v>46102</v>
      </c>
      <c r="O736" s="23">
        <v>892.56</v>
      </c>
      <c r="P736" s="23" t="s">
        <v>79</v>
      </c>
    </row>
    <row r="737" spans="2:28" x14ac:dyDescent="0.2">
      <c r="C737" s="23">
        <v>1100573394</v>
      </c>
      <c r="E737" s="23">
        <v>10</v>
      </c>
      <c r="F737" s="23" t="s">
        <v>2992</v>
      </c>
      <c r="G737" s="23" t="s">
        <v>2279</v>
      </c>
      <c r="H737" s="24">
        <v>46104</v>
      </c>
      <c r="I737" s="24">
        <v>46104</v>
      </c>
      <c r="J737" s="23" t="s">
        <v>386</v>
      </c>
      <c r="K737" s="23" t="s">
        <v>386</v>
      </c>
      <c r="L737" s="23">
        <v>2</v>
      </c>
      <c r="M737" s="23" t="s">
        <v>78</v>
      </c>
      <c r="N737" s="23" t="s">
        <v>78</v>
      </c>
      <c r="O737" s="23">
        <v>13128.7</v>
      </c>
      <c r="P737" s="23" t="s">
        <v>79</v>
      </c>
      <c r="Q737" s="23" t="s">
        <v>83</v>
      </c>
      <c r="R737" s="23">
        <v>11100176</v>
      </c>
      <c r="S737" s="24">
        <v>46073</v>
      </c>
      <c r="T737" s="24">
        <v>46032</v>
      </c>
      <c r="U737" s="24" t="s">
        <v>80</v>
      </c>
      <c r="X737" s="24">
        <v>46030</v>
      </c>
      <c r="Y737" s="23">
        <v>1111</v>
      </c>
      <c r="Z737" s="23">
        <v>11100137</v>
      </c>
      <c r="AA737" s="23">
        <v>5051</v>
      </c>
      <c r="AB737" s="24">
        <v>46030</v>
      </c>
    </row>
    <row r="738" spans="2:28" x14ac:dyDescent="0.2">
      <c r="C738" s="23">
        <v>1100573394</v>
      </c>
      <c r="E738" s="23">
        <v>20</v>
      </c>
      <c r="F738" s="23" t="s">
        <v>2280</v>
      </c>
      <c r="G738" s="23" t="s">
        <v>2281</v>
      </c>
      <c r="H738" s="24">
        <v>46104</v>
      </c>
      <c r="I738" s="24">
        <v>46104</v>
      </c>
      <c r="J738" s="23" t="s">
        <v>386</v>
      </c>
      <c r="K738" s="23" t="s">
        <v>386</v>
      </c>
      <c r="L738" s="23">
        <v>2</v>
      </c>
      <c r="M738" s="23" t="s">
        <v>78</v>
      </c>
      <c r="N738" s="23" t="s">
        <v>78</v>
      </c>
      <c r="O738" s="23">
        <v>2281.8000000000002</v>
      </c>
      <c r="P738" s="23" t="s">
        <v>79</v>
      </c>
      <c r="Q738" s="23" t="s">
        <v>83</v>
      </c>
      <c r="R738" s="23">
        <v>11100176</v>
      </c>
      <c r="S738" s="24">
        <v>46073</v>
      </c>
      <c r="T738" s="24">
        <v>46032</v>
      </c>
      <c r="U738" s="24" t="s">
        <v>80</v>
      </c>
      <c r="X738" s="24">
        <v>46030</v>
      </c>
      <c r="Y738" s="23">
        <v>1111</v>
      </c>
      <c r="Z738" s="23">
        <v>11100137</v>
      </c>
      <c r="AA738" s="23">
        <v>5051</v>
      </c>
      <c r="AB738" s="24">
        <v>46030</v>
      </c>
    </row>
    <row r="739" spans="2:28" x14ac:dyDescent="0.2">
      <c r="C739" s="23">
        <v>1100573394</v>
      </c>
      <c r="E739" s="23">
        <v>30</v>
      </c>
      <c r="F739" s="23" t="s">
        <v>82</v>
      </c>
      <c r="G739" s="23" t="s">
        <v>139</v>
      </c>
      <c r="H739" s="24">
        <v>46104</v>
      </c>
      <c r="I739" s="24">
        <v>46104</v>
      </c>
      <c r="J739" s="23" t="s">
        <v>386</v>
      </c>
      <c r="K739" s="23" t="s">
        <v>386</v>
      </c>
      <c r="L739" s="23">
        <v>1</v>
      </c>
      <c r="M739" s="23" t="s">
        <v>78</v>
      </c>
      <c r="N739" s="23" t="s">
        <v>78</v>
      </c>
      <c r="O739" s="23">
        <v>0.01</v>
      </c>
      <c r="P739" s="23" t="s">
        <v>79</v>
      </c>
      <c r="Q739" s="23" t="s">
        <v>83</v>
      </c>
      <c r="R739" s="23">
        <v>11100176</v>
      </c>
      <c r="S739" s="24" t="s">
        <v>80</v>
      </c>
      <c r="T739" s="24">
        <v>46032</v>
      </c>
      <c r="U739" s="24" t="s">
        <v>80</v>
      </c>
      <c r="X739" s="24">
        <v>46030</v>
      </c>
      <c r="Y739" s="23">
        <v>1111</v>
      </c>
      <c r="Z739" s="23">
        <v>11100137</v>
      </c>
      <c r="AA739" s="23">
        <v>5051</v>
      </c>
      <c r="AB739" s="24">
        <v>46030</v>
      </c>
    </row>
    <row r="740" spans="2:28" x14ac:dyDescent="0.2">
      <c r="C740" s="23">
        <v>1100573394</v>
      </c>
      <c r="E740" s="23">
        <v>40</v>
      </c>
      <c r="F740" s="23" t="s">
        <v>84</v>
      </c>
      <c r="G740" s="23" t="s">
        <v>123</v>
      </c>
      <c r="H740" s="24">
        <v>46104</v>
      </c>
      <c r="I740" s="24">
        <v>46104</v>
      </c>
      <c r="J740" s="23" t="s">
        <v>386</v>
      </c>
      <c r="K740" s="23" t="s">
        <v>386</v>
      </c>
      <c r="L740" s="23">
        <v>1</v>
      </c>
      <c r="M740" s="23" t="s">
        <v>78</v>
      </c>
      <c r="N740" s="23" t="s">
        <v>78</v>
      </c>
      <c r="O740" s="23">
        <v>0.01</v>
      </c>
      <c r="P740" s="23" t="s">
        <v>79</v>
      </c>
      <c r="Q740" s="23" t="s">
        <v>83</v>
      </c>
      <c r="R740" s="23">
        <v>11100176</v>
      </c>
      <c r="S740" s="24" t="s">
        <v>80</v>
      </c>
      <c r="T740" s="24">
        <v>46032</v>
      </c>
      <c r="U740" s="24" t="s">
        <v>80</v>
      </c>
      <c r="X740" s="24">
        <v>46030</v>
      </c>
      <c r="Y740" s="23">
        <v>1111</v>
      </c>
      <c r="Z740" s="23">
        <v>11100137</v>
      </c>
      <c r="AA740" s="23">
        <v>5051</v>
      </c>
      <c r="AB740" s="24">
        <v>46030</v>
      </c>
    </row>
    <row r="741" spans="2:28" x14ac:dyDescent="0.2">
      <c r="B741" s="23" t="s">
        <v>81</v>
      </c>
      <c r="C741" s="23">
        <v>1100573394</v>
      </c>
      <c r="H741" s="24">
        <v>46104</v>
      </c>
      <c r="O741" s="23">
        <v>15410.52</v>
      </c>
      <c r="P741" s="23" t="s">
        <v>79</v>
      </c>
    </row>
    <row r="742" spans="2:28" x14ac:dyDescent="0.2">
      <c r="C742" s="23">
        <v>1100573396</v>
      </c>
      <c r="E742" s="23">
        <v>10</v>
      </c>
      <c r="F742" s="23" t="s">
        <v>1064</v>
      </c>
      <c r="G742" s="23" t="s">
        <v>1065</v>
      </c>
      <c r="H742" s="24">
        <v>46104</v>
      </c>
      <c r="I742" s="24">
        <v>46104</v>
      </c>
      <c r="J742" s="23" t="s">
        <v>386</v>
      </c>
      <c r="K742" s="23" t="s">
        <v>386</v>
      </c>
      <c r="L742" s="23">
        <v>2</v>
      </c>
      <c r="M742" s="23" t="s">
        <v>78</v>
      </c>
      <c r="N742" s="23" t="s">
        <v>78</v>
      </c>
      <c r="O742" s="23">
        <v>6041.7</v>
      </c>
      <c r="P742" s="23" t="s">
        <v>79</v>
      </c>
      <c r="Q742" s="23" t="s">
        <v>83</v>
      </c>
      <c r="R742" s="23">
        <v>11100176</v>
      </c>
      <c r="S742" s="24">
        <v>46073</v>
      </c>
      <c r="T742" s="24">
        <v>46032</v>
      </c>
      <c r="U742" s="24" t="s">
        <v>80</v>
      </c>
      <c r="X742" s="24">
        <v>46030</v>
      </c>
      <c r="Y742" s="23">
        <v>1111</v>
      </c>
      <c r="Z742" s="23">
        <v>11400937</v>
      </c>
      <c r="AA742" s="23">
        <v>5051</v>
      </c>
      <c r="AB742" s="24">
        <v>46030</v>
      </c>
    </row>
    <row r="743" spans="2:28" x14ac:dyDescent="0.2">
      <c r="C743" s="23">
        <v>1100573396</v>
      </c>
      <c r="E743" s="23">
        <v>20</v>
      </c>
      <c r="F743" s="23" t="s">
        <v>82</v>
      </c>
      <c r="G743" s="23" t="s">
        <v>139</v>
      </c>
      <c r="H743" s="24">
        <v>46104</v>
      </c>
      <c r="I743" s="24">
        <v>46104</v>
      </c>
      <c r="J743" s="23" t="s">
        <v>386</v>
      </c>
      <c r="K743" s="23" t="s">
        <v>386</v>
      </c>
      <c r="L743" s="23">
        <v>1</v>
      </c>
      <c r="M743" s="23" t="s">
        <v>78</v>
      </c>
      <c r="N743" s="23" t="s">
        <v>78</v>
      </c>
      <c r="O743" s="23">
        <v>0.01</v>
      </c>
      <c r="P743" s="23" t="s">
        <v>79</v>
      </c>
      <c r="Q743" s="23" t="s">
        <v>83</v>
      </c>
      <c r="R743" s="23">
        <v>11100176</v>
      </c>
      <c r="S743" s="24" t="s">
        <v>80</v>
      </c>
      <c r="T743" s="24">
        <v>46032</v>
      </c>
      <c r="U743" s="24" t="s">
        <v>80</v>
      </c>
      <c r="X743" s="24">
        <v>46030</v>
      </c>
      <c r="Y743" s="23">
        <v>1111</v>
      </c>
      <c r="Z743" s="23">
        <v>11400937</v>
      </c>
      <c r="AA743" s="23">
        <v>5051</v>
      </c>
      <c r="AB743" s="24">
        <v>46030</v>
      </c>
    </row>
    <row r="744" spans="2:28" x14ac:dyDescent="0.2">
      <c r="B744" s="23" t="s">
        <v>81</v>
      </c>
      <c r="C744" s="23">
        <v>1100573396</v>
      </c>
      <c r="H744" s="24">
        <v>46104</v>
      </c>
      <c r="O744" s="23">
        <v>6041.71</v>
      </c>
      <c r="P744" s="23" t="s">
        <v>79</v>
      </c>
    </row>
    <row r="745" spans="2:28" x14ac:dyDescent="0.2">
      <c r="C745" s="23">
        <v>1100573420</v>
      </c>
      <c r="E745" s="23">
        <v>20</v>
      </c>
      <c r="F745" s="23" t="s">
        <v>2287</v>
      </c>
      <c r="G745" s="23" t="s">
        <v>2288</v>
      </c>
      <c r="H745" s="24">
        <v>46104</v>
      </c>
      <c r="I745" s="24">
        <v>46104</v>
      </c>
      <c r="J745" s="23" t="s">
        <v>1885</v>
      </c>
      <c r="K745" s="23" t="s">
        <v>1885</v>
      </c>
      <c r="L745" s="23">
        <v>1</v>
      </c>
      <c r="M745" s="23" t="s">
        <v>78</v>
      </c>
      <c r="N745" s="23" t="s">
        <v>78</v>
      </c>
      <c r="O745" s="23">
        <v>1582.25</v>
      </c>
      <c r="P745" s="23" t="s">
        <v>79</v>
      </c>
      <c r="Q745" s="23" t="s">
        <v>83</v>
      </c>
      <c r="R745" s="23">
        <v>11100176</v>
      </c>
      <c r="S745" s="24">
        <v>46104</v>
      </c>
      <c r="T745" s="24">
        <v>46034</v>
      </c>
      <c r="U745" s="24">
        <v>47116</v>
      </c>
      <c r="X745" s="24">
        <v>46029</v>
      </c>
      <c r="Y745" s="23">
        <v>1111</v>
      </c>
      <c r="Z745" s="23">
        <v>11400606</v>
      </c>
      <c r="AA745" s="23">
        <v>395103</v>
      </c>
      <c r="AB745" s="24">
        <v>46031</v>
      </c>
    </row>
    <row r="746" spans="2:28" x14ac:dyDescent="0.2">
      <c r="C746" s="23">
        <v>1100573420</v>
      </c>
      <c r="E746" s="23">
        <v>30</v>
      </c>
      <c r="F746" s="23" t="s">
        <v>2289</v>
      </c>
      <c r="G746" s="23" t="s">
        <v>2290</v>
      </c>
      <c r="H746" s="24">
        <v>46104</v>
      </c>
      <c r="I746" s="24">
        <v>46104</v>
      </c>
      <c r="J746" s="23" t="s">
        <v>1885</v>
      </c>
      <c r="K746" s="23" t="s">
        <v>1885</v>
      </c>
      <c r="L746" s="23">
        <v>1</v>
      </c>
      <c r="M746" s="23" t="s">
        <v>78</v>
      </c>
      <c r="N746" s="23" t="s">
        <v>78</v>
      </c>
      <c r="O746" s="23">
        <v>2852</v>
      </c>
      <c r="P746" s="23" t="s">
        <v>79</v>
      </c>
      <c r="Q746" s="23" t="s">
        <v>83</v>
      </c>
      <c r="R746" s="23">
        <v>11100176</v>
      </c>
      <c r="S746" s="24">
        <v>46104</v>
      </c>
      <c r="T746" s="24">
        <v>46034</v>
      </c>
      <c r="U746" s="24">
        <v>47116</v>
      </c>
      <c r="X746" s="24">
        <v>46029</v>
      </c>
      <c r="Y746" s="23">
        <v>1111</v>
      </c>
      <c r="Z746" s="23">
        <v>11400606</v>
      </c>
      <c r="AA746" s="23">
        <v>395103</v>
      </c>
      <c r="AB746" s="24">
        <v>46031</v>
      </c>
    </row>
    <row r="747" spans="2:28" x14ac:dyDescent="0.2">
      <c r="B747" s="23" t="s">
        <v>81</v>
      </c>
      <c r="C747" s="23">
        <v>1100573420</v>
      </c>
      <c r="H747" s="24">
        <v>46104</v>
      </c>
      <c r="O747" s="23">
        <v>4434.25</v>
      </c>
      <c r="P747" s="23" t="s">
        <v>79</v>
      </c>
    </row>
    <row r="748" spans="2:28" x14ac:dyDescent="0.2">
      <c r="C748" s="23">
        <v>1100573422</v>
      </c>
      <c r="E748" s="23">
        <v>10</v>
      </c>
      <c r="F748" s="23" t="s">
        <v>1087</v>
      </c>
      <c r="G748" s="23" t="s">
        <v>1088</v>
      </c>
      <c r="H748" s="24">
        <v>46104</v>
      </c>
      <c r="I748" s="24">
        <v>46104</v>
      </c>
      <c r="J748" s="23" t="s">
        <v>1089</v>
      </c>
      <c r="K748" s="23" t="s">
        <v>1089</v>
      </c>
      <c r="L748" s="23">
        <v>3</v>
      </c>
      <c r="M748" s="23" t="s">
        <v>78</v>
      </c>
      <c r="N748" s="23" t="s">
        <v>78</v>
      </c>
      <c r="O748" s="23">
        <v>4559.58</v>
      </c>
      <c r="P748" s="23" t="s">
        <v>79</v>
      </c>
      <c r="Q748" s="23" t="s">
        <v>83</v>
      </c>
      <c r="R748" s="23">
        <v>11100176</v>
      </c>
      <c r="S748" s="24">
        <v>46069</v>
      </c>
      <c r="T748" s="24">
        <v>46034</v>
      </c>
      <c r="U748" s="24" t="s">
        <v>80</v>
      </c>
      <c r="X748" s="24">
        <v>46073</v>
      </c>
      <c r="Y748" s="23">
        <v>1111</v>
      </c>
      <c r="Z748" s="23">
        <v>11400606</v>
      </c>
      <c r="AA748" s="23">
        <v>5051</v>
      </c>
      <c r="AB748" s="24">
        <v>46030</v>
      </c>
    </row>
    <row r="749" spans="2:28" x14ac:dyDescent="0.2">
      <c r="C749" s="23">
        <v>1100573422</v>
      </c>
      <c r="E749" s="23">
        <v>20</v>
      </c>
      <c r="F749" s="23" t="s">
        <v>82</v>
      </c>
      <c r="G749" s="23" t="s">
        <v>139</v>
      </c>
      <c r="H749" s="24">
        <v>46104</v>
      </c>
      <c r="I749" s="24">
        <v>46104</v>
      </c>
      <c r="J749" s="23" t="s">
        <v>1089</v>
      </c>
      <c r="K749" s="23" t="s">
        <v>1089</v>
      </c>
      <c r="L749" s="23">
        <v>1</v>
      </c>
      <c r="M749" s="23" t="s">
        <v>78</v>
      </c>
      <c r="N749" s="23" t="s">
        <v>78</v>
      </c>
      <c r="O749" s="23">
        <v>0</v>
      </c>
      <c r="P749" s="23" t="s">
        <v>79</v>
      </c>
      <c r="Q749" s="23" t="s">
        <v>83</v>
      </c>
      <c r="R749" s="23">
        <v>11100176</v>
      </c>
      <c r="S749" s="24" t="s">
        <v>80</v>
      </c>
      <c r="T749" s="24">
        <v>46034</v>
      </c>
      <c r="U749" s="24" t="s">
        <v>80</v>
      </c>
      <c r="X749" s="24">
        <v>46073</v>
      </c>
      <c r="Y749" s="23">
        <v>1111</v>
      </c>
      <c r="Z749" s="23">
        <v>11400606</v>
      </c>
      <c r="AA749" s="23">
        <v>5051</v>
      </c>
      <c r="AB749" s="24">
        <v>46030</v>
      </c>
    </row>
    <row r="750" spans="2:28" x14ac:dyDescent="0.2">
      <c r="B750" s="23" t="s">
        <v>81</v>
      </c>
      <c r="C750" s="23">
        <v>1100573422</v>
      </c>
      <c r="H750" s="24">
        <v>46104</v>
      </c>
      <c r="O750" s="23">
        <v>4559.58</v>
      </c>
      <c r="P750" s="23" t="s">
        <v>79</v>
      </c>
    </row>
    <row r="751" spans="2:28" x14ac:dyDescent="0.2">
      <c r="C751" s="23">
        <v>1100573493</v>
      </c>
      <c r="E751" s="23">
        <v>10</v>
      </c>
      <c r="F751" s="23" t="s">
        <v>2993</v>
      </c>
      <c r="G751" s="23" t="s">
        <v>2994</v>
      </c>
      <c r="H751" s="24">
        <v>46104</v>
      </c>
      <c r="I751" s="24">
        <v>46104</v>
      </c>
      <c r="J751" s="23" t="s">
        <v>2995</v>
      </c>
      <c r="K751" s="23" t="s">
        <v>2995</v>
      </c>
      <c r="L751" s="23">
        <v>2</v>
      </c>
      <c r="M751" s="23" t="s">
        <v>78</v>
      </c>
      <c r="N751" s="23" t="s">
        <v>78</v>
      </c>
      <c r="O751" s="23">
        <v>4765.5</v>
      </c>
      <c r="P751" s="23" t="s">
        <v>79</v>
      </c>
      <c r="Q751" s="23" t="s">
        <v>83</v>
      </c>
      <c r="R751" s="23">
        <v>11100176</v>
      </c>
      <c r="S751" s="24">
        <v>46080</v>
      </c>
      <c r="T751" s="24">
        <v>46034</v>
      </c>
      <c r="U751" s="24" t="s">
        <v>80</v>
      </c>
      <c r="X751" s="24">
        <v>46021</v>
      </c>
      <c r="Y751" s="23">
        <v>1111</v>
      </c>
      <c r="Z751" s="23">
        <v>11400937</v>
      </c>
      <c r="AA751" s="23">
        <v>3351</v>
      </c>
      <c r="AB751" s="24">
        <v>45993</v>
      </c>
    </row>
    <row r="752" spans="2:28" x14ac:dyDescent="0.2">
      <c r="C752" s="23">
        <v>1100573493</v>
      </c>
      <c r="E752" s="23">
        <v>20</v>
      </c>
      <c r="F752" s="23" t="s">
        <v>2996</v>
      </c>
      <c r="G752" s="23" t="s">
        <v>2997</v>
      </c>
      <c r="H752" s="24">
        <v>46104</v>
      </c>
      <c r="I752" s="24">
        <v>46104</v>
      </c>
      <c r="J752" s="23" t="s">
        <v>2995</v>
      </c>
      <c r="K752" s="23" t="s">
        <v>2995</v>
      </c>
      <c r="L752" s="23">
        <v>2</v>
      </c>
      <c r="M752" s="23" t="s">
        <v>78</v>
      </c>
      <c r="N752" s="23" t="s">
        <v>78</v>
      </c>
      <c r="O752" s="23">
        <v>3004.6</v>
      </c>
      <c r="P752" s="23" t="s">
        <v>79</v>
      </c>
      <c r="Q752" s="23" t="s">
        <v>83</v>
      </c>
      <c r="R752" s="23">
        <v>11100176</v>
      </c>
      <c r="S752" s="24">
        <v>46080</v>
      </c>
      <c r="T752" s="24">
        <v>46034</v>
      </c>
      <c r="U752" s="24" t="s">
        <v>80</v>
      </c>
      <c r="X752" s="24">
        <v>46021</v>
      </c>
      <c r="Y752" s="23">
        <v>1111</v>
      </c>
      <c r="Z752" s="23">
        <v>11400937</v>
      </c>
      <c r="AA752" s="23">
        <v>3351</v>
      </c>
      <c r="AB752" s="24">
        <v>45993</v>
      </c>
    </row>
    <row r="753" spans="2:28" x14ac:dyDescent="0.2">
      <c r="C753" s="23">
        <v>1100573493</v>
      </c>
      <c r="E753" s="23">
        <v>30</v>
      </c>
      <c r="F753" s="23" t="s">
        <v>82</v>
      </c>
      <c r="G753" s="23" t="s">
        <v>139</v>
      </c>
      <c r="H753" s="24">
        <v>46104</v>
      </c>
      <c r="I753" s="24">
        <v>46104</v>
      </c>
      <c r="J753" s="23" t="s">
        <v>2995</v>
      </c>
      <c r="K753" s="23" t="s">
        <v>2995</v>
      </c>
      <c r="L753" s="23">
        <v>1</v>
      </c>
      <c r="M753" s="23" t="s">
        <v>78</v>
      </c>
      <c r="N753" s="23" t="s">
        <v>78</v>
      </c>
      <c r="O753" s="23">
        <v>0.01</v>
      </c>
      <c r="P753" s="23" t="s">
        <v>79</v>
      </c>
      <c r="Q753" s="23" t="s">
        <v>83</v>
      </c>
      <c r="R753" s="23">
        <v>11100176</v>
      </c>
      <c r="S753" s="24" t="s">
        <v>80</v>
      </c>
      <c r="T753" s="24">
        <v>46034</v>
      </c>
      <c r="U753" s="24" t="s">
        <v>80</v>
      </c>
      <c r="X753" s="24">
        <v>46021</v>
      </c>
      <c r="Y753" s="23">
        <v>1111</v>
      </c>
      <c r="Z753" s="23">
        <v>11400937</v>
      </c>
      <c r="AA753" s="23">
        <v>3351</v>
      </c>
      <c r="AB753" s="24">
        <v>45993</v>
      </c>
    </row>
    <row r="754" spans="2:28" x14ac:dyDescent="0.2">
      <c r="C754" s="23">
        <v>1100573493</v>
      </c>
      <c r="E754" s="23">
        <v>40</v>
      </c>
      <c r="F754" s="23" t="s">
        <v>84</v>
      </c>
      <c r="G754" s="23" t="s">
        <v>123</v>
      </c>
      <c r="H754" s="24">
        <v>46104</v>
      </c>
      <c r="I754" s="24">
        <v>46104</v>
      </c>
      <c r="J754" s="23" t="s">
        <v>2995</v>
      </c>
      <c r="K754" s="23" t="s">
        <v>2995</v>
      </c>
      <c r="L754" s="23">
        <v>1</v>
      </c>
      <c r="M754" s="23" t="s">
        <v>78</v>
      </c>
      <c r="N754" s="23" t="s">
        <v>78</v>
      </c>
      <c r="O754" s="23">
        <v>0.01</v>
      </c>
      <c r="P754" s="23" t="s">
        <v>79</v>
      </c>
      <c r="Q754" s="23" t="s">
        <v>83</v>
      </c>
      <c r="R754" s="23">
        <v>11100176</v>
      </c>
      <c r="S754" s="24" t="s">
        <v>80</v>
      </c>
      <c r="T754" s="24">
        <v>46034</v>
      </c>
      <c r="U754" s="24" t="s">
        <v>80</v>
      </c>
      <c r="X754" s="24">
        <v>46021</v>
      </c>
      <c r="Y754" s="23">
        <v>1111</v>
      </c>
      <c r="Z754" s="23">
        <v>11400937</v>
      </c>
      <c r="AA754" s="23">
        <v>3351</v>
      </c>
      <c r="AB754" s="24">
        <v>45993</v>
      </c>
    </row>
    <row r="755" spans="2:28" x14ac:dyDescent="0.2">
      <c r="B755" s="23" t="s">
        <v>81</v>
      </c>
      <c r="C755" s="23">
        <v>1100573493</v>
      </c>
      <c r="H755" s="24">
        <v>46104</v>
      </c>
      <c r="O755" s="23">
        <v>7770.12</v>
      </c>
      <c r="P755" s="23" t="s">
        <v>79</v>
      </c>
    </row>
    <row r="756" spans="2:28" x14ac:dyDescent="0.2">
      <c r="C756" s="23">
        <v>1100574368</v>
      </c>
      <c r="E756" s="23">
        <v>30</v>
      </c>
      <c r="F756" s="23" t="s">
        <v>2257</v>
      </c>
      <c r="G756" s="23" t="s">
        <v>2258</v>
      </c>
      <c r="H756" s="24">
        <v>46104</v>
      </c>
      <c r="I756" s="24">
        <v>46104</v>
      </c>
      <c r="J756" s="23" t="s">
        <v>1173</v>
      </c>
      <c r="K756" s="23" t="s">
        <v>1173</v>
      </c>
      <c r="L756" s="23">
        <v>4</v>
      </c>
      <c r="M756" s="23" t="s">
        <v>78</v>
      </c>
      <c r="N756" s="23" t="s">
        <v>78</v>
      </c>
      <c r="O756" s="23">
        <v>188.6</v>
      </c>
      <c r="P756" s="23" t="s">
        <v>79</v>
      </c>
      <c r="Q756" s="23" t="s">
        <v>83</v>
      </c>
      <c r="R756" s="23">
        <v>11100176</v>
      </c>
      <c r="S756" s="24">
        <v>46071</v>
      </c>
      <c r="T756" s="24">
        <v>46043</v>
      </c>
      <c r="U756" s="24">
        <v>47116</v>
      </c>
      <c r="X756" s="24">
        <v>46034</v>
      </c>
      <c r="Y756" s="23">
        <v>1111</v>
      </c>
      <c r="Z756" s="23">
        <v>11400937</v>
      </c>
      <c r="AA756" s="23">
        <v>395103</v>
      </c>
      <c r="AB756" s="24">
        <v>46038</v>
      </c>
    </row>
    <row r="757" spans="2:28" x14ac:dyDescent="0.2">
      <c r="B757" s="23" t="s">
        <v>81</v>
      </c>
      <c r="C757" s="23">
        <v>1100574368</v>
      </c>
      <c r="H757" s="24">
        <v>46104</v>
      </c>
      <c r="O757" s="23">
        <v>188.6</v>
      </c>
      <c r="P757" s="23" t="s">
        <v>79</v>
      </c>
    </row>
    <row r="758" spans="2:28" x14ac:dyDescent="0.2">
      <c r="C758" s="23">
        <v>1100574740</v>
      </c>
      <c r="E758" s="23">
        <v>10</v>
      </c>
      <c r="F758" s="23" t="s">
        <v>2998</v>
      </c>
      <c r="G758" s="23" t="s">
        <v>2999</v>
      </c>
      <c r="H758" s="24">
        <v>46104</v>
      </c>
      <c r="I758" s="24">
        <v>46104</v>
      </c>
      <c r="J758" s="23" t="s">
        <v>3000</v>
      </c>
      <c r="K758" s="23" t="s">
        <v>3000</v>
      </c>
      <c r="L758" s="23">
        <v>4</v>
      </c>
      <c r="M758" s="23" t="s">
        <v>78</v>
      </c>
      <c r="N758" s="23" t="s">
        <v>78</v>
      </c>
      <c r="O758" s="23">
        <v>10884.48</v>
      </c>
      <c r="P758" s="23" t="s">
        <v>79</v>
      </c>
      <c r="Q758" s="23" t="s">
        <v>83</v>
      </c>
      <c r="R758" s="23">
        <v>11100176</v>
      </c>
      <c r="S758" s="24">
        <v>46104</v>
      </c>
      <c r="T758" s="24">
        <v>46046</v>
      </c>
      <c r="U758" s="24" t="s">
        <v>80</v>
      </c>
      <c r="X758" s="24">
        <v>46044</v>
      </c>
      <c r="Y758" s="23">
        <v>1111</v>
      </c>
      <c r="Z758" s="23">
        <v>11400895</v>
      </c>
      <c r="AA758" s="23">
        <v>3951</v>
      </c>
      <c r="AB758" s="24">
        <v>46038</v>
      </c>
    </row>
    <row r="759" spans="2:28" x14ac:dyDescent="0.2">
      <c r="C759" s="23">
        <v>1100574740</v>
      </c>
      <c r="E759" s="23">
        <v>20</v>
      </c>
      <c r="F759" s="23" t="s">
        <v>94</v>
      </c>
      <c r="G759" s="23" t="s">
        <v>95</v>
      </c>
      <c r="H759" s="24">
        <v>46104</v>
      </c>
      <c r="I759" s="24">
        <v>46104</v>
      </c>
      <c r="J759" s="23" t="s">
        <v>3000</v>
      </c>
      <c r="K759" s="23" t="s">
        <v>3000</v>
      </c>
      <c r="L759" s="23">
        <v>1</v>
      </c>
      <c r="M759" s="23" t="s">
        <v>78</v>
      </c>
      <c r="N759" s="23" t="s">
        <v>78</v>
      </c>
      <c r="O759" s="23">
        <v>1247.72</v>
      </c>
      <c r="P759" s="23" t="s">
        <v>79</v>
      </c>
      <c r="Q759" s="23" t="s">
        <v>83</v>
      </c>
      <c r="R759" s="23">
        <v>11100176</v>
      </c>
      <c r="S759" s="24" t="s">
        <v>80</v>
      </c>
      <c r="T759" s="24">
        <v>46046</v>
      </c>
      <c r="U759" s="24" t="s">
        <v>80</v>
      </c>
      <c r="X759" s="24">
        <v>46044</v>
      </c>
      <c r="Y759" s="23">
        <v>1111</v>
      </c>
      <c r="Z759" s="23">
        <v>11400895</v>
      </c>
      <c r="AA759" s="23">
        <v>3951</v>
      </c>
      <c r="AB759" s="24">
        <v>46038</v>
      </c>
    </row>
    <row r="760" spans="2:28" x14ac:dyDescent="0.2">
      <c r="B760" s="23" t="s">
        <v>81</v>
      </c>
      <c r="C760" s="23">
        <v>1100574740</v>
      </c>
      <c r="H760" s="24">
        <v>46104</v>
      </c>
      <c r="O760" s="23">
        <v>12132.2</v>
      </c>
      <c r="P760" s="23" t="s">
        <v>79</v>
      </c>
    </row>
    <row r="761" spans="2:28" x14ac:dyDescent="0.2">
      <c r="C761" s="23">
        <v>1100574748</v>
      </c>
      <c r="E761" s="23">
        <v>10</v>
      </c>
      <c r="F761" s="23" t="s">
        <v>87</v>
      </c>
      <c r="G761" s="23" t="s">
        <v>3001</v>
      </c>
      <c r="H761" s="24">
        <v>46104</v>
      </c>
      <c r="I761" s="24">
        <v>46104</v>
      </c>
      <c r="J761" s="23" t="s">
        <v>1150</v>
      </c>
      <c r="K761" s="23" t="s">
        <v>1150</v>
      </c>
      <c r="L761" s="23">
        <v>1</v>
      </c>
      <c r="M761" s="23" t="s">
        <v>78</v>
      </c>
      <c r="N761" s="23" t="s">
        <v>78</v>
      </c>
      <c r="O761" s="23">
        <v>8456</v>
      </c>
      <c r="P761" s="23" t="s">
        <v>79</v>
      </c>
      <c r="Q761" s="23" t="s">
        <v>83</v>
      </c>
      <c r="R761" s="23">
        <v>11100176</v>
      </c>
      <c r="S761" s="24">
        <v>46102</v>
      </c>
      <c r="T761" s="24">
        <v>46046</v>
      </c>
      <c r="U761" s="24" t="s">
        <v>80</v>
      </c>
      <c r="X761" s="24">
        <v>46044</v>
      </c>
      <c r="Y761" s="23">
        <v>1111</v>
      </c>
      <c r="Z761" s="23">
        <v>11400811</v>
      </c>
      <c r="AA761" s="23">
        <v>505103</v>
      </c>
      <c r="AB761" s="24">
        <v>46030</v>
      </c>
    </row>
    <row r="762" spans="2:28" x14ac:dyDescent="0.2">
      <c r="C762" s="23">
        <v>1100574748</v>
      </c>
      <c r="E762" s="23">
        <v>20</v>
      </c>
      <c r="F762" s="23" t="s">
        <v>769</v>
      </c>
      <c r="G762" s="23" t="s">
        <v>770</v>
      </c>
      <c r="H762" s="24">
        <v>46104</v>
      </c>
      <c r="I762" s="24">
        <v>46149</v>
      </c>
      <c r="J762" s="23" t="s">
        <v>1150</v>
      </c>
      <c r="K762" s="23" t="s">
        <v>1150</v>
      </c>
      <c r="L762" s="23">
        <v>1</v>
      </c>
      <c r="M762" s="23" t="s">
        <v>78</v>
      </c>
      <c r="N762" s="23" t="s">
        <v>78</v>
      </c>
      <c r="O762" s="23">
        <v>45.4</v>
      </c>
      <c r="P762" s="23" t="s">
        <v>79</v>
      </c>
      <c r="Q762" s="23" t="s">
        <v>83</v>
      </c>
      <c r="R762" s="23">
        <v>11100176</v>
      </c>
      <c r="S762" s="24">
        <v>46052</v>
      </c>
      <c r="T762" s="24">
        <v>46046</v>
      </c>
      <c r="U762" s="24" t="s">
        <v>80</v>
      </c>
      <c r="X762" s="24">
        <v>46044</v>
      </c>
      <c r="Y762" s="23">
        <v>1111</v>
      </c>
      <c r="Z762" s="23">
        <v>11400811</v>
      </c>
      <c r="AA762" s="23">
        <v>505103</v>
      </c>
      <c r="AB762" s="24">
        <v>46030</v>
      </c>
    </row>
    <row r="763" spans="2:28" x14ac:dyDescent="0.2">
      <c r="C763" s="23">
        <v>1100574748</v>
      </c>
      <c r="E763" s="23">
        <v>30</v>
      </c>
      <c r="F763" s="23" t="s">
        <v>1762</v>
      </c>
      <c r="G763" s="23" t="s">
        <v>1763</v>
      </c>
      <c r="H763" s="24">
        <v>46104</v>
      </c>
      <c r="I763" s="24">
        <v>46104</v>
      </c>
      <c r="J763" s="23" t="s">
        <v>1150</v>
      </c>
      <c r="K763" s="23" t="s">
        <v>1150</v>
      </c>
      <c r="L763" s="23">
        <v>5</v>
      </c>
      <c r="M763" s="23" t="s">
        <v>78</v>
      </c>
      <c r="N763" s="23" t="s">
        <v>78</v>
      </c>
      <c r="O763" s="23">
        <v>87.7</v>
      </c>
      <c r="P763" s="23" t="s">
        <v>79</v>
      </c>
      <c r="Q763" s="23" t="s">
        <v>83</v>
      </c>
      <c r="R763" s="23">
        <v>11100176</v>
      </c>
      <c r="S763" s="24">
        <v>46052</v>
      </c>
      <c r="T763" s="24">
        <v>46046</v>
      </c>
      <c r="U763" s="24" t="s">
        <v>80</v>
      </c>
      <c r="X763" s="24">
        <v>46044</v>
      </c>
      <c r="Y763" s="23">
        <v>1111</v>
      </c>
      <c r="Z763" s="23">
        <v>11400811</v>
      </c>
      <c r="AA763" s="23">
        <v>505103</v>
      </c>
      <c r="AB763" s="24">
        <v>46030</v>
      </c>
    </row>
    <row r="764" spans="2:28" x14ac:dyDescent="0.2">
      <c r="C764" s="23">
        <v>1100574748</v>
      </c>
      <c r="E764" s="23">
        <v>40</v>
      </c>
      <c r="F764" s="23" t="s">
        <v>84</v>
      </c>
      <c r="G764" s="23" t="s">
        <v>123</v>
      </c>
      <c r="H764" s="24">
        <v>46104</v>
      </c>
      <c r="I764" s="24">
        <v>46104</v>
      </c>
      <c r="J764" s="23" t="s">
        <v>1150</v>
      </c>
      <c r="K764" s="23" t="s">
        <v>1150</v>
      </c>
      <c r="L764" s="23">
        <v>1</v>
      </c>
      <c r="M764" s="23" t="s">
        <v>78</v>
      </c>
      <c r="N764" s="23" t="s">
        <v>78</v>
      </c>
      <c r="O764" s="23">
        <v>0.01</v>
      </c>
      <c r="P764" s="23" t="s">
        <v>79</v>
      </c>
      <c r="Q764" s="23" t="s">
        <v>83</v>
      </c>
      <c r="R764" s="23">
        <v>11100176</v>
      </c>
      <c r="S764" s="24" t="s">
        <v>80</v>
      </c>
      <c r="T764" s="24">
        <v>46046</v>
      </c>
      <c r="U764" s="24" t="s">
        <v>80</v>
      </c>
      <c r="X764" s="24">
        <v>46044</v>
      </c>
      <c r="Y764" s="23">
        <v>1111</v>
      </c>
      <c r="Z764" s="23">
        <v>11400811</v>
      </c>
      <c r="AA764" s="23">
        <v>505103</v>
      </c>
      <c r="AB764" s="24">
        <v>46030</v>
      </c>
    </row>
    <row r="765" spans="2:28" x14ac:dyDescent="0.2">
      <c r="C765" s="23">
        <v>1100574748</v>
      </c>
      <c r="E765" s="23">
        <v>50</v>
      </c>
      <c r="F765" s="23" t="s">
        <v>82</v>
      </c>
      <c r="G765" s="23" t="s">
        <v>139</v>
      </c>
      <c r="H765" s="24">
        <v>46104</v>
      </c>
      <c r="I765" s="24">
        <v>46104</v>
      </c>
      <c r="J765" s="23" t="s">
        <v>1150</v>
      </c>
      <c r="K765" s="23" t="s">
        <v>1150</v>
      </c>
      <c r="L765" s="23">
        <v>1</v>
      </c>
      <c r="M765" s="23" t="s">
        <v>78</v>
      </c>
      <c r="N765" s="23" t="s">
        <v>78</v>
      </c>
      <c r="O765" s="23">
        <v>0.01</v>
      </c>
      <c r="P765" s="23" t="s">
        <v>79</v>
      </c>
      <c r="Q765" s="23" t="s">
        <v>83</v>
      </c>
      <c r="R765" s="23">
        <v>11100176</v>
      </c>
      <c r="S765" s="24" t="s">
        <v>80</v>
      </c>
      <c r="T765" s="24">
        <v>46046</v>
      </c>
      <c r="U765" s="24" t="s">
        <v>80</v>
      </c>
      <c r="X765" s="24">
        <v>46044</v>
      </c>
      <c r="Y765" s="23">
        <v>1111</v>
      </c>
      <c r="Z765" s="23">
        <v>11400811</v>
      </c>
      <c r="AA765" s="23">
        <v>505103</v>
      </c>
      <c r="AB765" s="24">
        <v>46030</v>
      </c>
    </row>
    <row r="766" spans="2:28" x14ac:dyDescent="0.2">
      <c r="B766" s="23" t="s">
        <v>81</v>
      </c>
      <c r="C766" s="23">
        <v>1100574748</v>
      </c>
      <c r="H766" s="24">
        <v>46104</v>
      </c>
      <c r="O766" s="23">
        <v>8589.1200000000008</v>
      </c>
      <c r="P766" s="23" t="s">
        <v>79</v>
      </c>
    </row>
    <row r="767" spans="2:28" x14ac:dyDescent="0.2">
      <c r="C767" s="23">
        <v>1100574760</v>
      </c>
      <c r="E767" s="23">
        <v>10</v>
      </c>
      <c r="F767" s="23" t="s">
        <v>3002</v>
      </c>
      <c r="G767" s="23" t="s">
        <v>3003</v>
      </c>
      <c r="H767" s="24">
        <v>46104</v>
      </c>
      <c r="I767" s="24">
        <v>46104</v>
      </c>
      <c r="J767" s="23" t="s">
        <v>92</v>
      </c>
      <c r="K767" s="23" t="s">
        <v>92</v>
      </c>
      <c r="L767" s="23">
        <v>1</v>
      </c>
      <c r="M767" s="23" t="s">
        <v>78</v>
      </c>
      <c r="N767" s="23" t="s">
        <v>78</v>
      </c>
      <c r="O767" s="23">
        <v>1759.55</v>
      </c>
      <c r="P767" s="23" t="s">
        <v>79</v>
      </c>
      <c r="Q767" s="23" t="s">
        <v>83</v>
      </c>
      <c r="R767" s="23">
        <v>11100176</v>
      </c>
      <c r="S767" s="24">
        <v>46102</v>
      </c>
      <c r="T767" s="24">
        <v>46046</v>
      </c>
      <c r="U767" s="24" t="s">
        <v>80</v>
      </c>
      <c r="X767" s="24">
        <v>46044</v>
      </c>
      <c r="Y767" s="23">
        <v>1111</v>
      </c>
      <c r="Z767" s="23">
        <v>11400811</v>
      </c>
      <c r="AA767" s="23">
        <v>525103</v>
      </c>
      <c r="AB767" s="24">
        <v>46044</v>
      </c>
    </row>
    <row r="768" spans="2:28" x14ac:dyDescent="0.2">
      <c r="C768" s="23">
        <v>1100574760</v>
      </c>
      <c r="E768" s="23">
        <v>20</v>
      </c>
      <c r="F768" s="23" t="s">
        <v>2255</v>
      </c>
      <c r="G768" s="23" t="s">
        <v>2256</v>
      </c>
      <c r="H768" s="24">
        <v>46104</v>
      </c>
      <c r="I768" s="24">
        <v>46104</v>
      </c>
      <c r="J768" s="23" t="s">
        <v>92</v>
      </c>
      <c r="K768" s="23" t="s">
        <v>92</v>
      </c>
      <c r="L768" s="23">
        <v>3</v>
      </c>
      <c r="M768" s="23" t="s">
        <v>78</v>
      </c>
      <c r="N768" s="23" t="s">
        <v>78</v>
      </c>
      <c r="O768" s="23">
        <v>142.11000000000001</v>
      </c>
      <c r="P768" s="23" t="s">
        <v>79</v>
      </c>
      <c r="Q768" s="23" t="s">
        <v>83</v>
      </c>
      <c r="R768" s="23">
        <v>11100176</v>
      </c>
      <c r="S768" s="24">
        <v>46102</v>
      </c>
      <c r="T768" s="24">
        <v>46046</v>
      </c>
      <c r="U768" s="24" t="s">
        <v>80</v>
      </c>
      <c r="X768" s="24">
        <v>46044</v>
      </c>
      <c r="Y768" s="23">
        <v>1111</v>
      </c>
      <c r="Z768" s="23">
        <v>11400811</v>
      </c>
      <c r="AA768" s="23">
        <v>525103</v>
      </c>
      <c r="AB768" s="24">
        <v>46044</v>
      </c>
    </row>
    <row r="769" spans="2:28" x14ac:dyDescent="0.2">
      <c r="B769" s="23" t="s">
        <v>81</v>
      </c>
      <c r="C769" s="23">
        <v>1100574760</v>
      </c>
      <c r="H769" s="24">
        <v>46104</v>
      </c>
      <c r="O769" s="23">
        <v>1901.66</v>
      </c>
      <c r="P769" s="23" t="s">
        <v>79</v>
      </c>
    </row>
    <row r="770" spans="2:28" x14ac:dyDescent="0.2">
      <c r="C770" s="23">
        <v>1100576010</v>
      </c>
      <c r="E770" s="23">
        <v>10</v>
      </c>
      <c r="F770" s="23" t="s">
        <v>507</v>
      </c>
      <c r="G770" s="23" t="s">
        <v>508</v>
      </c>
      <c r="H770" s="24">
        <v>46104</v>
      </c>
      <c r="I770" s="24">
        <v>46104</v>
      </c>
      <c r="J770" s="23" t="s">
        <v>3004</v>
      </c>
      <c r="K770" s="23" t="s">
        <v>3004</v>
      </c>
      <c r="L770" s="23">
        <v>1</v>
      </c>
      <c r="M770" s="23" t="s">
        <v>78</v>
      </c>
      <c r="N770" s="23" t="s">
        <v>78</v>
      </c>
      <c r="O770" s="23">
        <v>194.63</v>
      </c>
      <c r="P770" s="23" t="s">
        <v>79</v>
      </c>
      <c r="Q770" s="23" t="s">
        <v>83</v>
      </c>
      <c r="R770" s="23">
        <v>11100176</v>
      </c>
      <c r="S770" s="24">
        <v>46100</v>
      </c>
      <c r="T770" s="24">
        <v>46058</v>
      </c>
      <c r="U770" s="24">
        <v>47116</v>
      </c>
      <c r="X770" s="24">
        <v>46056</v>
      </c>
      <c r="Y770" s="23">
        <v>1111</v>
      </c>
      <c r="Z770" s="23">
        <v>11100137</v>
      </c>
      <c r="AA770" s="23">
        <v>3951</v>
      </c>
      <c r="AB770" s="24">
        <v>45828</v>
      </c>
    </row>
    <row r="771" spans="2:28" x14ac:dyDescent="0.2">
      <c r="C771" s="23">
        <v>1100576010</v>
      </c>
      <c r="E771" s="23">
        <v>20</v>
      </c>
      <c r="F771" s="23" t="s">
        <v>2204</v>
      </c>
      <c r="G771" s="23" t="s">
        <v>2205</v>
      </c>
      <c r="H771" s="24">
        <v>46104</v>
      </c>
      <c r="I771" s="24">
        <v>46104</v>
      </c>
      <c r="J771" s="23" t="s">
        <v>3004</v>
      </c>
      <c r="K771" s="23" t="s">
        <v>3004</v>
      </c>
      <c r="L771" s="23">
        <v>1</v>
      </c>
      <c r="M771" s="23" t="s">
        <v>78</v>
      </c>
      <c r="N771" s="23" t="s">
        <v>78</v>
      </c>
      <c r="O771" s="23">
        <v>76.8</v>
      </c>
      <c r="P771" s="23" t="s">
        <v>79</v>
      </c>
      <c r="Q771" s="23" t="s">
        <v>83</v>
      </c>
      <c r="R771" s="23">
        <v>11100176</v>
      </c>
      <c r="S771" s="24">
        <v>46100</v>
      </c>
      <c r="T771" s="24">
        <v>46058</v>
      </c>
      <c r="U771" s="24">
        <v>47116</v>
      </c>
      <c r="X771" s="24">
        <v>46056</v>
      </c>
      <c r="Y771" s="23">
        <v>1111</v>
      </c>
      <c r="Z771" s="23">
        <v>11100137</v>
      </c>
      <c r="AA771" s="23">
        <v>3951</v>
      </c>
      <c r="AB771" s="24">
        <v>45828</v>
      </c>
    </row>
    <row r="772" spans="2:28" x14ac:dyDescent="0.2">
      <c r="C772" s="23">
        <v>1100576010</v>
      </c>
      <c r="E772" s="23">
        <v>30</v>
      </c>
      <c r="F772" s="23" t="s">
        <v>1901</v>
      </c>
      <c r="G772" s="23" t="s">
        <v>1902</v>
      </c>
      <c r="H772" s="24">
        <v>46104</v>
      </c>
      <c r="I772" s="24">
        <v>46104</v>
      </c>
      <c r="J772" s="23" t="s">
        <v>3004</v>
      </c>
      <c r="K772" s="23" t="s">
        <v>3004</v>
      </c>
      <c r="L772" s="23">
        <v>2</v>
      </c>
      <c r="M772" s="23" t="s">
        <v>78</v>
      </c>
      <c r="N772" s="23" t="s">
        <v>78</v>
      </c>
      <c r="O772" s="23">
        <v>16.14</v>
      </c>
      <c r="P772" s="23" t="s">
        <v>79</v>
      </c>
      <c r="Q772" s="23" t="s">
        <v>83</v>
      </c>
      <c r="R772" s="23">
        <v>11100176</v>
      </c>
      <c r="S772" s="24">
        <v>46100</v>
      </c>
      <c r="T772" s="24">
        <v>46058</v>
      </c>
      <c r="U772" s="24">
        <v>47116</v>
      </c>
      <c r="X772" s="24">
        <v>46056</v>
      </c>
      <c r="Y772" s="23">
        <v>1111</v>
      </c>
      <c r="Z772" s="23">
        <v>11100137</v>
      </c>
      <c r="AA772" s="23">
        <v>3951</v>
      </c>
      <c r="AB772" s="24">
        <v>45828</v>
      </c>
    </row>
    <row r="773" spans="2:28" x14ac:dyDescent="0.2">
      <c r="C773" s="23">
        <v>1100576010</v>
      </c>
      <c r="E773" s="23">
        <v>40</v>
      </c>
      <c r="F773" s="23" t="s">
        <v>3005</v>
      </c>
      <c r="G773" s="23" t="s">
        <v>3006</v>
      </c>
      <c r="H773" s="24">
        <v>46104</v>
      </c>
      <c r="I773" s="24">
        <v>46104</v>
      </c>
      <c r="J773" s="23" t="s">
        <v>3004</v>
      </c>
      <c r="K773" s="23" t="s">
        <v>3004</v>
      </c>
      <c r="L773" s="23">
        <v>4</v>
      </c>
      <c r="M773" s="23" t="s">
        <v>78</v>
      </c>
      <c r="N773" s="23" t="s">
        <v>78</v>
      </c>
      <c r="O773" s="23">
        <v>27.04</v>
      </c>
      <c r="P773" s="23" t="s">
        <v>79</v>
      </c>
      <c r="Q773" s="23" t="s">
        <v>83</v>
      </c>
      <c r="R773" s="23">
        <v>11100176</v>
      </c>
      <c r="S773" s="24">
        <v>46100</v>
      </c>
      <c r="T773" s="24">
        <v>46058</v>
      </c>
      <c r="U773" s="24">
        <v>47116</v>
      </c>
      <c r="X773" s="24">
        <v>46056</v>
      </c>
      <c r="Y773" s="23">
        <v>1111</v>
      </c>
      <c r="Z773" s="23">
        <v>11100137</v>
      </c>
      <c r="AA773" s="23">
        <v>3951</v>
      </c>
      <c r="AB773" s="24">
        <v>45828</v>
      </c>
    </row>
    <row r="774" spans="2:28" x14ac:dyDescent="0.2">
      <c r="C774" s="23">
        <v>1100576010</v>
      </c>
      <c r="E774" s="23">
        <v>50</v>
      </c>
      <c r="F774" s="23" t="s">
        <v>1858</v>
      </c>
      <c r="G774" s="23" t="s">
        <v>2203</v>
      </c>
      <c r="H774" s="24">
        <v>46104</v>
      </c>
      <c r="I774" s="24">
        <v>46104</v>
      </c>
      <c r="J774" s="23" t="s">
        <v>3004</v>
      </c>
      <c r="K774" s="23" t="s">
        <v>3004</v>
      </c>
      <c r="L774" s="23">
        <v>4</v>
      </c>
      <c r="M774" s="23" t="s">
        <v>78</v>
      </c>
      <c r="N774" s="23" t="s">
        <v>78</v>
      </c>
      <c r="O774" s="23">
        <v>44.68</v>
      </c>
      <c r="P774" s="23" t="s">
        <v>79</v>
      </c>
      <c r="Q774" s="23" t="s">
        <v>83</v>
      </c>
      <c r="R774" s="23">
        <v>11100176</v>
      </c>
      <c r="S774" s="24">
        <v>46100</v>
      </c>
      <c r="T774" s="24">
        <v>46058</v>
      </c>
      <c r="U774" s="24">
        <v>47116</v>
      </c>
      <c r="X774" s="24">
        <v>46056</v>
      </c>
      <c r="Y774" s="23">
        <v>1111</v>
      </c>
      <c r="Z774" s="23">
        <v>11100137</v>
      </c>
      <c r="AA774" s="23">
        <v>3951</v>
      </c>
      <c r="AB774" s="24">
        <v>45828</v>
      </c>
    </row>
    <row r="775" spans="2:28" x14ac:dyDescent="0.2">
      <c r="C775" s="23">
        <v>1100576010</v>
      </c>
      <c r="E775" s="23">
        <v>60</v>
      </c>
      <c r="F775" s="23" t="s">
        <v>1148</v>
      </c>
      <c r="G775" s="23" t="s">
        <v>1149</v>
      </c>
      <c r="H775" s="24">
        <v>46104</v>
      </c>
      <c r="I775" s="24">
        <v>46104</v>
      </c>
      <c r="J775" s="23" t="s">
        <v>3004</v>
      </c>
      <c r="K775" s="23" t="s">
        <v>3004</v>
      </c>
      <c r="L775" s="23">
        <v>2</v>
      </c>
      <c r="M775" s="23" t="s">
        <v>78</v>
      </c>
      <c r="N775" s="23" t="s">
        <v>78</v>
      </c>
      <c r="O775" s="23">
        <v>36.5</v>
      </c>
      <c r="P775" s="23" t="s">
        <v>79</v>
      </c>
      <c r="Q775" s="23" t="s">
        <v>83</v>
      </c>
      <c r="R775" s="23">
        <v>11100176</v>
      </c>
      <c r="S775" s="24">
        <v>46100</v>
      </c>
      <c r="T775" s="24">
        <v>46058</v>
      </c>
      <c r="U775" s="24">
        <v>47116</v>
      </c>
      <c r="X775" s="24">
        <v>46056</v>
      </c>
      <c r="Y775" s="23">
        <v>1111</v>
      </c>
      <c r="Z775" s="23">
        <v>11100137</v>
      </c>
      <c r="AA775" s="23">
        <v>3951</v>
      </c>
      <c r="AB775" s="24">
        <v>45828</v>
      </c>
    </row>
    <row r="776" spans="2:28" x14ac:dyDescent="0.2">
      <c r="C776" s="23">
        <v>1100576010</v>
      </c>
      <c r="E776" s="23">
        <v>70</v>
      </c>
      <c r="F776" s="23" t="s">
        <v>3007</v>
      </c>
      <c r="G776" s="23" t="s">
        <v>3008</v>
      </c>
      <c r="H776" s="24">
        <v>46104</v>
      </c>
      <c r="I776" s="24">
        <v>46104</v>
      </c>
      <c r="J776" s="23" t="s">
        <v>3004</v>
      </c>
      <c r="K776" s="23" t="s">
        <v>3004</v>
      </c>
      <c r="L776" s="23">
        <v>2</v>
      </c>
      <c r="M776" s="23" t="s">
        <v>78</v>
      </c>
      <c r="N776" s="23" t="s">
        <v>78</v>
      </c>
      <c r="O776" s="23">
        <v>26.82</v>
      </c>
      <c r="P776" s="23" t="s">
        <v>79</v>
      </c>
      <c r="Q776" s="23" t="s">
        <v>83</v>
      </c>
      <c r="R776" s="23">
        <v>11100176</v>
      </c>
      <c r="S776" s="24">
        <v>46100</v>
      </c>
      <c r="T776" s="24">
        <v>46058</v>
      </c>
      <c r="U776" s="24">
        <v>47116</v>
      </c>
      <c r="X776" s="24">
        <v>46056</v>
      </c>
      <c r="Y776" s="23">
        <v>1111</v>
      </c>
      <c r="Z776" s="23">
        <v>11100137</v>
      </c>
      <c r="AA776" s="23">
        <v>3951</v>
      </c>
      <c r="AB776" s="24">
        <v>45828</v>
      </c>
    </row>
    <row r="777" spans="2:28" x14ac:dyDescent="0.2">
      <c r="C777" s="23">
        <v>1100576010</v>
      </c>
      <c r="E777" s="23">
        <v>80</v>
      </c>
      <c r="F777" s="23" t="s">
        <v>491</v>
      </c>
      <c r="G777" s="23" t="s">
        <v>492</v>
      </c>
      <c r="H777" s="24">
        <v>46104</v>
      </c>
      <c r="I777" s="24">
        <v>46104</v>
      </c>
      <c r="J777" s="23" t="s">
        <v>3004</v>
      </c>
      <c r="K777" s="23" t="s">
        <v>3004</v>
      </c>
      <c r="L777" s="23">
        <v>2</v>
      </c>
      <c r="M777" s="23" t="s">
        <v>78</v>
      </c>
      <c r="N777" s="23" t="s">
        <v>78</v>
      </c>
      <c r="O777" s="23">
        <v>3448.92</v>
      </c>
      <c r="P777" s="23" t="s">
        <v>79</v>
      </c>
      <c r="Q777" s="23" t="s">
        <v>83</v>
      </c>
      <c r="R777" s="23">
        <v>11100176</v>
      </c>
      <c r="S777" s="24">
        <v>46100</v>
      </c>
      <c r="T777" s="24">
        <v>46058</v>
      </c>
      <c r="U777" s="24">
        <v>47116</v>
      </c>
      <c r="X777" s="24">
        <v>46056</v>
      </c>
      <c r="Y777" s="23">
        <v>1111</v>
      </c>
      <c r="Z777" s="23">
        <v>11100137</v>
      </c>
      <c r="AA777" s="23">
        <v>3951</v>
      </c>
      <c r="AB777" s="24">
        <v>45828</v>
      </c>
    </row>
    <row r="778" spans="2:28" x14ac:dyDescent="0.2">
      <c r="C778" s="23">
        <v>1100576010</v>
      </c>
      <c r="E778" s="23">
        <v>90</v>
      </c>
      <c r="F778" s="23" t="s">
        <v>3009</v>
      </c>
      <c r="G778" s="23" t="s">
        <v>3010</v>
      </c>
      <c r="H778" s="24">
        <v>46104</v>
      </c>
      <c r="I778" s="24">
        <v>46104</v>
      </c>
      <c r="J778" s="23" t="s">
        <v>3004</v>
      </c>
      <c r="K778" s="23" t="s">
        <v>3004</v>
      </c>
      <c r="L778" s="23">
        <v>1</v>
      </c>
      <c r="M778" s="23" t="s">
        <v>78</v>
      </c>
      <c r="N778" s="23" t="s">
        <v>78</v>
      </c>
      <c r="O778" s="23">
        <v>256.47000000000003</v>
      </c>
      <c r="P778" s="23" t="s">
        <v>79</v>
      </c>
      <c r="Q778" s="23" t="s">
        <v>83</v>
      </c>
      <c r="R778" s="23">
        <v>11100176</v>
      </c>
      <c r="S778" s="24">
        <v>46100</v>
      </c>
      <c r="T778" s="24">
        <v>46058</v>
      </c>
      <c r="U778" s="24">
        <v>47116</v>
      </c>
      <c r="X778" s="24">
        <v>46056</v>
      </c>
      <c r="Y778" s="23">
        <v>1111</v>
      </c>
      <c r="Z778" s="23">
        <v>11100137</v>
      </c>
      <c r="AA778" s="23">
        <v>3951</v>
      </c>
      <c r="AB778" s="24">
        <v>45828</v>
      </c>
    </row>
    <row r="779" spans="2:28" x14ac:dyDescent="0.2">
      <c r="C779" s="23">
        <v>1100576010</v>
      </c>
      <c r="E779" s="23">
        <v>100</v>
      </c>
      <c r="F779" s="23" t="s">
        <v>3011</v>
      </c>
      <c r="G779" s="23" t="s">
        <v>3012</v>
      </c>
      <c r="H779" s="24">
        <v>46104</v>
      </c>
      <c r="I779" s="24">
        <v>46104</v>
      </c>
      <c r="J779" s="23" t="s">
        <v>3004</v>
      </c>
      <c r="K779" s="23" t="s">
        <v>3004</v>
      </c>
      <c r="L779" s="23">
        <v>1</v>
      </c>
      <c r="M779" s="23" t="s">
        <v>78</v>
      </c>
      <c r="N779" s="23" t="s">
        <v>78</v>
      </c>
      <c r="O779" s="23">
        <v>1638.23</v>
      </c>
      <c r="P779" s="23" t="s">
        <v>79</v>
      </c>
      <c r="Q779" s="23" t="s">
        <v>83</v>
      </c>
      <c r="R779" s="23">
        <v>11100176</v>
      </c>
      <c r="S779" s="24">
        <v>46100</v>
      </c>
      <c r="T779" s="24">
        <v>46058</v>
      </c>
      <c r="U779" s="24">
        <v>47116</v>
      </c>
      <c r="X779" s="24">
        <v>46056</v>
      </c>
      <c r="Y779" s="23">
        <v>1111</v>
      </c>
      <c r="Z779" s="23">
        <v>11100137</v>
      </c>
      <c r="AA779" s="23">
        <v>3951</v>
      </c>
      <c r="AB779" s="24">
        <v>45828</v>
      </c>
    </row>
    <row r="780" spans="2:28" x14ac:dyDescent="0.2">
      <c r="C780" s="23">
        <v>1100576010</v>
      </c>
      <c r="E780" s="23">
        <v>110</v>
      </c>
      <c r="F780" s="23" t="s">
        <v>406</v>
      </c>
      <c r="G780" s="23" t="s">
        <v>407</v>
      </c>
      <c r="H780" s="24">
        <v>46104</v>
      </c>
      <c r="I780" s="24">
        <v>46104</v>
      </c>
      <c r="J780" s="23" t="s">
        <v>3004</v>
      </c>
      <c r="K780" s="23" t="s">
        <v>3004</v>
      </c>
      <c r="L780" s="23">
        <v>1</v>
      </c>
      <c r="M780" s="23" t="s">
        <v>78</v>
      </c>
      <c r="N780" s="23" t="s">
        <v>78</v>
      </c>
      <c r="O780" s="23">
        <v>97.02</v>
      </c>
      <c r="P780" s="23" t="s">
        <v>79</v>
      </c>
      <c r="Q780" s="23" t="s">
        <v>83</v>
      </c>
      <c r="R780" s="23">
        <v>11100176</v>
      </c>
      <c r="S780" s="24">
        <v>46100</v>
      </c>
      <c r="T780" s="24">
        <v>46058</v>
      </c>
      <c r="U780" s="24">
        <v>47116</v>
      </c>
      <c r="X780" s="24">
        <v>46056</v>
      </c>
      <c r="Y780" s="23">
        <v>1111</v>
      </c>
      <c r="Z780" s="23">
        <v>11100137</v>
      </c>
      <c r="AA780" s="23">
        <v>3951</v>
      </c>
      <c r="AB780" s="24">
        <v>45828</v>
      </c>
    </row>
    <row r="781" spans="2:28" x14ac:dyDescent="0.2">
      <c r="C781" s="23">
        <v>1100576010</v>
      </c>
      <c r="E781" s="23">
        <v>120</v>
      </c>
      <c r="F781" s="23" t="s">
        <v>1859</v>
      </c>
      <c r="G781" s="23" t="s">
        <v>733</v>
      </c>
      <c r="H781" s="24">
        <v>46104</v>
      </c>
      <c r="I781" s="24">
        <v>46104</v>
      </c>
      <c r="J781" s="23" t="s">
        <v>3004</v>
      </c>
      <c r="K781" s="23" t="s">
        <v>3004</v>
      </c>
      <c r="L781" s="23">
        <v>1</v>
      </c>
      <c r="M781" s="23" t="s">
        <v>78</v>
      </c>
      <c r="N781" s="23" t="s">
        <v>78</v>
      </c>
      <c r="O781" s="23">
        <v>173.08</v>
      </c>
      <c r="P781" s="23" t="s">
        <v>79</v>
      </c>
      <c r="Q781" s="23" t="s">
        <v>83</v>
      </c>
      <c r="R781" s="23">
        <v>11100176</v>
      </c>
      <c r="S781" s="24">
        <v>46100</v>
      </c>
      <c r="T781" s="24">
        <v>46058</v>
      </c>
      <c r="U781" s="24">
        <v>47116</v>
      </c>
      <c r="X781" s="24">
        <v>46056</v>
      </c>
      <c r="Y781" s="23">
        <v>1111</v>
      </c>
      <c r="Z781" s="23">
        <v>11100137</v>
      </c>
      <c r="AA781" s="23">
        <v>3951</v>
      </c>
      <c r="AB781" s="24">
        <v>45828</v>
      </c>
    </row>
    <row r="782" spans="2:28" x14ac:dyDescent="0.2">
      <c r="C782" s="23">
        <v>1100576010</v>
      </c>
      <c r="E782" s="23">
        <v>130</v>
      </c>
      <c r="F782" s="23" t="s">
        <v>725</v>
      </c>
      <c r="G782" s="23" t="s">
        <v>726</v>
      </c>
      <c r="H782" s="24">
        <v>46104</v>
      </c>
      <c r="I782" s="24">
        <v>46104</v>
      </c>
      <c r="J782" s="23" t="s">
        <v>3004</v>
      </c>
      <c r="K782" s="23" t="s">
        <v>3004</v>
      </c>
      <c r="L782" s="23">
        <v>1</v>
      </c>
      <c r="M782" s="23" t="s">
        <v>78</v>
      </c>
      <c r="N782" s="23" t="s">
        <v>78</v>
      </c>
      <c r="O782" s="23">
        <v>1494.41</v>
      </c>
      <c r="P782" s="23" t="s">
        <v>79</v>
      </c>
      <c r="Q782" s="23" t="s">
        <v>83</v>
      </c>
      <c r="R782" s="23">
        <v>11100176</v>
      </c>
      <c r="S782" s="24">
        <v>46100</v>
      </c>
      <c r="T782" s="24">
        <v>46058</v>
      </c>
      <c r="U782" s="24">
        <v>47116</v>
      </c>
      <c r="X782" s="24">
        <v>46056</v>
      </c>
      <c r="Y782" s="23">
        <v>1111</v>
      </c>
      <c r="Z782" s="23">
        <v>11100137</v>
      </c>
      <c r="AA782" s="23">
        <v>3951</v>
      </c>
      <c r="AB782" s="24">
        <v>45828</v>
      </c>
    </row>
    <row r="783" spans="2:28" x14ac:dyDescent="0.2">
      <c r="C783" s="23">
        <v>1100576010</v>
      </c>
      <c r="E783" s="23">
        <v>140</v>
      </c>
      <c r="F783" s="23" t="s">
        <v>3013</v>
      </c>
      <c r="G783" s="23" t="s">
        <v>3014</v>
      </c>
      <c r="H783" s="24">
        <v>46104</v>
      </c>
      <c r="I783" s="24">
        <v>46104</v>
      </c>
      <c r="J783" s="23" t="s">
        <v>3004</v>
      </c>
      <c r="K783" s="23" t="s">
        <v>3004</v>
      </c>
      <c r="L783" s="23">
        <v>2</v>
      </c>
      <c r="M783" s="23" t="s">
        <v>78</v>
      </c>
      <c r="N783" s="23" t="s">
        <v>78</v>
      </c>
      <c r="O783" s="23">
        <v>2521.04</v>
      </c>
      <c r="P783" s="23" t="s">
        <v>79</v>
      </c>
      <c r="Q783" s="23" t="s">
        <v>83</v>
      </c>
      <c r="R783" s="23">
        <v>11100176</v>
      </c>
      <c r="S783" s="24">
        <v>46100</v>
      </c>
      <c r="T783" s="24">
        <v>46058</v>
      </c>
      <c r="U783" s="24">
        <v>47116</v>
      </c>
      <c r="X783" s="24">
        <v>46056</v>
      </c>
      <c r="Y783" s="23">
        <v>1111</v>
      </c>
      <c r="Z783" s="23">
        <v>11100137</v>
      </c>
      <c r="AA783" s="23">
        <v>3951</v>
      </c>
      <c r="AB783" s="24">
        <v>45828</v>
      </c>
    </row>
    <row r="784" spans="2:28" x14ac:dyDescent="0.2">
      <c r="C784" s="23">
        <v>1100576010</v>
      </c>
      <c r="E784" s="23">
        <v>150</v>
      </c>
      <c r="F784" s="23" t="s">
        <v>3015</v>
      </c>
      <c r="G784" s="23" t="s">
        <v>3016</v>
      </c>
      <c r="H784" s="24">
        <v>46104</v>
      </c>
      <c r="I784" s="24">
        <v>46104</v>
      </c>
      <c r="J784" s="23" t="s">
        <v>3004</v>
      </c>
      <c r="K784" s="23" t="s">
        <v>3004</v>
      </c>
      <c r="L784" s="23">
        <v>1</v>
      </c>
      <c r="M784" s="23" t="s">
        <v>78</v>
      </c>
      <c r="N784" s="23" t="s">
        <v>78</v>
      </c>
      <c r="O784" s="23">
        <v>558.37</v>
      </c>
      <c r="P784" s="23" t="s">
        <v>79</v>
      </c>
      <c r="Q784" s="23" t="s">
        <v>83</v>
      </c>
      <c r="R784" s="23">
        <v>11100176</v>
      </c>
      <c r="S784" s="24">
        <v>46100</v>
      </c>
      <c r="T784" s="24">
        <v>46058</v>
      </c>
      <c r="U784" s="24">
        <v>47116</v>
      </c>
      <c r="X784" s="24">
        <v>46056</v>
      </c>
      <c r="Y784" s="23">
        <v>1111</v>
      </c>
      <c r="Z784" s="23">
        <v>11100137</v>
      </c>
      <c r="AA784" s="23">
        <v>3951</v>
      </c>
      <c r="AB784" s="24">
        <v>45828</v>
      </c>
    </row>
    <row r="785" spans="2:28" x14ac:dyDescent="0.2">
      <c r="C785" s="23">
        <v>1100576010</v>
      </c>
      <c r="E785" s="23">
        <v>160</v>
      </c>
      <c r="F785" s="23" t="s">
        <v>3017</v>
      </c>
      <c r="G785" s="23" t="s">
        <v>3018</v>
      </c>
      <c r="H785" s="24">
        <v>46104</v>
      </c>
      <c r="I785" s="24">
        <v>46104</v>
      </c>
      <c r="J785" s="23" t="s">
        <v>3004</v>
      </c>
      <c r="K785" s="23" t="s">
        <v>3004</v>
      </c>
      <c r="L785" s="23">
        <v>1</v>
      </c>
      <c r="M785" s="23" t="s">
        <v>78</v>
      </c>
      <c r="N785" s="23" t="s">
        <v>78</v>
      </c>
      <c r="O785" s="23">
        <v>746</v>
      </c>
      <c r="P785" s="23" t="s">
        <v>79</v>
      </c>
      <c r="Q785" s="23" t="s">
        <v>83</v>
      </c>
      <c r="R785" s="23">
        <v>11100176</v>
      </c>
      <c r="S785" s="24">
        <v>46100</v>
      </c>
      <c r="T785" s="24">
        <v>46058</v>
      </c>
      <c r="U785" s="24">
        <v>47116</v>
      </c>
      <c r="X785" s="24">
        <v>46056</v>
      </c>
      <c r="Y785" s="23">
        <v>1111</v>
      </c>
      <c r="Z785" s="23">
        <v>11100137</v>
      </c>
      <c r="AA785" s="23">
        <v>3951</v>
      </c>
      <c r="AB785" s="24">
        <v>45828</v>
      </c>
    </row>
    <row r="786" spans="2:28" x14ac:dyDescent="0.2">
      <c r="C786" s="23">
        <v>1100576010</v>
      </c>
      <c r="E786" s="23">
        <v>170</v>
      </c>
      <c r="F786" s="23" t="s">
        <v>3019</v>
      </c>
      <c r="G786" s="23" t="s">
        <v>3020</v>
      </c>
      <c r="H786" s="24">
        <v>46104</v>
      </c>
      <c r="I786" s="24">
        <v>46104</v>
      </c>
      <c r="J786" s="23" t="s">
        <v>3004</v>
      </c>
      <c r="K786" s="23" t="s">
        <v>3004</v>
      </c>
      <c r="L786" s="23">
        <v>4</v>
      </c>
      <c r="M786" s="23" t="s">
        <v>78</v>
      </c>
      <c r="N786" s="23" t="s">
        <v>78</v>
      </c>
      <c r="O786" s="23">
        <v>464.2</v>
      </c>
      <c r="P786" s="23" t="s">
        <v>79</v>
      </c>
      <c r="Q786" s="23" t="s">
        <v>83</v>
      </c>
      <c r="R786" s="23">
        <v>11100176</v>
      </c>
      <c r="S786" s="24">
        <v>46100</v>
      </c>
      <c r="T786" s="24">
        <v>46058</v>
      </c>
      <c r="U786" s="24">
        <v>47116</v>
      </c>
      <c r="X786" s="24">
        <v>46056</v>
      </c>
      <c r="Y786" s="23">
        <v>1111</v>
      </c>
      <c r="Z786" s="23">
        <v>11100137</v>
      </c>
      <c r="AA786" s="23">
        <v>3951</v>
      </c>
      <c r="AB786" s="24">
        <v>45828</v>
      </c>
    </row>
    <row r="787" spans="2:28" x14ac:dyDescent="0.2">
      <c r="C787" s="23">
        <v>1100576010</v>
      </c>
      <c r="E787" s="23">
        <v>180</v>
      </c>
      <c r="F787" s="23" t="s">
        <v>3021</v>
      </c>
      <c r="G787" s="23" t="s">
        <v>3022</v>
      </c>
      <c r="H787" s="24">
        <v>46104</v>
      </c>
      <c r="I787" s="24">
        <v>46104</v>
      </c>
      <c r="J787" s="23" t="s">
        <v>3004</v>
      </c>
      <c r="K787" s="23" t="s">
        <v>3004</v>
      </c>
      <c r="L787" s="23">
        <v>1</v>
      </c>
      <c r="M787" s="23" t="s">
        <v>78</v>
      </c>
      <c r="N787" s="23" t="s">
        <v>78</v>
      </c>
      <c r="O787" s="23">
        <v>826.04</v>
      </c>
      <c r="P787" s="23" t="s">
        <v>79</v>
      </c>
      <c r="Q787" s="23" t="s">
        <v>83</v>
      </c>
      <c r="R787" s="23">
        <v>11100176</v>
      </c>
      <c r="S787" s="24">
        <v>46100</v>
      </c>
      <c r="T787" s="24">
        <v>46058</v>
      </c>
      <c r="U787" s="24">
        <v>47116</v>
      </c>
      <c r="X787" s="24">
        <v>46056</v>
      </c>
      <c r="Y787" s="23">
        <v>1111</v>
      </c>
      <c r="Z787" s="23">
        <v>11100137</v>
      </c>
      <c r="AA787" s="23">
        <v>3951</v>
      </c>
      <c r="AB787" s="24">
        <v>45828</v>
      </c>
    </row>
    <row r="788" spans="2:28" x14ac:dyDescent="0.2">
      <c r="B788" s="23" t="s">
        <v>81</v>
      </c>
      <c r="C788" s="23">
        <v>1100576010</v>
      </c>
      <c r="H788" s="24">
        <v>46104</v>
      </c>
      <c r="O788" s="23">
        <v>12646.39</v>
      </c>
      <c r="P788" s="23" t="s">
        <v>79</v>
      </c>
    </row>
    <row r="789" spans="2:28" x14ac:dyDescent="0.2">
      <c r="C789" s="23">
        <v>1100576236</v>
      </c>
      <c r="E789" s="23">
        <v>30</v>
      </c>
      <c r="F789" s="23" t="s">
        <v>3023</v>
      </c>
      <c r="G789" s="23" t="s">
        <v>3024</v>
      </c>
      <c r="H789" s="24">
        <v>46104</v>
      </c>
      <c r="I789" s="24">
        <v>46104</v>
      </c>
      <c r="J789" s="23" t="s">
        <v>160</v>
      </c>
      <c r="K789" s="23" t="s">
        <v>160</v>
      </c>
      <c r="L789" s="23">
        <v>20</v>
      </c>
      <c r="M789" s="23" t="s">
        <v>78</v>
      </c>
      <c r="N789" s="23" t="s">
        <v>78</v>
      </c>
      <c r="O789" s="23">
        <v>10980</v>
      </c>
      <c r="P789" s="23" t="s">
        <v>79</v>
      </c>
      <c r="Q789" s="23" t="s">
        <v>83</v>
      </c>
      <c r="R789" s="23">
        <v>11100176</v>
      </c>
      <c r="S789" s="24">
        <v>46083</v>
      </c>
      <c r="T789" s="24">
        <v>46062</v>
      </c>
      <c r="U789" s="24">
        <v>47116</v>
      </c>
      <c r="X789" s="24">
        <v>46057</v>
      </c>
      <c r="Y789" s="23">
        <v>1111</v>
      </c>
      <c r="Z789" s="23">
        <v>11400937</v>
      </c>
      <c r="AA789" s="23">
        <v>5051</v>
      </c>
      <c r="AB789" s="24">
        <v>46058</v>
      </c>
    </row>
    <row r="790" spans="2:28" x14ac:dyDescent="0.2">
      <c r="B790" s="23" t="s">
        <v>81</v>
      </c>
      <c r="C790" s="23">
        <v>1100576236</v>
      </c>
      <c r="H790" s="24">
        <v>46104</v>
      </c>
      <c r="O790" s="23">
        <v>10980</v>
      </c>
      <c r="P790" s="23" t="s">
        <v>79</v>
      </c>
    </row>
    <row r="791" spans="2:28" x14ac:dyDescent="0.2">
      <c r="C791" s="23">
        <v>1100576242</v>
      </c>
      <c r="E791" s="23">
        <v>20</v>
      </c>
      <c r="F791" s="23" t="s">
        <v>725</v>
      </c>
      <c r="G791" s="23" t="s">
        <v>726</v>
      </c>
      <c r="H791" s="24">
        <v>46104</v>
      </c>
      <c r="I791" s="24">
        <v>46104</v>
      </c>
      <c r="J791" s="23" t="s">
        <v>3025</v>
      </c>
      <c r="K791" s="23" t="s">
        <v>3025</v>
      </c>
      <c r="L791" s="23">
        <v>1</v>
      </c>
      <c r="M791" s="23" t="s">
        <v>78</v>
      </c>
      <c r="N791" s="23" t="s">
        <v>78</v>
      </c>
      <c r="O791" s="23">
        <v>1494.41</v>
      </c>
      <c r="P791" s="23" t="s">
        <v>79</v>
      </c>
      <c r="Q791" s="23" t="s">
        <v>83</v>
      </c>
      <c r="R791" s="23">
        <v>11100176</v>
      </c>
      <c r="S791" s="24">
        <v>46104</v>
      </c>
      <c r="T791" s="24">
        <v>46062</v>
      </c>
      <c r="U791" s="24">
        <v>46752</v>
      </c>
      <c r="X791" s="24">
        <v>46059</v>
      </c>
      <c r="Y791" s="23">
        <v>1111</v>
      </c>
      <c r="Z791" s="23">
        <v>11400745</v>
      </c>
      <c r="AA791" s="23">
        <v>3351</v>
      </c>
      <c r="AB791" s="24">
        <v>46036</v>
      </c>
    </row>
    <row r="792" spans="2:28" x14ac:dyDescent="0.2">
      <c r="C792" s="23">
        <v>1100576242</v>
      </c>
      <c r="E792" s="23">
        <v>60</v>
      </c>
      <c r="F792" s="23" t="s">
        <v>1751</v>
      </c>
      <c r="G792" s="23" t="s">
        <v>1752</v>
      </c>
      <c r="H792" s="24">
        <v>46104</v>
      </c>
      <c r="I792" s="24">
        <v>46104</v>
      </c>
      <c r="J792" s="23" t="s">
        <v>3025</v>
      </c>
      <c r="K792" s="23" t="s">
        <v>3025</v>
      </c>
      <c r="L792" s="23">
        <v>1</v>
      </c>
      <c r="M792" s="23" t="s">
        <v>78</v>
      </c>
      <c r="N792" s="23" t="s">
        <v>78</v>
      </c>
      <c r="O792" s="23">
        <v>582</v>
      </c>
      <c r="P792" s="23" t="s">
        <v>79</v>
      </c>
      <c r="Q792" s="23" t="s">
        <v>83</v>
      </c>
      <c r="R792" s="23">
        <v>11100176</v>
      </c>
      <c r="S792" s="24">
        <v>46104</v>
      </c>
      <c r="T792" s="24">
        <v>46062</v>
      </c>
      <c r="U792" s="24">
        <v>46752</v>
      </c>
      <c r="X792" s="24">
        <v>46059</v>
      </c>
      <c r="Y792" s="23">
        <v>1111</v>
      </c>
      <c r="Z792" s="23">
        <v>11400745</v>
      </c>
      <c r="AA792" s="23">
        <v>3351</v>
      </c>
      <c r="AB792" s="24">
        <v>46036</v>
      </c>
    </row>
    <row r="793" spans="2:28" x14ac:dyDescent="0.2">
      <c r="B793" s="23" t="s">
        <v>81</v>
      </c>
      <c r="C793" s="23">
        <v>1100576242</v>
      </c>
      <c r="H793" s="24">
        <v>46104</v>
      </c>
      <c r="O793" s="23">
        <v>2076.41</v>
      </c>
      <c r="P793" s="23" t="s">
        <v>79</v>
      </c>
    </row>
    <row r="794" spans="2:28" x14ac:dyDescent="0.2">
      <c r="C794" s="23">
        <v>1100576263</v>
      </c>
      <c r="E794" s="23">
        <v>10</v>
      </c>
      <c r="F794" s="23" t="s">
        <v>1959</v>
      </c>
      <c r="G794" s="23" t="s">
        <v>1960</v>
      </c>
      <c r="H794" s="24">
        <v>46104</v>
      </c>
      <c r="I794" s="24">
        <v>46104</v>
      </c>
      <c r="J794" s="23" t="s">
        <v>272</v>
      </c>
      <c r="K794" s="23" t="s">
        <v>272</v>
      </c>
      <c r="L794" s="23">
        <v>1</v>
      </c>
      <c r="M794" s="23" t="s">
        <v>78</v>
      </c>
      <c r="N794" s="23" t="s">
        <v>78</v>
      </c>
      <c r="O794" s="23">
        <v>591.57000000000005</v>
      </c>
      <c r="P794" s="23" t="s">
        <v>79</v>
      </c>
      <c r="Q794" s="23" t="s">
        <v>83</v>
      </c>
      <c r="R794" s="23">
        <v>11100176</v>
      </c>
      <c r="S794" s="24">
        <v>46101</v>
      </c>
      <c r="T794" s="24">
        <v>46062</v>
      </c>
      <c r="U794" s="24" t="s">
        <v>80</v>
      </c>
      <c r="X794" s="24">
        <v>46059</v>
      </c>
      <c r="Y794" s="23">
        <v>1111</v>
      </c>
      <c r="Z794" s="23">
        <v>11100137</v>
      </c>
      <c r="AA794" s="23">
        <v>3351</v>
      </c>
      <c r="AB794" s="24">
        <v>46048</v>
      </c>
    </row>
    <row r="795" spans="2:28" x14ac:dyDescent="0.2">
      <c r="B795" s="23" t="s">
        <v>81</v>
      </c>
      <c r="C795" s="23">
        <v>1100576263</v>
      </c>
      <c r="H795" s="24">
        <v>46104</v>
      </c>
      <c r="O795" s="23">
        <v>591.57000000000005</v>
      </c>
      <c r="P795" s="23" t="s">
        <v>79</v>
      </c>
    </row>
    <row r="796" spans="2:28" x14ac:dyDescent="0.2">
      <c r="C796" s="23">
        <v>1100576271</v>
      </c>
      <c r="E796" s="23">
        <v>40</v>
      </c>
      <c r="F796" s="23" t="s">
        <v>3026</v>
      </c>
      <c r="G796" s="23" t="s">
        <v>3027</v>
      </c>
      <c r="H796" s="24">
        <v>46104</v>
      </c>
      <c r="I796" s="24">
        <v>46104</v>
      </c>
      <c r="J796" s="23" t="s">
        <v>795</v>
      </c>
      <c r="K796" s="23" t="s">
        <v>795</v>
      </c>
      <c r="L796" s="23">
        <v>3</v>
      </c>
      <c r="M796" s="23" t="s">
        <v>78</v>
      </c>
      <c r="N796" s="23" t="s">
        <v>78</v>
      </c>
      <c r="O796" s="23">
        <v>1236.5999999999999</v>
      </c>
      <c r="P796" s="23" t="s">
        <v>79</v>
      </c>
      <c r="Q796" s="23" t="s">
        <v>83</v>
      </c>
      <c r="R796" s="23">
        <v>11100176</v>
      </c>
      <c r="S796" s="24">
        <v>46104</v>
      </c>
      <c r="T796" s="24">
        <v>46062</v>
      </c>
      <c r="U796" s="24">
        <v>47116</v>
      </c>
      <c r="X796" s="24">
        <v>46036</v>
      </c>
      <c r="Y796" s="23">
        <v>1111</v>
      </c>
      <c r="Z796" s="23">
        <v>11400937</v>
      </c>
      <c r="AA796" s="23">
        <v>5051</v>
      </c>
      <c r="AB796" s="24">
        <v>46036</v>
      </c>
    </row>
    <row r="797" spans="2:28" x14ac:dyDescent="0.2">
      <c r="C797" s="23">
        <v>1100576271</v>
      </c>
      <c r="E797" s="23">
        <v>50</v>
      </c>
      <c r="F797" s="23" t="s">
        <v>3028</v>
      </c>
      <c r="G797" s="23" t="s">
        <v>3029</v>
      </c>
      <c r="H797" s="24">
        <v>46104</v>
      </c>
      <c r="I797" s="24">
        <v>46104</v>
      </c>
      <c r="J797" s="23" t="s">
        <v>795</v>
      </c>
      <c r="K797" s="23" t="s">
        <v>795</v>
      </c>
      <c r="L797" s="23">
        <v>3</v>
      </c>
      <c r="M797" s="23" t="s">
        <v>78</v>
      </c>
      <c r="N797" s="23" t="s">
        <v>78</v>
      </c>
      <c r="O797" s="23">
        <v>1236.5999999999999</v>
      </c>
      <c r="P797" s="23" t="s">
        <v>79</v>
      </c>
      <c r="Q797" s="23" t="s">
        <v>83</v>
      </c>
      <c r="R797" s="23">
        <v>11100176</v>
      </c>
      <c r="S797" s="24">
        <v>46104</v>
      </c>
      <c r="T797" s="24">
        <v>46062</v>
      </c>
      <c r="U797" s="24">
        <v>47116</v>
      </c>
      <c r="X797" s="24">
        <v>46036</v>
      </c>
      <c r="Y797" s="23">
        <v>1111</v>
      </c>
      <c r="Z797" s="23">
        <v>11400937</v>
      </c>
      <c r="AA797" s="23">
        <v>5051</v>
      </c>
      <c r="AB797" s="24">
        <v>46036</v>
      </c>
    </row>
    <row r="798" spans="2:28" x14ac:dyDescent="0.2">
      <c r="B798" s="23" t="s">
        <v>81</v>
      </c>
      <c r="C798" s="23">
        <v>1100576271</v>
      </c>
      <c r="H798" s="24">
        <v>46104</v>
      </c>
      <c r="O798" s="23">
        <v>2473.1999999999998</v>
      </c>
      <c r="P798" s="23" t="s">
        <v>79</v>
      </c>
    </row>
    <row r="799" spans="2:28" x14ac:dyDescent="0.2">
      <c r="C799" s="23">
        <v>1100576334</v>
      </c>
      <c r="E799" s="23">
        <v>10</v>
      </c>
      <c r="F799" s="23" t="s">
        <v>3030</v>
      </c>
      <c r="G799" s="23" t="s">
        <v>3031</v>
      </c>
      <c r="H799" s="24">
        <v>46104</v>
      </c>
      <c r="I799" s="24">
        <v>46104</v>
      </c>
      <c r="J799" s="23" t="s">
        <v>3032</v>
      </c>
      <c r="K799" s="23" t="s">
        <v>3032</v>
      </c>
      <c r="L799" s="23">
        <v>1</v>
      </c>
      <c r="M799" s="23" t="s">
        <v>78</v>
      </c>
      <c r="N799" s="23" t="s">
        <v>78</v>
      </c>
      <c r="O799" s="23">
        <v>7510.52</v>
      </c>
      <c r="P799" s="23" t="s">
        <v>79</v>
      </c>
      <c r="Q799" s="23" t="s">
        <v>83</v>
      </c>
      <c r="R799" s="23">
        <v>11100176</v>
      </c>
      <c r="S799" s="24">
        <v>46104</v>
      </c>
      <c r="T799" s="24">
        <v>46062</v>
      </c>
      <c r="U799" s="24" t="s">
        <v>80</v>
      </c>
      <c r="X799" s="24">
        <v>46058</v>
      </c>
      <c r="Y799" s="23">
        <v>1111</v>
      </c>
      <c r="Z799" s="23">
        <v>11400895</v>
      </c>
      <c r="AA799" s="23">
        <v>3951</v>
      </c>
      <c r="AB799" s="24">
        <v>46037</v>
      </c>
    </row>
    <row r="800" spans="2:28" x14ac:dyDescent="0.2">
      <c r="C800" s="23">
        <v>1100576334</v>
      </c>
      <c r="E800" s="23">
        <v>20</v>
      </c>
      <c r="F800" s="23" t="s">
        <v>3033</v>
      </c>
      <c r="G800" s="23" t="s">
        <v>3034</v>
      </c>
      <c r="H800" s="24">
        <v>46104</v>
      </c>
      <c r="I800" s="24">
        <v>46104</v>
      </c>
      <c r="J800" s="23" t="s">
        <v>3032</v>
      </c>
      <c r="K800" s="23" t="s">
        <v>3032</v>
      </c>
      <c r="L800" s="23">
        <v>1</v>
      </c>
      <c r="M800" s="23" t="s">
        <v>78</v>
      </c>
      <c r="N800" s="23" t="s">
        <v>78</v>
      </c>
      <c r="O800" s="23">
        <v>4362.8599999999997</v>
      </c>
      <c r="P800" s="23" t="s">
        <v>79</v>
      </c>
      <c r="Q800" s="23" t="s">
        <v>83</v>
      </c>
      <c r="R800" s="23">
        <v>11100176</v>
      </c>
      <c r="S800" s="24">
        <v>46104</v>
      </c>
      <c r="T800" s="24">
        <v>46062</v>
      </c>
      <c r="U800" s="24" t="s">
        <v>80</v>
      </c>
      <c r="X800" s="24">
        <v>46058</v>
      </c>
      <c r="Y800" s="23">
        <v>1111</v>
      </c>
      <c r="Z800" s="23">
        <v>11400895</v>
      </c>
      <c r="AA800" s="23">
        <v>3951</v>
      </c>
      <c r="AB800" s="24">
        <v>46037</v>
      </c>
    </row>
    <row r="801" spans="2:28" x14ac:dyDescent="0.2">
      <c r="C801" s="23">
        <v>1100576334</v>
      </c>
      <c r="E801" s="23">
        <v>30</v>
      </c>
      <c r="F801" s="23" t="s">
        <v>82</v>
      </c>
      <c r="G801" s="23" t="s">
        <v>139</v>
      </c>
      <c r="H801" s="24">
        <v>46104</v>
      </c>
      <c r="I801" s="24">
        <v>46104</v>
      </c>
      <c r="J801" s="23" t="s">
        <v>3032</v>
      </c>
      <c r="K801" s="23" t="s">
        <v>3032</v>
      </c>
      <c r="L801" s="23">
        <v>1</v>
      </c>
      <c r="M801" s="23" t="s">
        <v>78</v>
      </c>
      <c r="N801" s="23" t="s">
        <v>78</v>
      </c>
      <c r="O801" s="23">
        <v>0.01</v>
      </c>
      <c r="P801" s="23" t="s">
        <v>79</v>
      </c>
      <c r="Q801" s="23" t="s">
        <v>83</v>
      </c>
      <c r="R801" s="23">
        <v>11100176</v>
      </c>
      <c r="S801" s="24" t="s">
        <v>80</v>
      </c>
      <c r="T801" s="24">
        <v>46062</v>
      </c>
      <c r="U801" s="24" t="s">
        <v>80</v>
      </c>
      <c r="X801" s="24">
        <v>46058</v>
      </c>
      <c r="Y801" s="23">
        <v>1111</v>
      </c>
      <c r="Z801" s="23">
        <v>11400895</v>
      </c>
      <c r="AA801" s="23">
        <v>3951</v>
      </c>
      <c r="AB801" s="24">
        <v>46037</v>
      </c>
    </row>
    <row r="802" spans="2:28" x14ac:dyDescent="0.2">
      <c r="B802" s="23" t="s">
        <v>81</v>
      </c>
      <c r="C802" s="23">
        <v>1100576334</v>
      </c>
      <c r="H802" s="24">
        <v>46104</v>
      </c>
      <c r="O802" s="23">
        <v>11873.39</v>
      </c>
      <c r="P802" s="23" t="s">
        <v>79</v>
      </c>
    </row>
    <row r="803" spans="2:28" x14ac:dyDescent="0.2">
      <c r="C803" s="23">
        <v>1100577088</v>
      </c>
      <c r="E803" s="23">
        <v>90</v>
      </c>
      <c r="F803" s="23" t="s">
        <v>3035</v>
      </c>
      <c r="G803" s="23" t="s">
        <v>3036</v>
      </c>
      <c r="H803" s="24">
        <v>46104</v>
      </c>
      <c r="I803" s="24">
        <v>46128</v>
      </c>
      <c r="J803" s="23" t="s">
        <v>3037</v>
      </c>
      <c r="K803" s="23" t="s">
        <v>3037</v>
      </c>
      <c r="L803" s="23">
        <v>2</v>
      </c>
      <c r="M803" s="23" t="s">
        <v>78</v>
      </c>
      <c r="N803" s="23" t="s">
        <v>78</v>
      </c>
      <c r="O803" s="23">
        <v>114.04</v>
      </c>
      <c r="P803" s="23" t="s">
        <v>79</v>
      </c>
      <c r="Q803" s="23" t="s">
        <v>83</v>
      </c>
      <c r="R803" s="23">
        <v>11100176</v>
      </c>
      <c r="S803" s="24">
        <v>46106</v>
      </c>
      <c r="T803" s="24">
        <v>46071</v>
      </c>
      <c r="U803" s="24">
        <v>47116</v>
      </c>
      <c r="X803" s="24">
        <v>46071</v>
      </c>
      <c r="Y803" s="23">
        <v>1111</v>
      </c>
      <c r="Z803" s="23">
        <v>11600007</v>
      </c>
      <c r="AA803" s="23">
        <v>335103</v>
      </c>
      <c r="AB803" s="24">
        <v>46066</v>
      </c>
    </row>
    <row r="804" spans="2:28" x14ac:dyDescent="0.2">
      <c r="C804" s="23">
        <v>1100577088</v>
      </c>
      <c r="E804" s="23">
        <v>100</v>
      </c>
      <c r="F804" s="23" t="s">
        <v>3038</v>
      </c>
      <c r="G804" s="23" t="s">
        <v>3039</v>
      </c>
      <c r="H804" s="24">
        <v>46104</v>
      </c>
      <c r="I804" s="24">
        <v>46104</v>
      </c>
      <c r="J804" s="23" t="s">
        <v>3037</v>
      </c>
      <c r="K804" s="23" t="s">
        <v>3037</v>
      </c>
      <c r="L804" s="23">
        <v>1</v>
      </c>
      <c r="M804" s="23" t="s">
        <v>78</v>
      </c>
      <c r="N804" s="23" t="s">
        <v>78</v>
      </c>
      <c r="O804" s="23">
        <v>239.04</v>
      </c>
      <c r="P804" s="23" t="s">
        <v>79</v>
      </c>
      <c r="Q804" s="23" t="s">
        <v>83</v>
      </c>
      <c r="R804" s="23">
        <v>11100176</v>
      </c>
      <c r="S804" s="24">
        <v>46106</v>
      </c>
      <c r="T804" s="24">
        <v>46071</v>
      </c>
      <c r="U804" s="24">
        <v>46078</v>
      </c>
      <c r="X804" s="24">
        <v>46071</v>
      </c>
      <c r="Y804" s="23">
        <v>1111</v>
      </c>
      <c r="Z804" s="23">
        <v>11600007</v>
      </c>
      <c r="AA804" s="23">
        <v>335103</v>
      </c>
      <c r="AB804" s="24">
        <v>46066</v>
      </c>
    </row>
    <row r="805" spans="2:28" x14ac:dyDescent="0.2">
      <c r="B805" s="23" t="s">
        <v>81</v>
      </c>
      <c r="C805" s="23">
        <v>1100577088</v>
      </c>
      <c r="H805" s="24">
        <v>46104</v>
      </c>
      <c r="O805" s="23">
        <v>353.08</v>
      </c>
      <c r="P805" s="23" t="s">
        <v>79</v>
      </c>
    </row>
    <row r="806" spans="2:28" x14ac:dyDescent="0.2">
      <c r="C806" s="23">
        <v>1100577751</v>
      </c>
      <c r="E806" s="23">
        <v>200</v>
      </c>
      <c r="F806" s="23" t="s">
        <v>3040</v>
      </c>
      <c r="G806" s="23" t="s">
        <v>3041</v>
      </c>
      <c r="H806" s="24">
        <v>46104</v>
      </c>
      <c r="I806" s="24">
        <v>46104</v>
      </c>
      <c r="J806" s="23" t="s">
        <v>734</v>
      </c>
      <c r="K806" s="23" t="s">
        <v>734</v>
      </c>
      <c r="L806" s="23">
        <v>1</v>
      </c>
      <c r="M806" s="23" t="s">
        <v>78</v>
      </c>
      <c r="N806" s="23" t="s">
        <v>78</v>
      </c>
      <c r="O806" s="23">
        <v>5.0999999999999996</v>
      </c>
      <c r="P806" s="23" t="s">
        <v>79</v>
      </c>
      <c r="Q806" s="23" t="s">
        <v>83</v>
      </c>
      <c r="R806" s="23">
        <v>11100176</v>
      </c>
      <c r="S806" s="24">
        <v>46080</v>
      </c>
      <c r="T806" s="24">
        <v>46077</v>
      </c>
      <c r="U806" s="24">
        <v>46100</v>
      </c>
      <c r="X806" s="24">
        <v>46072</v>
      </c>
      <c r="Y806" s="23">
        <v>1111</v>
      </c>
      <c r="Z806" s="23">
        <v>11400937</v>
      </c>
      <c r="AA806" s="23">
        <v>3351</v>
      </c>
      <c r="AB806" s="24">
        <v>46071</v>
      </c>
    </row>
    <row r="807" spans="2:28" x14ac:dyDescent="0.2">
      <c r="C807" s="23">
        <v>1100577751</v>
      </c>
      <c r="E807" s="23">
        <v>250</v>
      </c>
      <c r="F807" s="23" t="s">
        <v>3042</v>
      </c>
      <c r="G807" s="23" t="s">
        <v>3043</v>
      </c>
      <c r="H807" s="24">
        <v>46104</v>
      </c>
      <c r="I807" s="24">
        <v>46104</v>
      </c>
      <c r="J807" s="23" t="s">
        <v>734</v>
      </c>
      <c r="K807" s="23" t="s">
        <v>734</v>
      </c>
      <c r="L807" s="23">
        <v>1</v>
      </c>
      <c r="M807" s="23" t="s">
        <v>78</v>
      </c>
      <c r="N807" s="23" t="s">
        <v>78</v>
      </c>
      <c r="O807" s="23">
        <v>21.07</v>
      </c>
      <c r="P807" s="23" t="s">
        <v>79</v>
      </c>
      <c r="Q807" s="23" t="s">
        <v>83</v>
      </c>
      <c r="R807" s="23">
        <v>11100176</v>
      </c>
      <c r="S807" s="24">
        <v>46105</v>
      </c>
      <c r="T807" s="24">
        <v>46077</v>
      </c>
      <c r="U807" s="24">
        <v>46149</v>
      </c>
      <c r="X807" s="24">
        <v>46072</v>
      </c>
      <c r="Y807" s="23">
        <v>1111</v>
      </c>
      <c r="Z807" s="23">
        <v>11400937</v>
      </c>
      <c r="AA807" s="23">
        <v>3351</v>
      </c>
      <c r="AB807" s="24">
        <v>46071</v>
      </c>
    </row>
    <row r="808" spans="2:28" x14ac:dyDescent="0.2">
      <c r="B808" s="23" t="s">
        <v>81</v>
      </c>
      <c r="C808" s="23">
        <v>1100577751</v>
      </c>
      <c r="H808" s="24">
        <v>46104</v>
      </c>
      <c r="O808" s="23">
        <v>26.17</v>
      </c>
      <c r="P808" s="23" t="s">
        <v>79</v>
      </c>
    </row>
    <row r="809" spans="2:28" x14ac:dyDescent="0.2">
      <c r="C809" s="23">
        <v>1100578291</v>
      </c>
      <c r="E809" s="23">
        <v>10</v>
      </c>
      <c r="F809" s="23" t="s">
        <v>725</v>
      </c>
      <c r="G809" s="23" t="s">
        <v>726</v>
      </c>
      <c r="H809" s="24">
        <v>46104</v>
      </c>
      <c r="I809" s="24">
        <v>46104</v>
      </c>
      <c r="J809" s="23" t="s">
        <v>3044</v>
      </c>
      <c r="K809" s="23" t="s">
        <v>3044</v>
      </c>
      <c r="L809" s="23">
        <v>1</v>
      </c>
      <c r="M809" s="23" t="s">
        <v>78</v>
      </c>
      <c r="N809" s="23" t="s">
        <v>78</v>
      </c>
      <c r="O809" s="23">
        <v>1494.41</v>
      </c>
      <c r="P809" s="23" t="s">
        <v>79</v>
      </c>
      <c r="Q809" s="23" t="s">
        <v>83</v>
      </c>
      <c r="R809" s="23">
        <v>11100176</v>
      </c>
      <c r="S809" s="24">
        <v>46087</v>
      </c>
      <c r="T809" s="24">
        <v>46080</v>
      </c>
      <c r="U809" s="24" t="s">
        <v>80</v>
      </c>
      <c r="X809" s="24">
        <v>46080</v>
      </c>
      <c r="Y809" s="23">
        <v>1111</v>
      </c>
      <c r="Z809" s="23">
        <v>11400704</v>
      </c>
      <c r="AA809" s="23">
        <v>3351</v>
      </c>
      <c r="AB809" s="24">
        <v>46079</v>
      </c>
    </row>
    <row r="810" spans="2:28" x14ac:dyDescent="0.2">
      <c r="C810" s="23">
        <v>1100578291</v>
      </c>
      <c r="E810" s="23">
        <v>20</v>
      </c>
      <c r="F810" s="23" t="s">
        <v>82</v>
      </c>
      <c r="G810" s="23" t="s">
        <v>139</v>
      </c>
      <c r="H810" s="24">
        <v>46104</v>
      </c>
      <c r="I810" s="24">
        <v>46104</v>
      </c>
      <c r="J810" s="23" t="s">
        <v>3044</v>
      </c>
      <c r="K810" s="23" t="s">
        <v>3044</v>
      </c>
      <c r="L810" s="23">
        <v>1</v>
      </c>
      <c r="M810" s="23" t="s">
        <v>78</v>
      </c>
      <c r="N810" s="23" t="s">
        <v>78</v>
      </c>
      <c r="O810" s="23">
        <v>0.01</v>
      </c>
      <c r="P810" s="23" t="s">
        <v>79</v>
      </c>
      <c r="Q810" s="23" t="s">
        <v>83</v>
      </c>
      <c r="R810" s="23">
        <v>11100176</v>
      </c>
      <c r="S810" s="24" t="s">
        <v>80</v>
      </c>
      <c r="T810" s="24">
        <v>46080</v>
      </c>
      <c r="U810" s="24" t="s">
        <v>80</v>
      </c>
      <c r="X810" s="24">
        <v>46080</v>
      </c>
      <c r="Y810" s="23">
        <v>1111</v>
      </c>
      <c r="Z810" s="23">
        <v>11400704</v>
      </c>
      <c r="AA810" s="23">
        <v>3351</v>
      </c>
      <c r="AB810" s="24">
        <v>46079</v>
      </c>
    </row>
    <row r="811" spans="2:28" x14ac:dyDescent="0.2">
      <c r="B811" s="23" t="s">
        <v>81</v>
      </c>
      <c r="C811" s="23">
        <v>1100578291</v>
      </c>
      <c r="H811" s="24">
        <v>46104</v>
      </c>
      <c r="O811" s="23">
        <v>1494.42</v>
      </c>
      <c r="P811" s="23" t="s">
        <v>79</v>
      </c>
    </row>
    <row r="812" spans="2:28" x14ac:dyDescent="0.2">
      <c r="C812" s="23">
        <v>1100568903</v>
      </c>
      <c r="E812" s="23">
        <v>10</v>
      </c>
      <c r="F812" s="23" t="s">
        <v>2150</v>
      </c>
      <c r="G812" s="23" t="s">
        <v>2151</v>
      </c>
      <c r="H812" s="24">
        <v>46105</v>
      </c>
      <c r="I812" s="24">
        <v>46105</v>
      </c>
      <c r="J812" s="23" t="s">
        <v>668</v>
      </c>
      <c r="K812" s="23" t="s">
        <v>668</v>
      </c>
      <c r="L812" s="23">
        <v>3</v>
      </c>
      <c r="M812" s="23" t="s">
        <v>566</v>
      </c>
      <c r="N812" s="23" t="s">
        <v>566</v>
      </c>
      <c r="O812" s="23">
        <v>6105</v>
      </c>
      <c r="P812" s="23" t="s">
        <v>79</v>
      </c>
      <c r="Q812" s="23" t="s">
        <v>83</v>
      </c>
      <c r="R812" s="23">
        <v>11100299</v>
      </c>
      <c r="S812" s="24">
        <v>45687</v>
      </c>
      <c r="T812" s="24">
        <v>45975</v>
      </c>
      <c r="U812" s="24">
        <v>46105</v>
      </c>
      <c r="X812" s="24">
        <v>45972</v>
      </c>
      <c r="Y812" s="23">
        <v>1111</v>
      </c>
      <c r="Z812" s="23">
        <v>11600007</v>
      </c>
      <c r="AA812" s="23">
        <v>335103</v>
      </c>
      <c r="AB812" s="24">
        <v>45973</v>
      </c>
    </row>
    <row r="813" spans="2:28" x14ac:dyDescent="0.2">
      <c r="B813" s="23" t="s">
        <v>81</v>
      </c>
      <c r="C813" s="23">
        <v>1100568903</v>
      </c>
      <c r="H813" s="24">
        <v>46105</v>
      </c>
      <c r="O813" s="23">
        <v>6105</v>
      </c>
      <c r="P813" s="23" t="s">
        <v>79</v>
      </c>
    </row>
    <row r="814" spans="2:28" x14ac:dyDescent="0.2">
      <c r="C814" s="23">
        <v>1100569051</v>
      </c>
      <c r="E814" s="23">
        <v>20</v>
      </c>
      <c r="F814" s="23" t="s">
        <v>1903</v>
      </c>
      <c r="G814" s="23" t="s">
        <v>1904</v>
      </c>
      <c r="H814" s="24">
        <v>46105</v>
      </c>
      <c r="I814" s="24">
        <v>46105</v>
      </c>
      <c r="J814" s="23" t="s">
        <v>773</v>
      </c>
      <c r="K814" s="23" t="s">
        <v>773</v>
      </c>
      <c r="L814" s="23">
        <v>1</v>
      </c>
      <c r="M814" s="23" t="s">
        <v>78</v>
      </c>
      <c r="N814" s="23" t="s">
        <v>78</v>
      </c>
      <c r="O814" s="23">
        <v>690.43</v>
      </c>
      <c r="P814" s="23" t="s">
        <v>79</v>
      </c>
      <c r="Q814" s="23" t="s">
        <v>83</v>
      </c>
      <c r="R814" s="23">
        <v>11100008</v>
      </c>
      <c r="S814" s="24">
        <v>46034</v>
      </c>
      <c r="T814" s="24">
        <v>45978</v>
      </c>
      <c r="U814" s="24">
        <v>47116</v>
      </c>
      <c r="X814" s="24">
        <v>45974</v>
      </c>
      <c r="Y814" s="23">
        <v>1111</v>
      </c>
      <c r="Z814" s="23">
        <v>11400937</v>
      </c>
      <c r="AA814" s="23">
        <v>3351</v>
      </c>
      <c r="AB814" s="24">
        <v>45974</v>
      </c>
    </row>
    <row r="815" spans="2:28" x14ac:dyDescent="0.2">
      <c r="B815" s="23" t="s">
        <v>81</v>
      </c>
      <c r="C815" s="23">
        <v>1100569051</v>
      </c>
      <c r="H815" s="24">
        <v>46105</v>
      </c>
      <c r="O815" s="23">
        <v>690.43</v>
      </c>
      <c r="P815" s="23" t="s">
        <v>79</v>
      </c>
    </row>
    <row r="816" spans="2:28" x14ac:dyDescent="0.2">
      <c r="C816" s="23">
        <v>1100573640</v>
      </c>
      <c r="E816" s="23">
        <v>10</v>
      </c>
      <c r="F816" s="23" t="s">
        <v>3045</v>
      </c>
      <c r="G816" s="23" t="s">
        <v>3046</v>
      </c>
      <c r="H816" s="24">
        <v>46105</v>
      </c>
      <c r="I816" s="24">
        <v>46105</v>
      </c>
      <c r="J816" s="23" t="s">
        <v>386</v>
      </c>
      <c r="K816" s="23" t="s">
        <v>386</v>
      </c>
      <c r="L816" s="23">
        <v>2</v>
      </c>
      <c r="M816" s="23" t="s">
        <v>78</v>
      </c>
      <c r="N816" s="23" t="s">
        <v>78</v>
      </c>
      <c r="O816" s="23">
        <v>4279.0600000000004</v>
      </c>
      <c r="P816" s="23" t="s">
        <v>79</v>
      </c>
      <c r="Q816" s="23" t="s">
        <v>83</v>
      </c>
      <c r="R816" s="23">
        <v>11100176</v>
      </c>
      <c r="S816" s="24">
        <v>46072</v>
      </c>
      <c r="T816" s="24">
        <v>46035</v>
      </c>
      <c r="U816" s="24" t="s">
        <v>80</v>
      </c>
      <c r="X816" s="24">
        <v>46030</v>
      </c>
      <c r="Y816" s="23">
        <v>1111</v>
      </c>
      <c r="Z816" s="23">
        <v>11100137</v>
      </c>
      <c r="AA816" s="23">
        <v>5051</v>
      </c>
      <c r="AB816" s="24">
        <v>46030</v>
      </c>
    </row>
    <row r="817" spans="2:28" x14ac:dyDescent="0.2">
      <c r="C817" s="23">
        <v>1100573640</v>
      </c>
      <c r="E817" s="23">
        <v>20</v>
      </c>
      <c r="F817" s="23" t="s">
        <v>82</v>
      </c>
      <c r="G817" s="23" t="s">
        <v>139</v>
      </c>
      <c r="H817" s="24">
        <v>46105</v>
      </c>
      <c r="I817" s="24">
        <v>46105</v>
      </c>
      <c r="J817" s="23" t="s">
        <v>386</v>
      </c>
      <c r="K817" s="23" t="s">
        <v>386</v>
      </c>
      <c r="L817" s="23">
        <v>1</v>
      </c>
      <c r="M817" s="23" t="s">
        <v>78</v>
      </c>
      <c r="N817" s="23" t="s">
        <v>78</v>
      </c>
      <c r="O817" s="23">
        <v>0.01</v>
      </c>
      <c r="P817" s="23" t="s">
        <v>79</v>
      </c>
      <c r="Q817" s="23" t="s">
        <v>83</v>
      </c>
      <c r="R817" s="23">
        <v>11100176</v>
      </c>
      <c r="S817" s="24" t="s">
        <v>80</v>
      </c>
      <c r="T817" s="24">
        <v>46035</v>
      </c>
      <c r="U817" s="24" t="s">
        <v>80</v>
      </c>
      <c r="X817" s="24">
        <v>46030</v>
      </c>
      <c r="Y817" s="23">
        <v>1111</v>
      </c>
      <c r="Z817" s="23">
        <v>11100137</v>
      </c>
      <c r="AA817" s="23">
        <v>5051</v>
      </c>
      <c r="AB817" s="24">
        <v>46030</v>
      </c>
    </row>
    <row r="818" spans="2:28" x14ac:dyDescent="0.2">
      <c r="B818" s="23" t="s">
        <v>81</v>
      </c>
      <c r="C818" s="23">
        <v>1100573640</v>
      </c>
      <c r="H818" s="24">
        <v>46105</v>
      </c>
      <c r="O818" s="23">
        <v>4279.07</v>
      </c>
      <c r="P818" s="23" t="s">
        <v>79</v>
      </c>
    </row>
    <row r="819" spans="2:28" x14ac:dyDescent="0.2">
      <c r="C819" s="23">
        <v>1100573944</v>
      </c>
      <c r="E819" s="23">
        <v>10</v>
      </c>
      <c r="F819" s="23" t="s">
        <v>3047</v>
      </c>
      <c r="G819" s="23" t="s">
        <v>3048</v>
      </c>
      <c r="H819" s="24">
        <v>46105</v>
      </c>
      <c r="I819" s="24">
        <v>46136</v>
      </c>
      <c r="J819" s="23" t="s">
        <v>1075</v>
      </c>
      <c r="K819" s="23" t="s">
        <v>1075</v>
      </c>
      <c r="L819" s="23">
        <v>1</v>
      </c>
      <c r="M819" s="23" t="s">
        <v>78</v>
      </c>
      <c r="N819" s="23" t="s">
        <v>78</v>
      </c>
      <c r="O819" s="23">
        <v>14395</v>
      </c>
      <c r="P819" s="23" t="s">
        <v>79</v>
      </c>
      <c r="Q819" s="23" t="s">
        <v>83</v>
      </c>
      <c r="R819" s="23">
        <v>11100176</v>
      </c>
      <c r="S819" s="24">
        <v>46136</v>
      </c>
      <c r="T819" s="24">
        <v>46037</v>
      </c>
      <c r="U819" s="24">
        <v>47848</v>
      </c>
      <c r="X819" s="24">
        <v>46030</v>
      </c>
      <c r="Y819" s="23">
        <v>1111</v>
      </c>
      <c r="Z819" s="23">
        <v>11400124</v>
      </c>
      <c r="AA819" s="23">
        <v>5058</v>
      </c>
      <c r="AB819" s="24">
        <v>47118</v>
      </c>
    </row>
    <row r="820" spans="2:28" x14ac:dyDescent="0.2">
      <c r="C820" s="23">
        <v>1100573944</v>
      </c>
      <c r="E820" s="23">
        <v>30</v>
      </c>
      <c r="F820" s="23" t="s">
        <v>84</v>
      </c>
      <c r="G820" s="23" t="s">
        <v>123</v>
      </c>
      <c r="H820" s="24">
        <v>46105</v>
      </c>
      <c r="I820" s="24">
        <v>46136</v>
      </c>
      <c r="J820" s="23" t="s">
        <v>1075</v>
      </c>
      <c r="K820" s="23" t="s">
        <v>1075</v>
      </c>
      <c r="L820" s="23">
        <v>1</v>
      </c>
      <c r="M820" s="23" t="s">
        <v>78</v>
      </c>
      <c r="N820" s="23" t="s">
        <v>78</v>
      </c>
      <c r="O820" s="23">
        <v>0.01</v>
      </c>
      <c r="P820" s="23" t="s">
        <v>79</v>
      </c>
      <c r="Q820" s="23" t="s">
        <v>83</v>
      </c>
      <c r="R820" s="23">
        <v>11100176</v>
      </c>
      <c r="S820" s="24">
        <v>46136</v>
      </c>
      <c r="T820" s="24">
        <v>46037</v>
      </c>
      <c r="U820" s="24">
        <v>46136</v>
      </c>
      <c r="X820" s="24">
        <v>46030</v>
      </c>
      <c r="Y820" s="23">
        <v>1111</v>
      </c>
      <c r="Z820" s="23">
        <v>11400124</v>
      </c>
      <c r="AA820" s="23">
        <v>5058</v>
      </c>
      <c r="AB820" s="24">
        <v>47118</v>
      </c>
    </row>
    <row r="821" spans="2:28" x14ac:dyDescent="0.2">
      <c r="C821" s="23">
        <v>1100573944</v>
      </c>
      <c r="E821" s="23">
        <v>40</v>
      </c>
      <c r="F821" s="23" t="s">
        <v>96</v>
      </c>
      <c r="G821" s="23" t="s">
        <v>97</v>
      </c>
      <c r="H821" s="24">
        <v>46105</v>
      </c>
      <c r="I821" s="24">
        <v>46136</v>
      </c>
      <c r="J821" s="23" t="s">
        <v>1075</v>
      </c>
      <c r="K821" s="23" t="s">
        <v>1075</v>
      </c>
      <c r="L821" s="23">
        <v>1</v>
      </c>
      <c r="M821" s="23" t="s">
        <v>78</v>
      </c>
      <c r="N821" s="23" t="s">
        <v>78</v>
      </c>
      <c r="O821" s="23">
        <v>0.01</v>
      </c>
      <c r="P821" s="23" t="s">
        <v>79</v>
      </c>
      <c r="Q821" s="23" t="s">
        <v>83</v>
      </c>
      <c r="R821" s="23">
        <v>11100176</v>
      </c>
      <c r="S821" s="24">
        <v>46136</v>
      </c>
      <c r="T821" s="24">
        <v>46037</v>
      </c>
      <c r="U821" s="24">
        <v>46136</v>
      </c>
      <c r="X821" s="24">
        <v>46030</v>
      </c>
      <c r="Y821" s="23">
        <v>1111</v>
      </c>
      <c r="Z821" s="23">
        <v>11400124</v>
      </c>
      <c r="AA821" s="23">
        <v>5058</v>
      </c>
      <c r="AB821" s="24">
        <v>47118</v>
      </c>
    </row>
    <row r="822" spans="2:28" x14ac:dyDescent="0.2">
      <c r="C822" s="23">
        <v>1100573944</v>
      </c>
      <c r="E822" s="23">
        <v>50</v>
      </c>
      <c r="F822" s="23" t="s">
        <v>82</v>
      </c>
      <c r="G822" s="23" t="s">
        <v>139</v>
      </c>
      <c r="H822" s="24">
        <v>46105</v>
      </c>
      <c r="I822" s="24">
        <v>46136</v>
      </c>
      <c r="J822" s="23" t="s">
        <v>1075</v>
      </c>
      <c r="K822" s="23" t="s">
        <v>1075</v>
      </c>
      <c r="L822" s="23">
        <v>1</v>
      </c>
      <c r="M822" s="23" t="s">
        <v>78</v>
      </c>
      <c r="N822" s="23" t="s">
        <v>78</v>
      </c>
      <c r="O822" s="23">
        <v>0.01</v>
      </c>
      <c r="P822" s="23" t="s">
        <v>79</v>
      </c>
      <c r="Q822" s="23" t="s">
        <v>83</v>
      </c>
      <c r="R822" s="23">
        <v>11100176</v>
      </c>
      <c r="S822" s="24">
        <v>46136</v>
      </c>
      <c r="T822" s="24">
        <v>46037</v>
      </c>
      <c r="U822" s="24">
        <v>46136</v>
      </c>
      <c r="X822" s="24">
        <v>46030</v>
      </c>
      <c r="Y822" s="23">
        <v>1111</v>
      </c>
      <c r="Z822" s="23">
        <v>11400124</v>
      </c>
      <c r="AA822" s="23">
        <v>5058</v>
      </c>
      <c r="AB822" s="24">
        <v>47118</v>
      </c>
    </row>
    <row r="823" spans="2:28" x14ac:dyDescent="0.2">
      <c r="B823" s="23" t="s">
        <v>81</v>
      </c>
      <c r="C823" s="23">
        <v>1100573944</v>
      </c>
      <c r="H823" s="24">
        <v>46105</v>
      </c>
      <c r="O823" s="23">
        <v>14395.03</v>
      </c>
      <c r="P823" s="23" t="s">
        <v>79</v>
      </c>
    </row>
    <row r="824" spans="2:28" x14ac:dyDescent="0.2">
      <c r="C824" s="23">
        <v>1100574867</v>
      </c>
      <c r="E824" s="23">
        <v>10</v>
      </c>
      <c r="F824" s="23" t="s">
        <v>3049</v>
      </c>
      <c r="G824" s="23" t="s">
        <v>3050</v>
      </c>
      <c r="H824" s="24">
        <v>46105</v>
      </c>
      <c r="I824" s="24">
        <v>46105</v>
      </c>
      <c r="J824" s="23" t="s">
        <v>168</v>
      </c>
      <c r="K824" s="23" t="s">
        <v>168</v>
      </c>
      <c r="L824" s="23">
        <v>1</v>
      </c>
      <c r="M824" s="23" t="s">
        <v>78</v>
      </c>
      <c r="N824" s="23" t="s">
        <v>78</v>
      </c>
      <c r="O824" s="23">
        <v>777</v>
      </c>
      <c r="P824" s="23" t="s">
        <v>79</v>
      </c>
      <c r="Q824" s="23" t="s">
        <v>83</v>
      </c>
      <c r="R824" s="23">
        <v>11100176</v>
      </c>
      <c r="S824" s="24">
        <v>46105</v>
      </c>
      <c r="T824" s="24">
        <v>46048</v>
      </c>
      <c r="U824" s="24" t="s">
        <v>80</v>
      </c>
      <c r="X824" s="24">
        <v>46043</v>
      </c>
      <c r="Y824" s="23">
        <v>1111</v>
      </c>
      <c r="Z824" s="23">
        <v>11100320</v>
      </c>
      <c r="AA824" s="23">
        <v>5251</v>
      </c>
      <c r="AB824" s="24">
        <v>46045</v>
      </c>
    </row>
    <row r="825" spans="2:28" x14ac:dyDescent="0.2">
      <c r="B825" s="23" t="s">
        <v>81</v>
      </c>
      <c r="C825" s="23">
        <v>1100574867</v>
      </c>
      <c r="H825" s="24">
        <v>46105</v>
      </c>
      <c r="O825" s="23">
        <v>777</v>
      </c>
      <c r="P825" s="23" t="s">
        <v>79</v>
      </c>
    </row>
    <row r="826" spans="2:28" x14ac:dyDescent="0.2">
      <c r="C826" s="23">
        <v>1100574897</v>
      </c>
      <c r="E826" s="23">
        <v>10</v>
      </c>
      <c r="F826" s="23" t="s">
        <v>3051</v>
      </c>
      <c r="G826" s="23" t="s">
        <v>3052</v>
      </c>
      <c r="H826" s="24">
        <v>46105</v>
      </c>
      <c r="I826" s="24">
        <v>46105</v>
      </c>
      <c r="J826" s="23" t="s">
        <v>3053</v>
      </c>
      <c r="K826" s="23" t="s">
        <v>3053</v>
      </c>
      <c r="L826" s="23">
        <v>1</v>
      </c>
      <c r="M826" s="23" t="s">
        <v>78</v>
      </c>
      <c r="N826" s="23" t="s">
        <v>78</v>
      </c>
      <c r="O826" s="23">
        <v>2318</v>
      </c>
      <c r="P826" s="23" t="s">
        <v>79</v>
      </c>
      <c r="Q826" s="23" t="s">
        <v>83</v>
      </c>
      <c r="R826" s="23">
        <v>11100176</v>
      </c>
      <c r="S826" s="24">
        <v>46105</v>
      </c>
      <c r="T826" s="24">
        <v>46048</v>
      </c>
      <c r="U826" s="24" t="s">
        <v>80</v>
      </c>
      <c r="X826" s="24">
        <v>46045</v>
      </c>
      <c r="Y826" s="23">
        <v>1111</v>
      </c>
      <c r="Z826" s="23">
        <v>11100320</v>
      </c>
      <c r="AA826" s="23">
        <v>3951</v>
      </c>
      <c r="AB826" s="24">
        <v>46045</v>
      </c>
    </row>
    <row r="827" spans="2:28" x14ac:dyDescent="0.2">
      <c r="C827" s="23">
        <v>1100574897</v>
      </c>
      <c r="E827" s="23">
        <v>20</v>
      </c>
      <c r="F827" s="23" t="s">
        <v>82</v>
      </c>
      <c r="G827" s="23" t="s">
        <v>139</v>
      </c>
      <c r="H827" s="24">
        <v>46105</v>
      </c>
      <c r="I827" s="24">
        <v>46105</v>
      </c>
      <c r="J827" s="23" t="s">
        <v>3053</v>
      </c>
      <c r="K827" s="23" t="s">
        <v>3053</v>
      </c>
      <c r="L827" s="23">
        <v>1</v>
      </c>
      <c r="M827" s="23" t="s">
        <v>78</v>
      </c>
      <c r="N827" s="23" t="s">
        <v>78</v>
      </c>
      <c r="O827" s="23">
        <v>0.01</v>
      </c>
      <c r="P827" s="23" t="s">
        <v>79</v>
      </c>
      <c r="Q827" s="23" t="s">
        <v>83</v>
      </c>
      <c r="R827" s="23">
        <v>11100176</v>
      </c>
      <c r="S827" s="24">
        <v>46105</v>
      </c>
      <c r="T827" s="24">
        <v>46048</v>
      </c>
      <c r="U827" s="24" t="s">
        <v>80</v>
      </c>
      <c r="X827" s="24">
        <v>46045</v>
      </c>
      <c r="Y827" s="23">
        <v>1111</v>
      </c>
      <c r="Z827" s="23">
        <v>11100320</v>
      </c>
      <c r="AA827" s="23">
        <v>3951</v>
      </c>
      <c r="AB827" s="24">
        <v>46045</v>
      </c>
    </row>
    <row r="828" spans="2:28" x14ac:dyDescent="0.2">
      <c r="B828" s="23" t="s">
        <v>81</v>
      </c>
      <c r="C828" s="23">
        <v>1100574897</v>
      </c>
      <c r="H828" s="24">
        <v>46105</v>
      </c>
      <c r="O828" s="23">
        <v>2318.0100000000002</v>
      </c>
      <c r="P828" s="23" t="s">
        <v>79</v>
      </c>
    </row>
    <row r="829" spans="2:28" x14ac:dyDescent="0.2">
      <c r="C829" s="23">
        <v>1100575058</v>
      </c>
      <c r="E829" s="23">
        <v>10</v>
      </c>
      <c r="F829" s="23" t="s">
        <v>3054</v>
      </c>
      <c r="G829" s="23" t="s">
        <v>3055</v>
      </c>
      <c r="H829" s="24">
        <v>46105</v>
      </c>
      <c r="I829" s="24">
        <v>46105</v>
      </c>
      <c r="J829" s="23" t="s">
        <v>968</v>
      </c>
      <c r="K829" s="23" t="s">
        <v>968</v>
      </c>
      <c r="L829" s="23">
        <v>1</v>
      </c>
      <c r="M829" s="23" t="s">
        <v>78</v>
      </c>
      <c r="N829" s="23" t="s">
        <v>78</v>
      </c>
      <c r="O829" s="23">
        <v>971.94</v>
      </c>
      <c r="P829" s="23" t="s">
        <v>79</v>
      </c>
      <c r="Q829" s="23" t="s">
        <v>83</v>
      </c>
      <c r="R829" s="23">
        <v>11100176</v>
      </c>
      <c r="S829" s="24">
        <v>46063</v>
      </c>
      <c r="T829" s="24">
        <v>46049</v>
      </c>
      <c r="U829" s="24">
        <v>47116</v>
      </c>
      <c r="X829" s="24">
        <v>46048</v>
      </c>
      <c r="Y829" s="23">
        <v>1111</v>
      </c>
      <c r="Z829" s="23">
        <v>11600003</v>
      </c>
      <c r="AA829" s="23">
        <v>395103</v>
      </c>
      <c r="AB829" s="24">
        <v>46044</v>
      </c>
    </row>
    <row r="830" spans="2:28" x14ac:dyDescent="0.2">
      <c r="B830" s="23" t="s">
        <v>81</v>
      </c>
      <c r="C830" s="23">
        <v>1100575058</v>
      </c>
      <c r="H830" s="24">
        <v>46105</v>
      </c>
      <c r="O830" s="23">
        <v>971.94</v>
      </c>
      <c r="P830" s="23" t="s">
        <v>79</v>
      </c>
    </row>
    <row r="831" spans="2:28" x14ac:dyDescent="0.2">
      <c r="C831" s="23">
        <v>1100575062</v>
      </c>
      <c r="E831" s="23">
        <v>10</v>
      </c>
      <c r="F831" s="23" t="s">
        <v>127</v>
      </c>
      <c r="G831" s="23" t="s">
        <v>128</v>
      </c>
      <c r="H831" s="24">
        <v>46105</v>
      </c>
      <c r="I831" s="24">
        <v>46105</v>
      </c>
      <c r="J831" s="23" t="s">
        <v>2282</v>
      </c>
      <c r="K831" s="23" t="s">
        <v>2282</v>
      </c>
      <c r="L831" s="23">
        <v>1</v>
      </c>
      <c r="M831" s="23" t="s">
        <v>78</v>
      </c>
      <c r="N831" s="23" t="s">
        <v>78</v>
      </c>
      <c r="O831" s="23">
        <v>1486.03</v>
      </c>
      <c r="P831" s="23" t="s">
        <v>79</v>
      </c>
      <c r="Q831" s="23" t="s">
        <v>83</v>
      </c>
      <c r="R831" s="23">
        <v>11100176</v>
      </c>
      <c r="S831" s="24">
        <v>46105</v>
      </c>
      <c r="T831" s="24">
        <v>46049</v>
      </c>
      <c r="U831" s="24" t="s">
        <v>80</v>
      </c>
      <c r="X831" s="24">
        <v>46044</v>
      </c>
      <c r="Y831" s="23">
        <v>1111</v>
      </c>
      <c r="Z831" s="23">
        <v>11600001</v>
      </c>
      <c r="AA831" s="23">
        <v>3351</v>
      </c>
      <c r="AB831" s="24">
        <v>46029</v>
      </c>
    </row>
    <row r="832" spans="2:28" x14ac:dyDescent="0.2">
      <c r="C832" s="23">
        <v>1100575062</v>
      </c>
      <c r="E832" s="23">
        <v>20</v>
      </c>
      <c r="F832" s="23" t="s">
        <v>3056</v>
      </c>
      <c r="G832" s="23" t="s">
        <v>3057</v>
      </c>
      <c r="H832" s="24">
        <v>46105</v>
      </c>
      <c r="I832" s="24">
        <v>46105</v>
      </c>
      <c r="J832" s="23" t="s">
        <v>2282</v>
      </c>
      <c r="K832" s="23" t="s">
        <v>2282</v>
      </c>
      <c r="L832" s="23">
        <v>1</v>
      </c>
      <c r="M832" s="23" t="s">
        <v>78</v>
      </c>
      <c r="N832" s="23" t="s">
        <v>78</v>
      </c>
      <c r="O832" s="23">
        <v>2104.62</v>
      </c>
      <c r="P832" s="23" t="s">
        <v>79</v>
      </c>
      <c r="Q832" s="23" t="s">
        <v>83</v>
      </c>
      <c r="R832" s="23">
        <v>11100176</v>
      </c>
      <c r="S832" s="24">
        <v>46105</v>
      </c>
      <c r="T832" s="24">
        <v>46049</v>
      </c>
      <c r="U832" s="24" t="s">
        <v>80</v>
      </c>
      <c r="X832" s="24">
        <v>46044</v>
      </c>
      <c r="Y832" s="23">
        <v>1111</v>
      </c>
      <c r="Z832" s="23">
        <v>11600001</v>
      </c>
      <c r="AA832" s="23">
        <v>3351</v>
      </c>
      <c r="AB832" s="24">
        <v>46029</v>
      </c>
    </row>
    <row r="833" spans="2:28" x14ac:dyDescent="0.2">
      <c r="B833" s="23" t="s">
        <v>81</v>
      </c>
      <c r="C833" s="23">
        <v>1100575062</v>
      </c>
      <c r="H833" s="24">
        <v>46105</v>
      </c>
      <c r="O833" s="23">
        <v>3590.65</v>
      </c>
      <c r="P833" s="23" t="s">
        <v>79</v>
      </c>
    </row>
    <row r="834" spans="2:28" x14ac:dyDescent="0.2">
      <c r="C834" s="23">
        <v>1100576352</v>
      </c>
      <c r="E834" s="23">
        <v>10</v>
      </c>
      <c r="F834" s="23" t="s">
        <v>3061</v>
      </c>
      <c r="G834" s="23" t="s">
        <v>3062</v>
      </c>
      <c r="H834" s="24">
        <v>46105</v>
      </c>
      <c r="I834" s="24">
        <v>46105</v>
      </c>
      <c r="J834" s="23" t="s">
        <v>3063</v>
      </c>
      <c r="K834" s="23" t="s">
        <v>3063</v>
      </c>
      <c r="L834" s="23">
        <v>1</v>
      </c>
      <c r="M834" s="23" t="s">
        <v>78</v>
      </c>
      <c r="N834" s="23" t="s">
        <v>78</v>
      </c>
      <c r="O834" s="23">
        <v>625</v>
      </c>
      <c r="P834" s="23" t="s">
        <v>79</v>
      </c>
      <c r="Q834" s="23" t="s">
        <v>83</v>
      </c>
      <c r="R834" s="23">
        <v>11100176</v>
      </c>
      <c r="S834" s="24">
        <v>46083</v>
      </c>
      <c r="T834" s="24">
        <v>46062</v>
      </c>
      <c r="U834" s="24" t="s">
        <v>80</v>
      </c>
      <c r="X834" s="24">
        <v>46062</v>
      </c>
      <c r="Y834" s="23">
        <v>1111</v>
      </c>
      <c r="Z834" s="23">
        <v>11400937</v>
      </c>
      <c r="AA834" s="23">
        <v>3951</v>
      </c>
      <c r="AB834" s="24">
        <v>46044</v>
      </c>
    </row>
    <row r="835" spans="2:28" x14ac:dyDescent="0.2">
      <c r="B835" s="23" t="s">
        <v>81</v>
      </c>
      <c r="C835" s="23">
        <v>1100576352</v>
      </c>
      <c r="H835" s="24">
        <v>46105</v>
      </c>
      <c r="O835" s="23">
        <v>625</v>
      </c>
      <c r="P835" s="23" t="s">
        <v>79</v>
      </c>
    </row>
    <row r="836" spans="2:28" x14ac:dyDescent="0.2">
      <c r="C836" s="23">
        <v>1100576364</v>
      </c>
      <c r="E836" s="23">
        <v>10</v>
      </c>
      <c r="F836" s="23" t="s">
        <v>1995</v>
      </c>
      <c r="G836" s="23" t="s">
        <v>1996</v>
      </c>
      <c r="H836" s="24">
        <v>46105</v>
      </c>
      <c r="I836" s="24">
        <v>46105</v>
      </c>
      <c r="J836" s="23" t="s">
        <v>3064</v>
      </c>
      <c r="K836" s="23" t="s">
        <v>3064</v>
      </c>
      <c r="L836" s="23">
        <v>1</v>
      </c>
      <c r="M836" s="23" t="s">
        <v>78</v>
      </c>
      <c r="N836" s="23" t="s">
        <v>78</v>
      </c>
      <c r="O836" s="23">
        <v>420</v>
      </c>
      <c r="P836" s="23" t="s">
        <v>79</v>
      </c>
      <c r="Q836" s="23" t="s">
        <v>83</v>
      </c>
      <c r="R836" s="23">
        <v>11100176</v>
      </c>
      <c r="S836" s="24">
        <v>46094</v>
      </c>
      <c r="T836" s="24">
        <v>46063</v>
      </c>
      <c r="U836" s="24" t="s">
        <v>80</v>
      </c>
      <c r="X836" s="24">
        <v>46062</v>
      </c>
      <c r="Y836" s="23">
        <v>1111</v>
      </c>
      <c r="Z836" s="23">
        <v>11600003</v>
      </c>
      <c r="AA836" s="23">
        <v>3951</v>
      </c>
      <c r="AB836" s="24">
        <v>45982</v>
      </c>
    </row>
    <row r="837" spans="2:28" x14ac:dyDescent="0.2">
      <c r="B837" s="23" t="s">
        <v>81</v>
      </c>
      <c r="C837" s="23">
        <v>1100576364</v>
      </c>
      <c r="H837" s="24">
        <v>46105</v>
      </c>
      <c r="O837" s="23">
        <v>420</v>
      </c>
      <c r="P837" s="23" t="s">
        <v>79</v>
      </c>
    </row>
    <row r="838" spans="2:28" x14ac:dyDescent="0.2">
      <c r="C838" s="23">
        <v>1100576366</v>
      </c>
      <c r="E838" s="23">
        <v>10</v>
      </c>
      <c r="F838" s="23" t="s">
        <v>424</v>
      </c>
      <c r="G838" s="23" t="s">
        <v>425</v>
      </c>
      <c r="H838" s="24">
        <v>46105</v>
      </c>
      <c r="I838" s="24">
        <v>46105</v>
      </c>
      <c r="J838" s="23" t="s">
        <v>877</v>
      </c>
      <c r="K838" s="23" t="s">
        <v>877</v>
      </c>
      <c r="L838" s="23">
        <v>1</v>
      </c>
      <c r="M838" s="23" t="s">
        <v>78</v>
      </c>
      <c r="N838" s="23" t="s">
        <v>78</v>
      </c>
      <c r="O838" s="23">
        <v>335.52</v>
      </c>
      <c r="P838" s="23" t="s">
        <v>79</v>
      </c>
      <c r="Q838" s="23" t="s">
        <v>83</v>
      </c>
      <c r="R838" s="23">
        <v>11100176</v>
      </c>
      <c r="S838" s="24">
        <v>46077</v>
      </c>
      <c r="T838" s="24">
        <v>46063</v>
      </c>
      <c r="U838" s="24">
        <v>47116</v>
      </c>
      <c r="X838" s="24">
        <v>46058</v>
      </c>
      <c r="Y838" s="23">
        <v>1111</v>
      </c>
      <c r="Z838" s="23">
        <v>11400895</v>
      </c>
      <c r="AA838" s="23">
        <v>5251</v>
      </c>
      <c r="AB838" s="24">
        <v>46058</v>
      </c>
    </row>
    <row r="839" spans="2:28" x14ac:dyDescent="0.2">
      <c r="C839" s="23">
        <v>1100576366</v>
      </c>
      <c r="E839" s="23">
        <v>30</v>
      </c>
      <c r="F839" s="23" t="s">
        <v>124</v>
      </c>
      <c r="G839" s="23" t="s">
        <v>125</v>
      </c>
      <c r="H839" s="24">
        <v>46105</v>
      </c>
      <c r="I839" s="24">
        <v>46105</v>
      </c>
      <c r="J839" s="23" t="s">
        <v>877</v>
      </c>
      <c r="K839" s="23" t="s">
        <v>877</v>
      </c>
      <c r="L839" s="23">
        <v>1</v>
      </c>
      <c r="M839" s="23" t="s">
        <v>78</v>
      </c>
      <c r="N839" s="23" t="s">
        <v>78</v>
      </c>
      <c r="O839" s="23">
        <v>1233.75</v>
      </c>
      <c r="P839" s="23" t="s">
        <v>79</v>
      </c>
      <c r="Q839" s="23" t="s">
        <v>83</v>
      </c>
      <c r="R839" s="23">
        <v>11100176</v>
      </c>
      <c r="S839" s="24">
        <v>46105</v>
      </c>
      <c r="T839" s="24">
        <v>46063</v>
      </c>
      <c r="U839" s="24">
        <v>47116</v>
      </c>
      <c r="X839" s="24">
        <v>46058</v>
      </c>
      <c r="Y839" s="23">
        <v>1111</v>
      </c>
      <c r="Z839" s="23">
        <v>11400895</v>
      </c>
      <c r="AA839" s="23">
        <v>5251</v>
      </c>
      <c r="AB839" s="24">
        <v>46058</v>
      </c>
    </row>
    <row r="840" spans="2:28" x14ac:dyDescent="0.2">
      <c r="C840" s="23">
        <v>1100576366</v>
      </c>
      <c r="E840" s="23">
        <v>40</v>
      </c>
      <c r="F840" s="23" t="s">
        <v>3065</v>
      </c>
      <c r="G840" s="23" t="s">
        <v>3066</v>
      </c>
      <c r="H840" s="24">
        <v>46105</v>
      </c>
      <c r="I840" s="24">
        <v>46147</v>
      </c>
      <c r="J840" s="23" t="s">
        <v>877</v>
      </c>
      <c r="K840" s="23" t="s">
        <v>877</v>
      </c>
      <c r="L840" s="23">
        <v>1</v>
      </c>
      <c r="M840" s="23" t="s">
        <v>78</v>
      </c>
      <c r="N840" s="23" t="s">
        <v>78</v>
      </c>
      <c r="O840" s="23">
        <v>2874.41</v>
      </c>
      <c r="P840" s="23" t="s">
        <v>79</v>
      </c>
      <c r="Q840" s="23" t="s">
        <v>83</v>
      </c>
      <c r="R840" s="23">
        <v>11100176</v>
      </c>
      <c r="S840" s="24">
        <v>46133</v>
      </c>
      <c r="T840" s="24">
        <v>46063</v>
      </c>
      <c r="U840" s="24">
        <v>47116</v>
      </c>
      <c r="X840" s="24">
        <v>46058</v>
      </c>
      <c r="Y840" s="23">
        <v>1111</v>
      </c>
      <c r="Z840" s="23">
        <v>11400895</v>
      </c>
      <c r="AA840" s="23">
        <v>5251</v>
      </c>
      <c r="AB840" s="24">
        <v>46058</v>
      </c>
    </row>
    <row r="841" spans="2:28" x14ac:dyDescent="0.2">
      <c r="B841" s="23" t="s">
        <v>81</v>
      </c>
      <c r="C841" s="23">
        <v>1100576366</v>
      </c>
      <c r="H841" s="24">
        <v>46105</v>
      </c>
      <c r="O841" s="23">
        <v>4443.68</v>
      </c>
      <c r="P841" s="23" t="s">
        <v>79</v>
      </c>
    </row>
    <row r="842" spans="2:28" x14ac:dyDescent="0.2">
      <c r="C842" s="23">
        <v>1100576664</v>
      </c>
      <c r="E842" s="23">
        <v>10</v>
      </c>
      <c r="F842" s="23" t="s">
        <v>808</v>
      </c>
      <c r="G842" s="23" t="s">
        <v>809</v>
      </c>
      <c r="H842" s="24">
        <v>46105</v>
      </c>
      <c r="I842" s="24">
        <v>46105</v>
      </c>
      <c r="J842" s="23" t="s">
        <v>3067</v>
      </c>
      <c r="K842" s="23" t="s">
        <v>3067</v>
      </c>
      <c r="L842" s="23">
        <v>1</v>
      </c>
      <c r="M842" s="23" t="s">
        <v>78</v>
      </c>
      <c r="N842" s="23" t="s">
        <v>78</v>
      </c>
      <c r="O842" s="23">
        <v>16.43</v>
      </c>
      <c r="P842" s="23" t="s">
        <v>79</v>
      </c>
      <c r="Q842" s="23" t="s">
        <v>83</v>
      </c>
      <c r="R842" s="23">
        <v>11100176</v>
      </c>
      <c r="S842" s="24">
        <v>46094</v>
      </c>
      <c r="T842" s="24">
        <v>46065</v>
      </c>
      <c r="U842" s="24" t="s">
        <v>80</v>
      </c>
      <c r="X842" s="24">
        <v>46062</v>
      </c>
      <c r="Y842" s="23">
        <v>1111</v>
      </c>
      <c r="Z842" s="23">
        <v>11600003</v>
      </c>
      <c r="AA842" s="23">
        <v>505103</v>
      </c>
      <c r="AB842" s="24">
        <v>46062</v>
      </c>
    </row>
    <row r="843" spans="2:28" x14ac:dyDescent="0.2">
      <c r="C843" s="23">
        <v>1100576664</v>
      </c>
      <c r="E843" s="23">
        <v>20</v>
      </c>
      <c r="F843" s="23" t="s">
        <v>675</v>
      </c>
      <c r="G843" s="23" t="s">
        <v>2031</v>
      </c>
      <c r="H843" s="24">
        <v>46105</v>
      </c>
      <c r="I843" s="24">
        <v>46105</v>
      </c>
      <c r="J843" s="23" t="s">
        <v>3067</v>
      </c>
      <c r="K843" s="23" t="s">
        <v>3067</v>
      </c>
      <c r="L843" s="23">
        <v>7</v>
      </c>
      <c r="M843" s="23" t="s">
        <v>78</v>
      </c>
      <c r="N843" s="23" t="s">
        <v>78</v>
      </c>
      <c r="O843" s="23">
        <v>69.09</v>
      </c>
      <c r="P843" s="23" t="s">
        <v>79</v>
      </c>
      <c r="Q843" s="23" t="s">
        <v>83</v>
      </c>
      <c r="R843" s="23">
        <v>11100176</v>
      </c>
      <c r="S843" s="24">
        <v>46094</v>
      </c>
      <c r="T843" s="24">
        <v>46065</v>
      </c>
      <c r="U843" s="24" t="s">
        <v>80</v>
      </c>
      <c r="X843" s="24">
        <v>46062</v>
      </c>
      <c r="Y843" s="23">
        <v>1111</v>
      </c>
      <c r="Z843" s="23">
        <v>11600003</v>
      </c>
      <c r="AA843" s="23">
        <v>505103</v>
      </c>
      <c r="AB843" s="24">
        <v>46062</v>
      </c>
    </row>
    <row r="844" spans="2:28" x14ac:dyDescent="0.2">
      <c r="C844" s="23">
        <v>1100576664</v>
      </c>
      <c r="E844" s="23">
        <v>30</v>
      </c>
      <c r="F844" s="23" t="s">
        <v>3068</v>
      </c>
      <c r="G844" s="23" t="s">
        <v>3069</v>
      </c>
      <c r="H844" s="24">
        <v>46105</v>
      </c>
      <c r="I844" s="24">
        <v>46105</v>
      </c>
      <c r="J844" s="23" t="s">
        <v>3067</v>
      </c>
      <c r="K844" s="23" t="s">
        <v>3067</v>
      </c>
      <c r="L844" s="23">
        <v>6</v>
      </c>
      <c r="M844" s="23" t="s">
        <v>78</v>
      </c>
      <c r="N844" s="23" t="s">
        <v>78</v>
      </c>
      <c r="O844" s="23">
        <v>32.880000000000003</v>
      </c>
      <c r="P844" s="23" t="s">
        <v>79</v>
      </c>
      <c r="Q844" s="23" t="s">
        <v>83</v>
      </c>
      <c r="R844" s="23">
        <v>11100176</v>
      </c>
      <c r="S844" s="24">
        <v>46094</v>
      </c>
      <c r="T844" s="24">
        <v>46065</v>
      </c>
      <c r="U844" s="24" t="s">
        <v>80</v>
      </c>
      <c r="X844" s="24">
        <v>46062</v>
      </c>
      <c r="Y844" s="23">
        <v>1111</v>
      </c>
      <c r="Z844" s="23">
        <v>11600003</v>
      </c>
      <c r="AA844" s="23">
        <v>505103</v>
      </c>
      <c r="AB844" s="24">
        <v>46062</v>
      </c>
    </row>
    <row r="845" spans="2:28" x14ac:dyDescent="0.2">
      <c r="C845" s="23">
        <v>1100576664</v>
      </c>
      <c r="E845" s="23">
        <v>40</v>
      </c>
      <c r="F845" s="23" t="s">
        <v>800</v>
      </c>
      <c r="G845" s="23" t="s">
        <v>801</v>
      </c>
      <c r="H845" s="24">
        <v>46105</v>
      </c>
      <c r="I845" s="24">
        <v>46105</v>
      </c>
      <c r="J845" s="23" t="s">
        <v>3067</v>
      </c>
      <c r="K845" s="23" t="s">
        <v>3067</v>
      </c>
      <c r="L845" s="23">
        <v>1</v>
      </c>
      <c r="M845" s="23" t="s">
        <v>78</v>
      </c>
      <c r="N845" s="23" t="s">
        <v>78</v>
      </c>
      <c r="O845" s="23">
        <v>9.8699999999999992</v>
      </c>
      <c r="P845" s="23" t="s">
        <v>79</v>
      </c>
      <c r="Q845" s="23" t="s">
        <v>83</v>
      </c>
      <c r="R845" s="23">
        <v>11100176</v>
      </c>
      <c r="S845" s="24">
        <v>46094</v>
      </c>
      <c r="T845" s="24">
        <v>46065</v>
      </c>
      <c r="U845" s="24" t="s">
        <v>80</v>
      </c>
      <c r="X845" s="24">
        <v>46062</v>
      </c>
      <c r="Y845" s="23">
        <v>1111</v>
      </c>
      <c r="Z845" s="23">
        <v>11600003</v>
      </c>
      <c r="AA845" s="23">
        <v>505103</v>
      </c>
      <c r="AB845" s="24">
        <v>46062</v>
      </c>
    </row>
    <row r="846" spans="2:28" x14ac:dyDescent="0.2">
      <c r="C846" s="23">
        <v>1100576664</v>
      </c>
      <c r="E846" s="23">
        <v>50</v>
      </c>
      <c r="F846" s="23" t="s">
        <v>673</v>
      </c>
      <c r="G846" s="23" t="s">
        <v>674</v>
      </c>
      <c r="H846" s="24">
        <v>46105</v>
      </c>
      <c r="I846" s="24">
        <v>46105</v>
      </c>
      <c r="J846" s="23" t="s">
        <v>3067</v>
      </c>
      <c r="K846" s="23" t="s">
        <v>3067</v>
      </c>
      <c r="L846" s="23">
        <v>2</v>
      </c>
      <c r="M846" s="23" t="s">
        <v>78</v>
      </c>
      <c r="N846" s="23" t="s">
        <v>78</v>
      </c>
      <c r="O846" s="23">
        <v>8.76</v>
      </c>
      <c r="P846" s="23" t="s">
        <v>79</v>
      </c>
      <c r="Q846" s="23" t="s">
        <v>83</v>
      </c>
      <c r="R846" s="23">
        <v>11100176</v>
      </c>
      <c r="S846" s="24">
        <v>46094</v>
      </c>
      <c r="T846" s="24">
        <v>46065</v>
      </c>
      <c r="U846" s="24" t="s">
        <v>80</v>
      </c>
      <c r="X846" s="24">
        <v>46062</v>
      </c>
      <c r="Y846" s="23">
        <v>1111</v>
      </c>
      <c r="Z846" s="23">
        <v>11600003</v>
      </c>
      <c r="AA846" s="23">
        <v>505103</v>
      </c>
      <c r="AB846" s="24">
        <v>46062</v>
      </c>
    </row>
    <row r="847" spans="2:28" x14ac:dyDescent="0.2">
      <c r="C847" s="23">
        <v>1100576664</v>
      </c>
      <c r="E847" s="23">
        <v>60</v>
      </c>
      <c r="F847" s="23" t="s">
        <v>3070</v>
      </c>
      <c r="G847" s="23" t="s">
        <v>3071</v>
      </c>
      <c r="H847" s="24">
        <v>46105</v>
      </c>
      <c r="I847" s="24">
        <v>46105</v>
      </c>
      <c r="J847" s="23" t="s">
        <v>3067</v>
      </c>
      <c r="K847" s="23" t="s">
        <v>3067</v>
      </c>
      <c r="L847" s="23">
        <v>1</v>
      </c>
      <c r="M847" s="23" t="s">
        <v>78</v>
      </c>
      <c r="N847" s="23" t="s">
        <v>78</v>
      </c>
      <c r="O847" s="23">
        <v>15.33</v>
      </c>
      <c r="P847" s="23" t="s">
        <v>79</v>
      </c>
      <c r="Q847" s="23" t="s">
        <v>83</v>
      </c>
      <c r="R847" s="23">
        <v>11100176</v>
      </c>
      <c r="S847" s="24">
        <v>46094</v>
      </c>
      <c r="T847" s="24">
        <v>46065</v>
      </c>
      <c r="U847" s="24" t="s">
        <v>80</v>
      </c>
      <c r="X847" s="24">
        <v>46062</v>
      </c>
      <c r="Y847" s="23">
        <v>1111</v>
      </c>
      <c r="Z847" s="23">
        <v>11600003</v>
      </c>
      <c r="AA847" s="23">
        <v>505103</v>
      </c>
      <c r="AB847" s="24">
        <v>46062</v>
      </c>
    </row>
    <row r="848" spans="2:28" x14ac:dyDescent="0.2">
      <c r="C848" s="23">
        <v>1100576664</v>
      </c>
      <c r="E848" s="23">
        <v>70</v>
      </c>
      <c r="F848" s="23" t="s">
        <v>2819</v>
      </c>
      <c r="G848" s="23" t="s">
        <v>2820</v>
      </c>
      <c r="H848" s="24">
        <v>46105</v>
      </c>
      <c r="I848" s="24">
        <v>46105</v>
      </c>
      <c r="J848" s="23" t="s">
        <v>3067</v>
      </c>
      <c r="K848" s="23" t="s">
        <v>3067</v>
      </c>
      <c r="L848" s="23">
        <v>2</v>
      </c>
      <c r="M848" s="23" t="s">
        <v>78</v>
      </c>
      <c r="N848" s="23" t="s">
        <v>78</v>
      </c>
      <c r="O848" s="23">
        <v>8.16</v>
      </c>
      <c r="P848" s="23" t="s">
        <v>79</v>
      </c>
      <c r="Q848" s="23" t="s">
        <v>83</v>
      </c>
      <c r="R848" s="23">
        <v>11100176</v>
      </c>
      <c r="S848" s="24">
        <v>46094</v>
      </c>
      <c r="T848" s="24">
        <v>46065</v>
      </c>
      <c r="U848" s="24" t="s">
        <v>80</v>
      </c>
      <c r="X848" s="24">
        <v>46062</v>
      </c>
      <c r="Y848" s="23">
        <v>1111</v>
      </c>
      <c r="Z848" s="23">
        <v>11600003</v>
      </c>
      <c r="AA848" s="23">
        <v>505103</v>
      </c>
      <c r="AB848" s="24">
        <v>46062</v>
      </c>
    </row>
    <row r="849" spans="2:28" x14ac:dyDescent="0.2">
      <c r="C849" s="23">
        <v>1100576664</v>
      </c>
      <c r="E849" s="23">
        <v>80</v>
      </c>
      <c r="F849" s="23" t="s">
        <v>672</v>
      </c>
      <c r="G849" s="23" t="s">
        <v>1782</v>
      </c>
      <c r="H849" s="24">
        <v>46105</v>
      </c>
      <c r="I849" s="24">
        <v>46105</v>
      </c>
      <c r="J849" s="23" t="s">
        <v>3067</v>
      </c>
      <c r="K849" s="23" t="s">
        <v>3067</v>
      </c>
      <c r="L849" s="23">
        <v>1</v>
      </c>
      <c r="M849" s="23" t="s">
        <v>78</v>
      </c>
      <c r="N849" s="23" t="s">
        <v>78</v>
      </c>
      <c r="O849" s="23">
        <v>171.92</v>
      </c>
      <c r="P849" s="23" t="s">
        <v>79</v>
      </c>
      <c r="Q849" s="23" t="s">
        <v>83</v>
      </c>
      <c r="R849" s="23">
        <v>11100176</v>
      </c>
      <c r="S849" s="24">
        <v>46094</v>
      </c>
      <c r="T849" s="24">
        <v>46065</v>
      </c>
      <c r="U849" s="24" t="s">
        <v>80</v>
      </c>
      <c r="X849" s="24">
        <v>46062</v>
      </c>
      <c r="Y849" s="23">
        <v>1111</v>
      </c>
      <c r="Z849" s="23">
        <v>11600003</v>
      </c>
      <c r="AA849" s="23">
        <v>505103</v>
      </c>
      <c r="AB849" s="24">
        <v>46062</v>
      </c>
    </row>
    <row r="850" spans="2:28" x14ac:dyDescent="0.2">
      <c r="C850" s="23">
        <v>1100576664</v>
      </c>
      <c r="E850" s="23">
        <v>90</v>
      </c>
      <c r="F850" s="23" t="s">
        <v>3072</v>
      </c>
      <c r="G850" s="23" t="s">
        <v>3073</v>
      </c>
      <c r="H850" s="24">
        <v>46105</v>
      </c>
      <c r="I850" s="24">
        <v>46105</v>
      </c>
      <c r="J850" s="23" t="s">
        <v>3067</v>
      </c>
      <c r="K850" s="23" t="s">
        <v>3067</v>
      </c>
      <c r="L850" s="23">
        <v>4</v>
      </c>
      <c r="M850" s="23" t="s">
        <v>78</v>
      </c>
      <c r="N850" s="23" t="s">
        <v>78</v>
      </c>
      <c r="O850" s="23">
        <v>26.28</v>
      </c>
      <c r="P850" s="23" t="s">
        <v>79</v>
      </c>
      <c r="Q850" s="23" t="s">
        <v>83</v>
      </c>
      <c r="R850" s="23">
        <v>11100176</v>
      </c>
      <c r="S850" s="24">
        <v>46094</v>
      </c>
      <c r="T850" s="24">
        <v>46065</v>
      </c>
      <c r="U850" s="24" t="s">
        <v>80</v>
      </c>
      <c r="X850" s="24">
        <v>46062</v>
      </c>
      <c r="Y850" s="23">
        <v>1111</v>
      </c>
      <c r="Z850" s="23">
        <v>11600003</v>
      </c>
      <c r="AA850" s="23">
        <v>505103</v>
      </c>
      <c r="AB850" s="24">
        <v>46062</v>
      </c>
    </row>
    <row r="851" spans="2:28" x14ac:dyDescent="0.2">
      <c r="C851" s="23">
        <v>1100576664</v>
      </c>
      <c r="E851" s="23">
        <v>100</v>
      </c>
      <c r="F851" s="23" t="s">
        <v>792</v>
      </c>
      <c r="G851" s="23" t="s">
        <v>793</v>
      </c>
      <c r="H851" s="24">
        <v>46105</v>
      </c>
      <c r="I851" s="24">
        <v>46105</v>
      </c>
      <c r="J851" s="23" t="s">
        <v>3067</v>
      </c>
      <c r="K851" s="23" t="s">
        <v>3067</v>
      </c>
      <c r="L851" s="23">
        <v>2</v>
      </c>
      <c r="M851" s="23" t="s">
        <v>78</v>
      </c>
      <c r="N851" s="23" t="s">
        <v>78</v>
      </c>
      <c r="O851" s="23">
        <v>94.3</v>
      </c>
      <c r="P851" s="23" t="s">
        <v>79</v>
      </c>
      <c r="Q851" s="23" t="s">
        <v>83</v>
      </c>
      <c r="R851" s="23">
        <v>11100176</v>
      </c>
      <c r="S851" s="24">
        <v>46094</v>
      </c>
      <c r="T851" s="24">
        <v>46065</v>
      </c>
      <c r="U851" s="24" t="s">
        <v>80</v>
      </c>
      <c r="X851" s="24">
        <v>46062</v>
      </c>
      <c r="Y851" s="23">
        <v>1111</v>
      </c>
      <c r="Z851" s="23">
        <v>11600003</v>
      </c>
      <c r="AA851" s="23">
        <v>505103</v>
      </c>
      <c r="AB851" s="24">
        <v>46062</v>
      </c>
    </row>
    <row r="852" spans="2:28" x14ac:dyDescent="0.2">
      <c r="C852" s="23">
        <v>1100576664</v>
      </c>
      <c r="E852" s="23">
        <v>110</v>
      </c>
      <c r="F852" s="23" t="s">
        <v>924</v>
      </c>
      <c r="G852" s="23" t="s">
        <v>925</v>
      </c>
      <c r="H852" s="24">
        <v>46105</v>
      </c>
      <c r="I852" s="24">
        <v>46105</v>
      </c>
      <c r="J852" s="23" t="s">
        <v>3067</v>
      </c>
      <c r="K852" s="23" t="s">
        <v>3067</v>
      </c>
      <c r="L852" s="23">
        <v>1</v>
      </c>
      <c r="M852" s="23" t="s">
        <v>78</v>
      </c>
      <c r="N852" s="23" t="s">
        <v>78</v>
      </c>
      <c r="O852" s="23">
        <v>5.48</v>
      </c>
      <c r="P852" s="23" t="s">
        <v>79</v>
      </c>
      <c r="Q852" s="23" t="s">
        <v>83</v>
      </c>
      <c r="R852" s="23">
        <v>11100176</v>
      </c>
      <c r="S852" s="24">
        <v>46094</v>
      </c>
      <c r="T852" s="24">
        <v>46065</v>
      </c>
      <c r="U852" s="24" t="s">
        <v>80</v>
      </c>
      <c r="X852" s="24">
        <v>46062</v>
      </c>
      <c r="Y852" s="23">
        <v>1111</v>
      </c>
      <c r="Z852" s="23">
        <v>11600003</v>
      </c>
      <c r="AA852" s="23">
        <v>505103</v>
      </c>
      <c r="AB852" s="24">
        <v>46062</v>
      </c>
    </row>
    <row r="853" spans="2:28" x14ac:dyDescent="0.2">
      <c r="C853" s="23">
        <v>1100576664</v>
      </c>
      <c r="E853" s="23">
        <v>120</v>
      </c>
      <c r="F853" s="23" t="s">
        <v>3074</v>
      </c>
      <c r="G853" s="23" t="s">
        <v>3075</v>
      </c>
      <c r="H853" s="24">
        <v>46105</v>
      </c>
      <c r="I853" s="24">
        <v>46105</v>
      </c>
      <c r="J853" s="23" t="s">
        <v>3067</v>
      </c>
      <c r="K853" s="23" t="s">
        <v>3067</v>
      </c>
      <c r="L853" s="23">
        <v>1</v>
      </c>
      <c r="M853" s="23" t="s">
        <v>78</v>
      </c>
      <c r="N853" s="23" t="s">
        <v>78</v>
      </c>
      <c r="O853" s="23">
        <v>32.85</v>
      </c>
      <c r="P853" s="23" t="s">
        <v>79</v>
      </c>
      <c r="Q853" s="23" t="s">
        <v>83</v>
      </c>
      <c r="R853" s="23">
        <v>11100176</v>
      </c>
      <c r="S853" s="24">
        <v>46094</v>
      </c>
      <c r="T853" s="24">
        <v>46065</v>
      </c>
      <c r="U853" s="24" t="s">
        <v>80</v>
      </c>
      <c r="X853" s="24">
        <v>46062</v>
      </c>
      <c r="Y853" s="23">
        <v>1111</v>
      </c>
      <c r="Z853" s="23">
        <v>11600003</v>
      </c>
      <c r="AA853" s="23">
        <v>505103</v>
      </c>
      <c r="AB853" s="24">
        <v>46062</v>
      </c>
    </row>
    <row r="854" spans="2:28" x14ac:dyDescent="0.2">
      <c r="C854" s="23">
        <v>1100576664</v>
      </c>
      <c r="E854" s="23">
        <v>130</v>
      </c>
      <c r="F854" s="23" t="s">
        <v>835</v>
      </c>
      <c r="G854" s="23" t="s">
        <v>836</v>
      </c>
      <c r="H854" s="24">
        <v>46105</v>
      </c>
      <c r="I854" s="24">
        <v>46105</v>
      </c>
      <c r="J854" s="23" t="s">
        <v>3067</v>
      </c>
      <c r="K854" s="23" t="s">
        <v>3067</v>
      </c>
      <c r="L854" s="23">
        <v>1</v>
      </c>
      <c r="M854" s="23" t="s">
        <v>78</v>
      </c>
      <c r="N854" s="23" t="s">
        <v>78</v>
      </c>
      <c r="O854" s="23">
        <v>126.1</v>
      </c>
      <c r="P854" s="23" t="s">
        <v>79</v>
      </c>
      <c r="Q854" s="23" t="s">
        <v>83</v>
      </c>
      <c r="R854" s="23">
        <v>11100176</v>
      </c>
      <c r="S854" s="24">
        <v>46094</v>
      </c>
      <c r="T854" s="24">
        <v>46065</v>
      </c>
      <c r="U854" s="24" t="s">
        <v>80</v>
      </c>
      <c r="X854" s="24">
        <v>46062</v>
      </c>
      <c r="Y854" s="23">
        <v>1111</v>
      </c>
      <c r="Z854" s="23">
        <v>11600003</v>
      </c>
      <c r="AA854" s="23">
        <v>505103</v>
      </c>
      <c r="AB854" s="24">
        <v>46062</v>
      </c>
    </row>
    <row r="855" spans="2:28" x14ac:dyDescent="0.2">
      <c r="C855" s="23">
        <v>1100576664</v>
      </c>
      <c r="E855" s="23">
        <v>140</v>
      </c>
      <c r="F855" s="23" t="s">
        <v>739</v>
      </c>
      <c r="G855" s="23" t="s">
        <v>740</v>
      </c>
      <c r="H855" s="24">
        <v>46105</v>
      </c>
      <c r="I855" s="24">
        <v>46105</v>
      </c>
      <c r="J855" s="23" t="s">
        <v>3067</v>
      </c>
      <c r="K855" s="23" t="s">
        <v>3067</v>
      </c>
      <c r="L855" s="23">
        <v>1</v>
      </c>
      <c r="M855" s="23" t="s">
        <v>78</v>
      </c>
      <c r="N855" s="23" t="s">
        <v>78</v>
      </c>
      <c r="O855" s="23">
        <v>37.28</v>
      </c>
      <c r="P855" s="23" t="s">
        <v>79</v>
      </c>
      <c r="Q855" s="23" t="s">
        <v>83</v>
      </c>
      <c r="R855" s="23">
        <v>11100176</v>
      </c>
      <c r="S855" s="24">
        <v>46094</v>
      </c>
      <c r="T855" s="24">
        <v>46065</v>
      </c>
      <c r="U855" s="24" t="s">
        <v>80</v>
      </c>
      <c r="X855" s="24">
        <v>46062</v>
      </c>
      <c r="Y855" s="23">
        <v>1111</v>
      </c>
      <c r="Z855" s="23">
        <v>11600003</v>
      </c>
      <c r="AA855" s="23">
        <v>505103</v>
      </c>
      <c r="AB855" s="24">
        <v>46062</v>
      </c>
    </row>
    <row r="856" spans="2:28" x14ac:dyDescent="0.2">
      <c r="C856" s="23">
        <v>1100576664</v>
      </c>
      <c r="E856" s="23">
        <v>150</v>
      </c>
      <c r="F856" s="23" t="s">
        <v>209</v>
      </c>
      <c r="G856" s="23" t="s">
        <v>210</v>
      </c>
      <c r="H856" s="24">
        <v>46105</v>
      </c>
      <c r="I856" s="24">
        <v>46105</v>
      </c>
      <c r="J856" s="23" t="s">
        <v>3067</v>
      </c>
      <c r="K856" s="23" t="s">
        <v>3067</v>
      </c>
      <c r="L856" s="23">
        <v>1</v>
      </c>
      <c r="M856" s="23" t="s">
        <v>78</v>
      </c>
      <c r="N856" s="23" t="s">
        <v>78</v>
      </c>
      <c r="O856" s="23">
        <v>0.01</v>
      </c>
      <c r="P856" s="23" t="s">
        <v>79</v>
      </c>
      <c r="Q856" s="23" t="s">
        <v>83</v>
      </c>
      <c r="R856" s="23">
        <v>11100176</v>
      </c>
      <c r="S856" s="24">
        <v>46094</v>
      </c>
      <c r="T856" s="24">
        <v>46065</v>
      </c>
      <c r="U856" s="24" t="s">
        <v>80</v>
      </c>
      <c r="X856" s="24">
        <v>46062</v>
      </c>
      <c r="Y856" s="23">
        <v>1111</v>
      </c>
      <c r="Z856" s="23">
        <v>11600003</v>
      </c>
      <c r="AA856" s="23">
        <v>505103</v>
      </c>
      <c r="AB856" s="24">
        <v>46062</v>
      </c>
    </row>
    <row r="857" spans="2:28" x14ac:dyDescent="0.2">
      <c r="B857" s="23" t="s">
        <v>81</v>
      </c>
      <c r="C857" s="23">
        <v>1100576664</v>
      </c>
      <c r="H857" s="24">
        <v>46105</v>
      </c>
      <c r="O857" s="23">
        <v>654.74</v>
      </c>
      <c r="P857" s="23" t="s">
        <v>79</v>
      </c>
    </row>
    <row r="858" spans="2:28" x14ac:dyDescent="0.2">
      <c r="C858" s="23">
        <v>1100576674</v>
      </c>
      <c r="E858" s="23">
        <v>10</v>
      </c>
      <c r="F858" s="23" t="s">
        <v>3076</v>
      </c>
      <c r="G858" s="23" t="s">
        <v>3077</v>
      </c>
      <c r="H858" s="24">
        <v>46105</v>
      </c>
      <c r="I858" s="24">
        <v>46105</v>
      </c>
      <c r="J858" s="23" t="s">
        <v>805</v>
      </c>
      <c r="K858" s="23" t="s">
        <v>805</v>
      </c>
      <c r="L858" s="23">
        <v>2</v>
      </c>
      <c r="M858" s="23" t="s">
        <v>78</v>
      </c>
      <c r="N858" s="23" t="s">
        <v>78</v>
      </c>
      <c r="O858" s="23">
        <v>1732</v>
      </c>
      <c r="P858" s="23" t="s">
        <v>79</v>
      </c>
      <c r="Q858" s="23" t="s">
        <v>83</v>
      </c>
      <c r="R858" s="23">
        <v>11100176</v>
      </c>
      <c r="S858" s="24">
        <v>46093</v>
      </c>
      <c r="T858" s="24">
        <v>46065</v>
      </c>
      <c r="U858" s="24">
        <v>47116</v>
      </c>
      <c r="X858" s="24">
        <v>46064</v>
      </c>
      <c r="Y858" s="23">
        <v>1111</v>
      </c>
      <c r="Z858" s="23">
        <v>11200190</v>
      </c>
      <c r="AA858" s="23">
        <v>3951</v>
      </c>
      <c r="AB858" s="24">
        <v>46056</v>
      </c>
    </row>
    <row r="859" spans="2:28" x14ac:dyDescent="0.2">
      <c r="C859" s="23">
        <v>1100576674</v>
      </c>
      <c r="E859" s="23">
        <v>20</v>
      </c>
      <c r="F859" s="23" t="s">
        <v>82</v>
      </c>
      <c r="G859" s="23" t="s">
        <v>139</v>
      </c>
      <c r="H859" s="24">
        <v>46105</v>
      </c>
      <c r="I859" s="24">
        <v>46105</v>
      </c>
      <c r="J859" s="23" t="s">
        <v>805</v>
      </c>
      <c r="K859" s="23" t="s">
        <v>805</v>
      </c>
      <c r="L859" s="23">
        <v>1</v>
      </c>
      <c r="M859" s="23" t="s">
        <v>78</v>
      </c>
      <c r="N859" s="23" t="s">
        <v>78</v>
      </c>
      <c r="O859" s="23">
        <v>0.01</v>
      </c>
      <c r="P859" s="23" t="s">
        <v>79</v>
      </c>
      <c r="Q859" s="23" t="s">
        <v>83</v>
      </c>
      <c r="R859" s="23">
        <v>11100176</v>
      </c>
      <c r="S859" s="24" t="s">
        <v>80</v>
      </c>
      <c r="T859" s="24">
        <v>46065</v>
      </c>
      <c r="U859" s="24">
        <v>47116</v>
      </c>
      <c r="X859" s="24">
        <v>46064</v>
      </c>
      <c r="Y859" s="23">
        <v>1111</v>
      </c>
      <c r="Z859" s="23">
        <v>11200190</v>
      </c>
      <c r="AA859" s="23">
        <v>3951</v>
      </c>
      <c r="AB859" s="24">
        <v>46056</v>
      </c>
    </row>
    <row r="860" spans="2:28" x14ac:dyDescent="0.2">
      <c r="B860" s="23" t="s">
        <v>81</v>
      </c>
      <c r="C860" s="23">
        <v>1100576674</v>
      </c>
      <c r="H860" s="24">
        <v>46105</v>
      </c>
      <c r="O860" s="23">
        <v>1732.01</v>
      </c>
      <c r="P860" s="23" t="s">
        <v>79</v>
      </c>
    </row>
    <row r="861" spans="2:28" x14ac:dyDescent="0.2">
      <c r="C861" s="23">
        <v>1100576961</v>
      </c>
      <c r="E861" s="23">
        <v>40</v>
      </c>
      <c r="F861" s="23" t="s">
        <v>3078</v>
      </c>
      <c r="G861" s="23" t="s">
        <v>3079</v>
      </c>
      <c r="H861" s="24">
        <v>46105</v>
      </c>
      <c r="I861" s="24">
        <v>46105</v>
      </c>
      <c r="J861" s="23" t="s">
        <v>3080</v>
      </c>
      <c r="K861" s="23" t="s">
        <v>3080</v>
      </c>
      <c r="L861" s="23">
        <v>3</v>
      </c>
      <c r="M861" s="23" t="s">
        <v>78</v>
      </c>
      <c r="N861" s="23" t="s">
        <v>78</v>
      </c>
      <c r="O861" s="23">
        <v>3626.1</v>
      </c>
      <c r="P861" s="23" t="s">
        <v>79</v>
      </c>
      <c r="Q861" s="23" t="s">
        <v>83</v>
      </c>
      <c r="R861" s="23">
        <v>11100176</v>
      </c>
      <c r="S861" s="24">
        <v>46105</v>
      </c>
      <c r="T861" s="24">
        <v>46070</v>
      </c>
      <c r="U861" s="24">
        <v>47116</v>
      </c>
      <c r="X861" s="24">
        <v>46070</v>
      </c>
      <c r="Y861" s="23">
        <v>1111</v>
      </c>
      <c r="Z861" s="23">
        <v>11400895</v>
      </c>
      <c r="AA861" s="23">
        <v>505103</v>
      </c>
      <c r="AB861" s="24">
        <v>46070</v>
      </c>
    </row>
    <row r="862" spans="2:28" x14ac:dyDescent="0.2">
      <c r="B862" s="23" t="s">
        <v>81</v>
      </c>
      <c r="C862" s="23">
        <v>1100576961</v>
      </c>
      <c r="H862" s="24">
        <v>46105</v>
      </c>
      <c r="O862" s="23">
        <v>3626.1</v>
      </c>
      <c r="P862" s="23" t="s">
        <v>79</v>
      </c>
    </row>
    <row r="863" spans="2:28" x14ac:dyDescent="0.2">
      <c r="C863" s="23">
        <v>1100577558</v>
      </c>
      <c r="E863" s="23">
        <v>20</v>
      </c>
      <c r="F863" s="23" t="s">
        <v>776</v>
      </c>
      <c r="G863" s="23" t="s">
        <v>777</v>
      </c>
      <c r="H863" s="24">
        <v>46105</v>
      </c>
      <c r="I863" s="24">
        <v>46105</v>
      </c>
      <c r="J863" s="23" t="s">
        <v>682</v>
      </c>
      <c r="K863" s="23" t="s">
        <v>682</v>
      </c>
      <c r="L863" s="23">
        <v>10</v>
      </c>
      <c r="M863" s="23" t="s">
        <v>78</v>
      </c>
      <c r="N863" s="23" t="s">
        <v>78</v>
      </c>
      <c r="O863" s="23">
        <v>87.7</v>
      </c>
      <c r="P863" s="23" t="s">
        <v>79</v>
      </c>
      <c r="Q863" s="23" t="s">
        <v>83</v>
      </c>
      <c r="R863" s="23">
        <v>11100008</v>
      </c>
      <c r="S863" s="24">
        <v>46080</v>
      </c>
      <c r="T863" s="24">
        <v>46075</v>
      </c>
      <c r="U863" s="24">
        <v>47116</v>
      </c>
      <c r="X863" s="24">
        <v>46064</v>
      </c>
      <c r="Y863" s="23">
        <v>1111</v>
      </c>
      <c r="Z863" s="23">
        <v>11400937</v>
      </c>
      <c r="AA863" s="23">
        <v>3351</v>
      </c>
      <c r="AB863" s="24">
        <v>46063</v>
      </c>
    </row>
    <row r="864" spans="2:28" x14ac:dyDescent="0.2">
      <c r="B864" s="23" t="s">
        <v>81</v>
      </c>
      <c r="C864" s="23">
        <v>1100577558</v>
      </c>
      <c r="H864" s="24">
        <v>46105</v>
      </c>
      <c r="O864" s="23">
        <v>87.7</v>
      </c>
      <c r="P864" s="23" t="s">
        <v>79</v>
      </c>
    </row>
    <row r="865" spans="2:28" x14ac:dyDescent="0.2">
      <c r="C865" s="23">
        <v>1100577779</v>
      </c>
      <c r="E865" s="23">
        <v>10</v>
      </c>
      <c r="F865" s="23" t="s">
        <v>3081</v>
      </c>
      <c r="G865" s="23" t="s">
        <v>3082</v>
      </c>
      <c r="H865" s="24">
        <v>46105</v>
      </c>
      <c r="I865" s="24">
        <v>46105</v>
      </c>
      <c r="J865" s="23" t="s">
        <v>503</v>
      </c>
      <c r="K865" s="23" t="s">
        <v>503</v>
      </c>
      <c r="L865" s="23">
        <v>2</v>
      </c>
      <c r="M865" s="23" t="s">
        <v>78</v>
      </c>
      <c r="N865" s="23" t="s">
        <v>78</v>
      </c>
      <c r="O865" s="23">
        <v>695.18</v>
      </c>
      <c r="P865" s="23" t="s">
        <v>79</v>
      </c>
      <c r="Q865" s="23" t="s">
        <v>83</v>
      </c>
      <c r="R865" s="23">
        <v>11100176</v>
      </c>
      <c r="S865" s="24">
        <v>46101</v>
      </c>
      <c r="T865" s="24">
        <v>46077</v>
      </c>
      <c r="U865" s="24" t="s">
        <v>80</v>
      </c>
      <c r="X865" s="24">
        <v>46076</v>
      </c>
      <c r="Y865" s="23">
        <v>1111</v>
      </c>
      <c r="Z865" s="23">
        <v>11400811</v>
      </c>
      <c r="AA865" s="23">
        <v>505103</v>
      </c>
      <c r="AB865" s="24">
        <v>46076</v>
      </c>
    </row>
    <row r="866" spans="2:28" x14ac:dyDescent="0.2">
      <c r="B866" s="23" t="s">
        <v>81</v>
      </c>
      <c r="C866" s="23">
        <v>1100577779</v>
      </c>
      <c r="H866" s="24">
        <v>46105</v>
      </c>
      <c r="O866" s="23">
        <v>695.18</v>
      </c>
      <c r="P866" s="23" t="s">
        <v>79</v>
      </c>
    </row>
    <row r="867" spans="2:28" x14ac:dyDescent="0.2">
      <c r="C867" s="23">
        <v>1100577818</v>
      </c>
      <c r="E867" s="23">
        <v>10</v>
      </c>
      <c r="F867" s="23" t="s">
        <v>831</v>
      </c>
      <c r="G867" s="23" t="s">
        <v>832</v>
      </c>
      <c r="H867" s="24">
        <v>46105</v>
      </c>
      <c r="I867" s="24">
        <v>46105</v>
      </c>
      <c r="J867" s="23" t="s">
        <v>411</v>
      </c>
      <c r="K867" s="23" t="s">
        <v>411</v>
      </c>
      <c r="L867" s="23">
        <v>1</v>
      </c>
      <c r="M867" s="23" t="s">
        <v>78</v>
      </c>
      <c r="N867" s="23" t="s">
        <v>78</v>
      </c>
      <c r="O867" s="23">
        <v>648.03</v>
      </c>
      <c r="P867" s="23" t="s">
        <v>79</v>
      </c>
      <c r="Q867" s="23" t="s">
        <v>83</v>
      </c>
      <c r="R867" s="23">
        <v>11100176</v>
      </c>
      <c r="S867" s="24">
        <v>46098</v>
      </c>
      <c r="T867" s="24">
        <v>46077</v>
      </c>
      <c r="U867" s="24" t="s">
        <v>80</v>
      </c>
      <c r="X867" s="24">
        <v>46077</v>
      </c>
      <c r="Y867" s="23">
        <v>1111</v>
      </c>
      <c r="Z867" s="23">
        <v>11600007</v>
      </c>
      <c r="AA867" s="23">
        <v>335103</v>
      </c>
      <c r="AB867" s="24">
        <v>46076</v>
      </c>
    </row>
    <row r="868" spans="2:28" x14ac:dyDescent="0.2">
      <c r="B868" s="23" t="s">
        <v>81</v>
      </c>
      <c r="C868" s="23">
        <v>1100577818</v>
      </c>
      <c r="H868" s="24">
        <v>46105</v>
      </c>
      <c r="O868" s="23">
        <v>648.03</v>
      </c>
      <c r="P868" s="23" t="s">
        <v>79</v>
      </c>
    </row>
    <row r="869" spans="2:28" x14ac:dyDescent="0.2">
      <c r="C869" s="23">
        <v>1100578296</v>
      </c>
      <c r="E869" s="23">
        <v>10</v>
      </c>
      <c r="F869" s="23" t="s">
        <v>3083</v>
      </c>
      <c r="G869" s="23" t="s">
        <v>3084</v>
      </c>
      <c r="H869" s="24">
        <v>46105</v>
      </c>
      <c r="I869" s="24">
        <v>46105</v>
      </c>
      <c r="J869" s="23" t="s">
        <v>2893</v>
      </c>
      <c r="K869" s="23" t="s">
        <v>2893</v>
      </c>
      <c r="L869" s="23">
        <v>3</v>
      </c>
      <c r="M869" s="23" t="s">
        <v>78</v>
      </c>
      <c r="N869" s="23" t="s">
        <v>78</v>
      </c>
      <c r="O869" s="23">
        <v>7483.62</v>
      </c>
      <c r="P869" s="23" t="s">
        <v>79</v>
      </c>
      <c r="Q869" s="23" t="s">
        <v>83</v>
      </c>
      <c r="R869" s="23">
        <v>11100176</v>
      </c>
      <c r="S869" s="24">
        <v>46136</v>
      </c>
      <c r="T869" s="24">
        <v>46080</v>
      </c>
      <c r="U869" s="24" t="s">
        <v>80</v>
      </c>
      <c r="X869" s="24">
        <v>46079</v>
      </c>
      <c r="Y869" s="23">
        <v>1111</v>
      </c>
      <c r="Z869" s="23">
        <v>11600003</v>
      </c>
      <c r="AA869" s="23">
        <v>335103</v>
      </c>
      <c r="AB869" s="24">
        <v>46079</v>
      </c>
    </row>
    <row r="870" spans="2:28" x14ac:dyDescent="0.2">
      <c r="B870" s="23" t="s">
        <v>81</v>
      </c>
      <c r="C870" s="23">
        <v>1100578296</v>
      </c>
      <c r="H870" s="24">
        <v>46105</v>
      </c>
      <c r="O870" s="23">
        <v>7483.62</v>
      </c>
      <c r="P870" s="23" t="s">
        <v>79</v>
      </c>
    </row>
    <row r="871" spans="2:28" x14ac:dyDescent="0.2">
      <c r="C871" s="23">
        <v>1100578502</v>
      </c>
      <c r="E871" s="23">
        <v>10</v>
      </c>
      <c r="F871" s="23" t="s">
        <v>1873</v>
      </c>
      <c r="G871" s="23" t="s">
        <v>1874</v>
      </c>
      <c r="H871" s="24">
        <v>46105</v>
      </c>
      <c r="I871" s="24">
        <v>46105</v>
      </c>
      <c r="J871" s="23" t="s">
        <v>1227</v>
      </c>
      <c r="K871" s="23" t="s">
        <v>1227</v>
      </c>
      <c r="L871" s="23">
        <v>20</v>
      </c>
      <c r="M871" s="23" t="s">
        <v>78</v>
      </c>
      <c r="N871" s="23" t="s">
        <v>78</v>
      </c>
      <c r="O871" s="23">
        <v>430</v>
      </c>
      <c r="P871" s="23" t="s">
        <v>79</v>
      </c>
      <c r="Q871" s="23" t="s">
        <v>83</v>
      </c>
      <c r="R871" s="23">
        <v>11100176</v>
      </c>
      <c r="S871" s="24">
        <v>46105</v>
      </c>
      <c r="T871" s="24">
        <v>46084</v>
      </c>
      <c r="U871" s="24" t="s">
        <v>80</v>
      </c>
      <c r="X871" s="24">
        <v>46072</v>
      </c>
      <c r="Y871" s="23">
        <v>1111</v>
      </c>
      <c r="Z871" s="23">
        <v>11400797</v>
      </c>
      <c r="AA871" s="23">
        <v>3351</v>
      </c>
      <c r="AB871" s="24">
        <v>46072</v>
      </c>
    </row>
    <row r="872" spans="2:28" x14ac:dyDescent="0.2">
      <c r="B872" s="23" t="s">
        <v>81</v>
      </c>
      <c r="C872" s="23">
        <v>1100578502</v>
      </c>
      <c r="H872" s="24">
        <v>46105</v>
      </c>
      <c r="O872" s="23">
        <v>430</v>
      </c>
      <c r="P872" s="23" t="s">
        <v>79</v>
      </c>
    </row>
    <row r="873" spans="2:28" x14ac:dyDescent="0.2">
      <c r="C873" s="23">
        <v>1100571771</v>
      </c>
      <c r="E873" s="23">
        <v>10</v>
      </c>
      <c r="F873" s="23" t="s">
        <v>1877</v>
      </c>
      <c r="G873" s="23" t="s">
        <v>1878</v>
      </c>
      <c r="H873" s="24">
        <v>46106</v>
      </c>
      <c r="I873" s="24">
        <v>46106</v>
      </c>
      <c r="J873" s="23" t="s">
        <v>102</v>
      </c>
      <c r="K873" s="23" t="s">
        <v>102</v>
      </c>
      <c r="L873" s="23">
        <v>1</v>
      </c>
      <c r="M873" s="23" t="s">
        <v>78</v>
      </c>
      <c r="N873" s="23" t="s">
        <v>78</v>
      </c>
      <c r="O873" s="23">
        <v>1252.2</v>
      </c>
      <c r="P873" s="23" t="s">
        <v>79</v>
      </c>
      <c r="Q873" s="23" t="s">
        <v>83</v>
      </c>
      <c r="R873" s="23">
        <v>11100176</v>
      </c>
      <c r="S873" s="24">
        <v>46036</v>
      </c>
      <c r="T873" s="24">
        <v>46008</v>
      </c>
      <c r="U873" s="24" t="s">
        <v>80</v>
      </c>
      <c r="X873" s="24">
        <v>46007</v>
      </c>
      <c r="Y873" s="23">
        <v>1111</v>
      </c>
      <c r="Z873" s="23">
        <v>11400745</v>
      </c>
      <c r="AA873" s="23">
        <v>515103</v>
      </c>
      <c r="AB873" s="24">
        <v>46007</v>
      </c>
    </row>
    <row r="874" spans="2:28" x14ac:dyDescent="0.2">
      <c r="C874" s="23">
        <v>1100571771</v>
      </c>
      <c r="E874" s="23">
        <v>20</v>
      </c>
      <c r="F874" s="23" t="s">
        <v>82</v>
      </c>
      <c r="G874" s="23" t="s">
        <v>139</v>
      </c>
      <c r="H874" s="24">
        <v>46106</v>
      </c>
      <c r="I874" s="24">
        <v>46106</v>
      </c>
      <c r="J874" s="23" t="s">
        <v>102</v>
      </c>
      <c r="K874" s="23" t="s">
        <v>102</v>
      </c>
      <c r="L874" s="23">
        <v>1</v>
      </c>
      <c r="M874" s="23" t="s">
        <v>78</v>
      </c>
      <c r="N874" s="23" t="s">
        <v>78</v>
      </c>
      <c r="O874" s="23">
        <v>0.01</v>
      </c>
      <c r="P874" s="23" t="s">
        <v>79</v>
      </c>
      <c r="Q874" s="23" t="s">
        <v>83</v>
      </c>
      <c r="R874" s="23">
        <v>11100176</v>
      </c>
      <c r="S874" s="24" t="s">
        <v>80</v>
      </c>
      <c r="T874" s="24">
        <v>46008</v>
      </c>
      <c r="U874" s="24" t="s">
        <v>80</v>
      </c>
      <c r="X874" s="24">
        <v>46007</v>
      </c>
      <c r="Y874" s="23">
        <v>1111</v>
      </c>
      <c r="Z874" s="23">
        <v>11400745</v>
      </c>
      <c r="AA874" s="23">
        <v>515103</v>
      </c>
      <c r="AB874" s="24">
        <v>46007</v>
      </c>
    </row>
    <row r="875" spans="2:28" x14ac:dyDescent="0.2">
      <c r="B875" s="23" t="s">
        <v>81</v>
      </c>
      <c r="C875" s="23">
        <v>1100571771</v>
      </c>
      <c r="H875" s="24">
        <v>46106</v>
      </c>
      <c r="O875" s="23">
        <v>1252.21</v>
      </c>
      <c r="P875" s="23" t="s">
        <v>79</v>
      </c>
    </row>
    <row r="876" spans="2:28" x14ac:dyDescent="0.2">
      <c r="C876" s="23">
        <v>1100572948</v>
      </c>
      <c r="E876" s="23">
        <v>60</v>
      </c>
      <c r="F876" s="23" t="s">
        <v>1740</v>
      </c>
      <c r="G876" s="23" t="s">
        <v>1741</v>
      </c>
      <c r="H876" s="24">
        <v>46106</v>
      </c>
      <c r="I876" s="24">
        <v>46106</v>
      </c>
      <c r="J876" s="23" t="s">
        <v>552</v>
      </c>
      <c r="K876" s="23" t="s">
        <v>552</v>
      </c>
      <c r="L876" s="23">
        <v>2</v>
      </c>
      <c r="M876" s="23" t="s">
        <v>78</v>
      </c>
      <c r="N876" s="23" t="s">
        <v>78</v>
      </c>
      <c r="O876" s="23">
        <v>5640</v>
      </c>
      <c r="P876" s="23" t="s">
        <v>79</v>
      </c>
      <c r="Q876" s="23" t="s">
        <v>83</v>
      </c>
      <c r="R876" s="23">
        <v>11100176</v>
      </c>
      <c r="S876" s="24">
        <v>46134</v>
      </c>
      <c r="T876" s="24">
        <v>46029</v>
      </c>
      <c r="U876" s="24">
        <v>47116</v>
      </c>
      <c r="X876" s="24">
        <v>45969</v>
      </c>
      <c r="Y876" s="23">
        <v>1111</v>
      </c>
      <c r="Z876" s="23">
        <v>11600007</v>
      </c>
      <c r="AA876" s="23">
        <v>335103</v>
      </c>
      <c r="AB876" s="24">
        <v>46028</v>
      </c>
    </row>
    <row r="877" spans="2:28" x14ac:dyDescent="0.2">
      <c r="B877" s="23" t="s">
        <v>81</v>
      </c>
      <c r="C877" s="23">
        <v>1100572948</v>
      </c>
      <c r="H877" s="24">
        <v>46106</v>
      </c>
      <c r="O877" s="23">
        <v>5640</v>
      </c>
      <c r="P877" s="23" t="s">
        <v>79</v>
      </c>
    </row>
    <row r="878" spans="2:28" x14ac:dyDescent="0.2">
      <c r="C878" s="23">
        <v>1100573670</v>
      </c>
      <c r="E878" s="23">
        <v>80</v>
      </c>
      <c r="F878" s="23" t="s">
        <v>3085</v>
      </c>
      <c r="G878" s="23" t="s">
        <v>3086</v>
      </c>
      <c r="H878" s="24">
        <v>46106</v>
      </c>
      <c r="I878" s="24">
        <v>46106</v>
      </c>
      <c r="J878" s="23" t="s">
        <v>1885</v>
      </c>
      <c r="K878" s="23" t="s">
        <v>1885</v>
      </c>
      <c r="L878" s="23">
        <v>1</v>
      </c>
      <c r="M878" s="23" t="s">
        <v>78</v>
      </c>
      <c r="N878" s="23" t="s">
        <v>78</v>
      </c>
      <c r="O878" s="23">
        <v>433.12</v>
      </c>
      <c r="P878" s="23" t="s">
        <v>79</v>
      </c>
      <c r="Q878" s="23" t="s">
        <v>83</v>
      </c>
      <c r="R878" s="23">
        <v>11100176</v>
      </c>
      <c r="S878" s="24">
        <v>46106</v>
      </c>
      <c r="T878" s="24">
        <v>46035</v>
      </c>
      <c r="U878" s="24">
        <v>47116</v>
      </c>
      <c r="X878" s="24">
        <v>46034</v>
      </c>
      <c r="Y878" s="23">
        <v>1111</v>
      </c>
      <c r="Z878" s="23">
        <v>11400704</v>
      </c>
      <c r="AA878" s="23">
        <v>395103</v>
      </c>
      <c r="AB878" s="24">
        <v>46034</v>
      </c>
    </row>
    <row r="879" spans="2:28" x14ac:dyDescent="0.2">
      <c r="B879" s="23" t="s">
        <v>81</v>
      </c>
      <c r="C879" s="23">
        <v>1100573670</v>
      </c>
      <c r="H879" s="24">
        <v>46106</v>
      </c>
      <c r="O879" s="23">
        <v>433.12</v>
      </c>
      <c r="P879" s="23" t="s">
        <v>79</v>
      </c>
    </row>
    <row r="880" spans="2:28" x14ac:dyDescent="0.2">
      <c r="C880" s="23">
        <v>1100573705</v>
      </c>
      <c r="E880" s="23">
        <v>10</v>
      </c>
      <c r="F880" s="23" t="s">
        <v>3087</v>
      </c>
      <c r="G880" s="23" t="s">
        <v>3088</v>
      </c>
      <c r="H880" s="24">
        <v>46106</v>
      </c>
      <c r="I880" s="24">
        <v>46106</v>
      </c>
      <c r="J880" s="23" t="s">
        <v>1929</v>
      </c>
      <c r="K880" s="23" t="s">
        <v>1929</v>
      </c>
      <c r="L880" s="23">
        <v>1</v>
      </c>
      <c r="M880" s="23" t="s">
        <v>78</v>
      </c>
      <c r="N880" s="23" t="s">
        <v>78</v>
      </c>
      <c r="O880" s="23">
        <v>472.77</v>
      </c>
      <c r="P880" s="23" t="s">
        <v>79</v>
      </c>
      <c r="Q880" s="23" t="s">
        <v>83</v>
      </c>
      <c r="R880" s="23">
        <v>11100176</v>
      </c>
      <c r="S880" s="24">
        <v>46106</v>
      </c>
      <c r="T880" s="24">
        <v>46036</v>
      </c>
      <c r="U880" s="24" t="s">
        <v>80</v>
      </c>
      <c r="X880" s="24">
        <v>46030</v>
      </c>
      <c r="Y880" s="23">
        <v>1111</v>
      </c>
      <c r="Z880" s="23">
        <v>11400937</v>
      </c>
      <c r="AA880" s="23">
        <v>395103</v>
      </c>
      <c r="AB880" s="24">
        <v>46027</v>
      </c>
    </row>
    <row r="881" spans="2:28" x14ac:dyDescent="0.2">
      <c r="C881" s="23">
        <v>1100573705</v>
      </c>
      <c r="E881" s="23">
        <v>20</v>
      </c>
      <c r="F881" s="23" t="s">
        <v>3089</v>
      </c>
      <c r="G881" s="23" t="s">
        <v>3090</v>
      </c>
      <c r="H881" s="24">
        <v>46106</v>
      </c>
      <c r="I881" s="24">
        <v>46106</v>
      </c>
      <c r="J881" s="23" t="s">
        <v>1929</v>
      </c>
      <c r="K881" s="23" t="s">
        <v>1929</v>
      </c>
      <c r="L881" s="23">
        <v>1</v>
      </c>
      <c r="M881" s="23" t="s">
        <v>78</v>
      </c>
      <c r="N881" s="23" t="s">
        <v>78</v>
      </c>
      <c r="O881" s="23">
        <v>1247.82</v>
      </c>
      <c r="P881" s="23" t="s">
        <v>79</v>
      </c>
      <c r="Q881" s="23" t="s">
        <v>83</v>
      </c>
      <c r="R881" s="23">
        <v>11100176</v>
      </c>
      <c r="S881" s="24">
        <v>46106</v>
      </c>
      <c r="T881" s="24">
        <v>46036</v>
      </c>
      <c r="U881" s="24" t="s">
        <v>80</v>
      </c>
      <c r="X881" s="24">
        <v>46030</v>
      </c>
      <c r="Y881" s="23">
        <v>1111</v>
      </c>
      <c r="Z881" s="23">
        <v>11400937</v>
      </c>
      <c r="AA881" s="23">
        <v>395103</v>
      </c>
      <c r="AB881" s="24">
        <v>46027</v>
      </c>
    </row>
    <row r="882" spans="2:28" x14ac:dyDescent="0.2">
      <c r="C882" s="23">
        <v>1100573705</v>
      </c>
      <c r="E882" s="23">
        <v>30</v>
      </c>
      <c r="F882" s="23" t="s">
        <v>82</v>
      </c>
      <c r="G882" s="23" t="s">
        <v>139</v>
      </c>
      <c r="H882" s="24">
        <v>46106</v>
      </c>
      <c r="I882" s="24">
        <v>46106</v>
      </c>
      <c r="J882" s="23" t="s">
        <v>1929</v>
      </c>
      <c r="K882" s="23" t="s">
        <v>1929</v>
      </c>
      <c r="L882" s="23">
        <v>1</v>
      </c>
      <c r="M882" s="23" t="s">
        <v>78</v>
      </c>
      <c r="N882" s="23" t="s">
        <v>78</v>
      </c>
      <c r="O882" s="23">
        <v>0.01</v>
      </c>
      <c r="P882" s="23" t="s">
        <v>79</v>
      </c>
      <c r="Q882" s="23" t="s">
        <v>83</v>
      </c>
      <c r="R882" s="23">
        <v>11100176</v>
      </c>
      <c r="S882" s="24" t="s">
        <v>80</v>
      </c>
      <c r="T882" s="24">
        <v>46036</v>
      </c>
      <c r="U882" s="24" t="s">
        <v>80</v>
      </c>
      <c r="X882" s="24">
        <v>46030</v>
      </c>
      <c r="Y882" s="23">
        <v>1111</v>
      </c>
      <c r="Z882" s="23">
        <v>11400937</v>
      </c>
      <c r="AA882" s="23">
        <v>395103</v>
      </c>
      <c r="AB882" s="24">
        <v>46027</v>
      </c>
    </row>
    <row r="883" spans="2:28" x14ac:dyDescent="0.2">
      <c r="B883" s="23" t="s">
        <v>81</v>
      </c>
      <c r="C883" s="23">
        <v>1100573705</v>
      </c>
      <c r="H883" s="24">
        <v>46106</v>
      </c>
      <c r="O883" s="23">
        <v>1720.6</v>
      </c>
      <c r="P883" s="23" t="s">
        <v>79</v>
      </c>
    </row>
    <row r="884" spans="2:28" x14ac:dyDescent="0.2">
      <c r="C884" s="23">
        <v>1100574578</v>
      </c>
      <c r="E884" s="23">
        <v>10</v>
      </c>
      <c r="F884" s="23" t="s">
        <v>1100</v>
      </c>
      <c r="G884" s="23" t="s">
        <v>1101</v>
      </c>
      <c r="H884" s="24">
        <v>46106</v>
      </c>
      <c r="I884" s="24">
        <v>46106</v>
      </c>
      <c r="J884" s="23" t="s">
        <v>102</v>
      </c>
      <c r="K884" s="23" t="s">
        <v>102</v>
      </c>
      <c r="L884" s="23">
        <v>3</v>
      </c>
      <c r="M884" s="23" t="s">
        <v>78</v>
      </c>
      <c r="N884" s="23" t="s">
        <v>78</v>
      </c>
      <c r="O884" s="23">
        <v>4113.87</v>
      </c>
      <c r="P884" s="23" t="s">
        <v>79</v>
      </c>
      <c r="Q884" s="23" t="s">
        <v>83</v>
      </c>
      <c r="R884" s="23">
        <v>11100176</v>
      </c>
      <c r="S884" s="24">
        <v>46073</v>
      </c>
      <c r="T884" s="24">
        <v>46045</v>
      </c>
      <c r="U884" s="24" t="s">
        <v>80</v>
      </c>
      <c r="X884" s="24">
        <v>46039</v>
      </c>
      <c r="Y884" s="23">
        <v>1111</v>
      </c>
      <c r="Z884" s="23">
        <v>11100320</v>
      </c>
      <c r="AA884" s="23">
        <v>5151</v>
      </c>
      <c r="AB884" s="24">
        <v>46042</v>
      </c>
    </row>
    <row r="885" spans="2:28" x14ac:dyDescent="0.2">
      <c r="C885" s="23">
        <v>1100574578</v>
      </c>
      <c r="E885" s="23">
        <v>20</v>
      </c>
      <c r="F885" s="23" t="s">
        <v>82</v>
      </c>
      <c r="G885" s="23" t="s">
        <v>139</v>
      </c>
      <c r="H885" s="24">
        <v>46106</v>
      </c>
      <c r="I885" s="24">
        <v>46106</v>
      </c>
      <c r="J885" s="23" t="s">
        <v>102</v>
      </c>
      <c r="K885" s="23" t="s">
        <v>102</v>
      </c>
      <c r="L885" s="23">
        <v>1</v>
      </c>
      <c r="M885" s="23" t="s">
        <v>78</v>
      </c>
      <c r="N885" s="23" t="s">
        <v>78</v>
      </c>
      <c r="O885" s="23">
        <v>0.01</v>
      </c>
      <c r="P885" s="23" t="s">
        <v>79</v>
      </c>
      <c r="Q885" s="23" t="s">
        <v>83</v>
      </c>
      <c r="R885" s="23">
        <v>11100176</v>
      </c>
      <c r="S885" s="24">
        <v>46073</v>
      </c>
      <c r="T885" s="24">
        <v>46045</v>
      </c>
      <c r="U885" s="24" t="s">
        <v>80</v>
      </c>
      <c r="X885" s="24">
        <v>46039</v>
      </c>
      <c r="Y885" s="23">
        <v>1111</v>
      </c>
      <c r="Z885" s="23">
        <v>11100320</v>
      </c>
      <c r="AA885" s="23">
        <v>5151</v>
      </c>
      <c r="AB885" s="24">
        <v>46042</v>
      </c>
    </row>
    <row r="886" spans="2:28" x14ac:dyDescent="0.2">
      <c r="B886" s="23" t="s">
        <v>81</v>
      </c>
      <c r="C886" s="23">
        <v>1100574578</v>
      </c>
      <c r="H886" s="24">
        <v>46106</v>
      </c>
      <c r="O886" s="23">
        <v>4113.88</v>
      </c>
      <c r="P886" s="23" t="s">
        <v>79</v>
      </c>
    </row>
    <row r="887" spans="2:28" x14ac:dyDescent="0.2">
      <c r="C887" s="23">
        <v>1100575096</v>
      </c>
      <c r="E887" s="23">
        <v>10</v>
      </c>
      <c r="F887" s="23" t="s">
        <v>3091</v>
      </c>
      <c r="G887" s="23" t="s">
        <v>3092</v>
      </c>
      <c r="H887" s="24">
        <v>46106</v>
      </c>
      <c r="I887" s="24">
        <v>46106</v>
      </c>
      <c r="J887" s="23" t="s">
        <v>3093</v>
      </c>
      <c r="K887" s="23" t="s">
        <v>3093</v>
      </c>
      <c r="L887" s="23">
        <v>1</v>
      </c>
      <c r="M887" s="23" t="s">
        <v>78</v>
      </c>
      <c r="N887" s="23" t="s">
        <v>78</v>
      </c>
      <c r="O887" s="23">
        <v>6242.25</v>
      </c>
      <c r="P887" s="23" t="s">
        <v>79</v>
      </c>
      <c r="Q887" s="23" t="s">
        <v>83</v>
      </c>
      <c r="R887" s="23">
        <v>11100176</v>
      </c>
      <c r="S887" s="24">
        <v>46106</v>
      </c>
      <c r="T887" s="24">
        <v>46049</v>
      </c>
      <c r="U887" s="24" t="s">
        <v>80</v>
      </c>
      <c r="X887" s="24">
        <v>46048</v>
      </c>
      <c r="Y887" s="23">
        <v>1111</v>
      </c>
      <c r="Z887" s="23">
        <v>11100320</v>
      </c>
      <c r="AA887" s="23">
        <v>3951</v>
      </c>
      <c r="AB887" s="24">
        <v>46044</v>
      </c>
    </row>
    <row r="888" spans="2:28" x14ac:dyDescent="0.2">
      <c r="C888" s="23">
        <v>1100575096</v>
      </c>
      <c r="E888" s="23">
        <v>20</v>
      </c>
      <c r="F888" s="23" t="s">
        <v>82</v>
      </c>
      <c r="G888" s="23" t="s">
        <v>139</v>
      </c>
      <c r="H888" s="24">
        <v>46106</v>
      </c>
      <c r="I888" s="24">
        <v>46106</v>
      </c>
      <c r="J888" s="23" t="s">
        <v>3093</v>
      </c>
      <c r="K888" s="23" t="s">
        <v>3093</v>
      </c>
      <c r="L888" s="23">
        <v>1</v>
      </c>
      <c r="M888" s="23" t="s">
        <v>78</v>
      </c>
      <c r="N888" s="23" t="s">
        <v>78</v>
      </c>
      <c r="O888" s="23">
        <v>0.01</v>
      </c>
      <c r="P888" s="23" t="s">
        <v>79</v>
      </c>
      <c r="Q888" s="23" t="s">
        <v>83</v>
      </c>
      <c r="R888" s="23">
        <v>11100176</v>
      </c>
      <c r="S888" s="24">
        <v>46106</v>
      </c>
      <c r="T888" s="24">
        <v>46049</v>
      </c>
      <c r="U888" s="24" t="s">
        <v>80</v>
      </c>
      <c r="X888" s="24">
        <v>46048</v>
      </c>
      <c r="Y888" s="23">
        <v>1111</v>
      </c>
      <c r="Z888" s="23">
        <v>11100320</v>
      </c>
      <c r="AA888" s="23">
        <v>3951</v>
      </c>
      <c r="AB888" s="24">
        <v>46044</v>
      </c>
    </row>
    <row r="889" spans="2:28" x14ac:dyDescent="0.2">
      <c r="B889" s="23" t="s">
        <v>81</v>
      </c>
      <c r="C889" s="23">
        <v>1100575096</v>
      </c>
      <c r="H889" s="24">
        <v>46106</v>
      </c>
      <c r="O889" s="23">
        <v>6242.26</v>
      </c>
      <c r="P889" s="23" t="s">
        <v>79</v>
      </c>
    </row>
    <row r="890" spans="2:28" x14ac:dyDescent="0.2">
      <c r="C890" s="23">
        <v>1100575267</v>
      </c>
      <c r="E890" s="23">
        <v>10</v>
      </c>
      <c r="F890" s="23" t="s">
        <v>87</v>
      </c>
      <c r="G890" s="23">
        <v>4000126499</v>
      </c>
      <c r="H890" s="24">
        <v>46106</v>
      </c>
      <c r="I890" s="24">
        <v>46106</v>
      </c>
      <c r="J890" s="23" t="s">
        <v>3094</v>
      </c>
      <c r="K890" s="23" t="s">
        <v>3094</v>
      </c>
      <c r="L890" s="23">
        <v>1</v>
      </c>
      <c r="M890" s="23" t="s">
        <v>78</v>
      </c>
      <c r="N890" s="23" t="s">
        <v>78</v>
      </c>
      <c r="O890" s="23">
        <v>6434.45</v>
      </c>
      <c r="P890" s="23" t="s">
        <v>79</v>
      </c>
      <c r="Q890" s="23" t="s">
        <v>83</v>
      </c>
      <c r="R890" s="23">
        <v>11100176</v>
      </c>
      <c r="S890" s="24">
        <v>46106</v>
      </c>
      <c r="T890" s="24">
        <v>46050</v>
      </c>
      <c r="U890" s="24" t="s">
        <v>80</v>
      </c>
      <c r="X890" s="24">
        <v>46045</v>
      </c>
      <c r="Y890" s="23">
        <v>1111</v>
      </c>
      <c r="Z890" s="23">
        <v>11600003</v>
      </c>
      <c r="AA890" s="23">
        <v>3951</v>
      </c>
      <c r="AB890" s="24">
        <v>46044</v>
      </c>
    </row>
    <row r="891" spans="2:28" x14ac:dyDescent="0.2">
      <c r="C891" s="23">
        <v>1100575267</v>
      </c>
      <c r="E891" s="23">
        <v>20</v>
      </c>
      <c r="F891" s="23" t="s">
        <v>84</v>
      </c>
      <c r="G891" s="23" t="s">
        <v>123</v>
      </c>
      <c r="H891" s="24">
        <v>46106</v>
      </c>
      <c r="I891" s="24">
        <v>46106</v>
      </c>
      <c r="J891" s="23" t="s">
        <v>3094</v>
      </c>
      <c r="K891" s="23" t="s">
        <v>3094</v>
      </c>
      <c r="L891" s="23">
        <v>1</v>
      </c>
      <c r="M891" s="23" t="s">
        <v>78</v>
      </c>
      <c r="N891" s="23" t="s">
        <v>78</v>
      </c>
      <c r="O891" s="23">
        <v>0.01</v>
      </c>
      <c r="P891" s="23" t="s">
        <v>79</v>
      </c>
      <c r="Q891" s="23" t="s">
        <v>83</v>
      </c>
      <c r="R891" s="23">
        <v>11100176</v>
      </c>
      <c r="S891" s="24">
        <v>46106</v>
      </c>
      <c r="T891" s="24">
        <v>46050</v>
      </c>
      <c r="U891" s="24" t="s">
        <v>80</v>
      </c>
      <c r="X891" s="24">
        <v>46045</v>
      </c>
      <c r="Y891" s="23">
        <v>1111</v>
      </c>
      <c r="Z891" s="23">
        <v>11600003</v>
      </c>
      <c r="AA891" s="23">
        <v>3951</v>
      </c>
      <c r="AB891" s="24">
        <v>46044</v>
      </c>
    </row>
    <row r="892" spans="2:28" x14ac:dyDescent="0.2">
      <c r="C892" s="23">
        <v>1100575267</v>
      </c>
      <c r="E892" s="23">
        <v>30</v>
      </c>
      <c r="F892" s="23" t="s">
        <v>82</v>
      </c>
      <c r="G892" s="23" t="s">
        <v>139</v>
      </c>
      <c r="H892" s="24">
        <v>46106</v>
      </c>
      <c r="I892" s="24">
        <v>46106</v>
      </c>
      <c r="J892" s="23" t="s">
        <v>3094</v>
      </c>
      <c r="K892" s="23" t="s">
        <v>3094</v>
      </c>
      <c r="L892" s="23">
        <v>1</v>
      </c>
      <c r="M892" s="23" t="s">
        <v>78</v>
      </c>
      <c r="N892" s="23" t="s">
        <v>78</v>
      </c>
      <c r="O892" s="23">
        <v>0.01</v>
      </c>
      <c r="P892" s="23" t="s">
        <v>79</v>
      </c>
      <c r="Q892" s="23" t="s">
        <v>83</v>
      </c>
      <c r="R892" s="23">
        <v>11100176</v>
      </c>
      <c r="S892" s="24">
        <v>46106</v>
      </c>
      <c r="T892" s="24">
        <v>46050</v>
      </c>
      <c r="U892" s="24" t="s">
        <v>80</v>
      </c>
      <c r="X892" s="24">
        <v>46045</v>
      </c>
      <c r="Y892" s="23">
        <v>1111</v>
      </c>
      <c r="Z892" s="23">
        <v>11600003</v>
      </c>
      <c r="AA892" s="23">
        <v>3951</v>
      </c>
      <c r="AB892" s="24">
        <v>46044</v>
      </c>
    </row>
    <row r="893" spans="2:28" x14ac:dyDescent="0.2">
      <c r="B893" s="23" t="s">
        <v>81</v>
      </c>
      <c r="C893" s="23">
        <v>1100575267</v>
      </c>
      <c r="H893" s="24">
        <v>46106</v>
      </c>
      <c r="O893" s="23">
        <v>6434.47</v>
      </c>
      <c r="P893" s="23" t="s">
        <v>79</v>
      </c>
    </row>
    <row r="894" spans="2:28" x14ac:dyDescent="0.2">
      <c r="C894" s="23">
        <v>1100575423</v>
      </c>
      <c r="E894" s="23">
        <v>10</v>
      </c>
      <c r="F894" s="23" t="s">
        <v>3054</v>
      </c>
      <c r="G894" s="23" t="s">
        <v>3055</v>
      </c>
      <c r="H894" s="24">
        <v>46106</v>
      </c>
      <c r="I894" s="24">
        <v>46106</v>
      </c>
      <c r="J894" s="23" t="s">
        <v>2271</v>
      </c>
      <c r="K894" s="23" t="s">
        <v>2271</v>
      </c>
      <c r="L894" s="23">
        <v>1</v>
      </c>
      <c r="M894" s="23" t="s">
        <v>78</v>
      </c>
      <c r="N894" s="23" t="s">
        <v>78</v>
      </c>
      <c r="O894" s="23">
        <v>1108</v>
      </c>
      <c r="P894" s="23" t="s">
        <v>79</v>
      </c>
      <c r="Q894" s="23" t="s">
        <v>83</v>
      </c>
      <c r="R894" s="23">
        <v>11100176</v>
      </c>
      <c r="S894" s="24">
        <v>46073</v>
      </c>
      <c r="T894" s="24">
        <v>46051</v>
      </c>
      <c r="U894" s="24" t="s">
        <v>80</v>
      </c>
      <c r="X894" s="24">
        <v>45805</v>
      </c>
      <c r="Y894" s="23">
        <v>1111</v>
      </c>
      <c r="Z894" s="23">
        <v>11600003</v>
      </c>
      <c r="AA894" s="23">
        <v>335103</v>
      </c>
      <c r="AB894" s="24">
        <v>45961</v>
      </c>
    </row>
    <row r="895" spans="2:28" x14ac:dyDescent="0.2">
      <c r="C895" s="23">
        <v>1100575423</v>
      </c>
      <c r="E895" s="23">
        <v>20</v>
      </c>
      <c r="F895" s="23" t="s">
        <v>818</v>
      </c>
      <c r="G895" s="23" t="s">
        <v>819</v>
      </c>
      <c r="H895" s="24">
        <v>46106</v>
      </c>
      <c r="I895" s="24">
        <v>46106</v>
      </c>
      <c r="J895" s="23" t="s">
        <v>2271</v>
      </c>
      <c r="K895" s="23" t="s">
        <v>2271</v>
      </c>
      <c r="L895" s="23">
        <v>1</v>
      </c>
      <c r="M895" s="23" t="s">
        <v>78</v>
      </c>
      <c r="N895" s="23" t="s">
        <v>78</v>
      </c>
      <c r="O895" s="23">
        <v>305</v>
      </c>
      <c r="P895" s="23" t="s">
        <v>79</v>
      </c>
      <c r="Q895" s="23" t="s">
        <v>83</v>
      </c>
      <c r="R895" s="23">
        <v>11100176</v>
      </c>
      <c r="S895" s="24">
        <v>46073</v>
      </c>
      <c r="T895" s="24">
        <v>46051</v>
      </c>
      <c r="U895" s="24" t="s">
        <v>80</v>
      </c>
      <c r="X895" s="24">
        <v>45805</v>
      </c>
      <c r="Y895" s="23">
        <v>1111</v>
      </c>
      <c r="Z895" s="23">
        <v>11600003</v>
      </c>
      <c r="AA895" s="23">
        <v>335103</v>
      </c>
      <c r="AB895" s="24">
        <v>45961</v>
      </c>
    </row>
    <row r="896" spans="2:28" x14ac:dyDescent="0.2">
      <c r="C896" s="23">
        <v>1100575423</v>
      </c>
      <c r="E896" s="23">
        <v>30</v>
      </c>
      <c r="F896" s="23" t="s">
        <v>687</v>
      </c>
      <c r="G896" s="23" t="s">
        <v>688</v>
      </c>
      <c r="H896" s="24">
        <v>46106</v>
      </c>
      <c r="I896" s="24">
        <v>46106</v>
      </c>
      <c r="J896" s="23" t="s">
        <v>2271</v>
      </c>
      <c r="K896" s="23" t="s">
        <v>2271</v>
      </c>
      <c r="L896" s="23">
        <v>4</v>
      </c>
      <c r="M896" s="23" t="s">
        <v>78</v>
      </c>
      <c r="N896" s="23" t="s">
        <v>78</v>
      </c>
      <c r="O896" s="23">
        <v>536</v>
      </c>
      <c r="P896" s="23" t="s">
        <v>79</v>
      </c>
      <c r="Q896" s="23" t="s">
        <v>83</v>
      </c>
      <c r="R896" s="23">
        <v>11100176</v>
      </c>
      <c r="S896" s="24">
        <v>46073</v>
      </c>
      <c r="T896" s="24">
        <v>46051</v>
      </c>
      <c r="U896" s="24" t="s">
        <v>80</v>
      </c>
      <c r="X896" s="24">
        <v>45805</v>
      </c>
      <c r="Y896" s="23">
        <v>1111</v>
      </c>
      <c r="Z896" s="23">
        <v>11600003</v>
      </c>
      <c r="AA896" s="23">
        <v>335103</v>
      </c>
      <c r="AB896" s="24">
        <v>45961</v>
      </c>
    </row>
    <row r="897" spans="2:28" x14ac:dyDescent="0.2">
      <c r="C897" s="23">
        <v>1100575423</v>
      </c>
      <c r="E897" s="23">
        <v>40</v>
      </c>
      <c r="F897" s="23" t="s">
        <v>3095</v>
      </c>
      <c r="G897" s="23" t="s">
        <v>3096</v>
      </c>
      <c r="H897" s="24">
        <v>46106</v>
      </c>
      <c r="I897" s="24">
        <v>46106</v>
      </c>
      <c r="J897" s="23" t="s">
        <v>2271</v>
      </c>
      <c r="K897" s="23" t="s">
        <v>2271</v>
      </c>
      <c r="L897" s="23">
        <v>4</v>
      </c>
      <c r="M897" s="23" t="s">
        <v>78</v>
      </c>
      <c r="N897" s="23" t="s">
        <v>78</v>
      </c>
      <c r="O897" s="23">
        <v>24</v>
      </c>
      <c r="P897" s="23" t="s">
        <v>79</v>
      </c>
      <c r="Q897" s="23" t="s">
        <v>83</v>
      </c>
      <c r="R897" s="23">
        <v>11100176</v>
      </c>
      <c r="S897" s="24">
        <v>46073</v>
      </c>
      <c r="T897" s="24">
        <v>46051</v>
      </c>
      <c r="U897" s="24" t="s">
        <v>80</v>
      </c>
      <c r="X897" s="24">
        <v>45805</v>
      </c>
      <c r="Y897" s="23">
        <v>1111</v>
      </c>
      <c r="Z897" s="23">
        <v>11600003</v>
      </c>
      <c r="AA897" s="23">
        <v>335103</v>
      </c>
      <c r="AB897" s="24">
        <v>45961</v>
      </c>
    </row>
    <row r="898" spans="2:28" x14ac:dyDescent="0.2">
      <c r="C898" s="23">
        <v>1100575423</v>
      </c>
      <c r="E898" s="23">
        <v>50</v>
      </c>
      <c r="F898" s="23" t="s">
        <v>3097</v>
      </c>
      <c r="G898" s="23" t="s">
        <v>3098</v>
      </c>
      <c r="H898" s="24">
        <v>46106</v>
      </c>
      <c r="I898" s="24">
        <v>46106</v>
      </c>
      <c r="J898" s="23" t="s">
        <v>2271</v>
      </c>
      <c r="K898" s="23" t="s">
        <v>2271</v>
      </c>
      <c r="L898" s="23">
        <v>4</v>
      </c>
      <c r="M898" s="23" t="s">
        <v>78</v>
      </c>
      <c r="N898" s="23" t="s">
        <v>78</v>
      </c>
      <c r="O898" s="23">
        <v>16</v>
      </c>
      <c r="P898" s="23" t="s">
        <v>79</v>
      </c>
      <c r="Q898" s="23" t="s">
        <v>83</v>
      </c>
      <c r="R898" s="23">
        <v>11100176</v>
      </c>
      <c r="S898" s="24">
        <v>46073</v>
      </c>
      <c r="T898" s="24">
        <v>46051</v>
      </c>
      <c r="U898" s="24" t="s">
        <v>80</v>
      </c>
      <c r="X898" s="24">
        <v>45805</v>
      </c>
      <c r="Y898" s="23">
        <v>1111</v>
      </c>
      <c r="Z898" s="23">
        <v>11600003</v>
      </c>
      <c r="AA898" s="23">
        <v>335103</v>
      </c>
      <c r="AB898" s="24">
        <v>45961</v>
      </c>
    </row>
    <row r="899" spans="2:28" x14ac:dyDescent="0.2">
      <c r="C899" s="23">
        <v>1100575423</v>
      </c>
      <c r="E899" s="23">
        <v>60</v>
      </c>
      <c r="F899" s="23" t="s">
        <v>3099</v>
      </c>
      <c r="G899" s="23" t="s">
        <v>3100</v>
      </c>
      <c r="H899" s="24">
        <v>46106</v>
      </c>
      <c r="I899" s="24">
        <v>46106</v>
      </c>
      <c r="J899" s="23" t="s">
        <v>2271</v>
      </c>
      <c r="K899" s="23" t="s">
        <v>2271</v>
      </c>
      <c r="L899" s="23">
        <v>4</v>
      </c>
      <c r="M899" s="23" t="s">
        <v>78</v>
      </c>
      <c r="N899" s="23" t="s">
        <v>78</v>
      </c>
      <c r="O899" s="23">
        <v>156</v>
      </c>
      <c r="P899" s="23" t="s">
        <v>79</v>
      </c>
      <c r="Q899" s="23" t="s">
        <v>83</v>
      </c>
      <c r="R899" s="23">
        <v>11100176</v>
      </c>
      <c r="S899" s="24">
        <v>46073</v>
      </c>
      <c r="T899" s="24">
        <v>46051</v>
      </c>
      <c r="U899" s="24" t="s">
        <v>80</v>
      </c>
      <c r="X899" s="24">
        <v>45805</v>
      </c>
      <c r="Y899" s="23">
        <v>1111</v>
      </c>
      <c r="Z899" s="23">
        <v>11600003</v>
      </c>
      <c r="AA899" s="23">
        <v>335103</v>
      </c>
      <c r="AB899" s="24">
        <v>45961</v>
      </c>
    </row>
    <row r="900" spans="2:28" x14ac:dyDescent="0.2">
      <c r="C900" s="23">
        <v>1100575423</v>
      </c>
      <c r="E900" s="23">
        <v>70</v>
      </c>
      <c r="F900" s="23" t="s">
        <v>2275</v>
      </c>
      <c r="G900" s="23" t="s">
        <v>2276</v>
      </c>
      <c r="H900" s="24">
        <v>46106</v>
      </c>
      <c r="I900" s="24">
        <v>46106</v>
      </c>
      <c r="J900" s="23" t="s">
        <v>2271</v>
      </c>
      <c r="K900" s="23" t="s">
        <v>2271</v>
      </c>
      <c r="L900" s="23">
        <v>2</v>
      </c>
      <c r="M900" s="23" t="s">
        <v>78</v>
      </c>
      <c r="N900" s="23" t="s">
        <v>78</v>
      </c>
      <c r="O900" s="23">
        <v>8</v>
      </c>
      <c r="P900" s="23" t="s">
        <v>79</v>
      </c>
      <c r="Q900" s="23" t="s">
        <v>83</v>
      </c>
      <c r="R900" s="23">
        <v>11100176</v>
      </c>
      <c r="S900" s="24">
        <v>46073</v>
      </c>
      <c r="T900" s="24">
        <v>46051</v>
      </c>
      <c r="U900" s="24" t="s">
        <v>80</v>
      </c>
      <c r="X900" s="24">
        <v>45805</v>
      </c>
      <c r="Y900" s="23">
        <v>1111</v>
      </c>
      <c r="Z900" s="23">
        <v>11600003</v>
      </c>
      <c r="AA900" s="23">
        <v>335103</v>
      </c>
      <c r="AB900" s="24">
        <v>45961</v>
      </c>
    </row>
    <row r="901" spans="2:28" x14ac:dyDescent="0.2">
      <c r="C901" s="23">
        <v>1100575423</v>
      </c>
      <c r="E901" s="23">
        <v>80</v>
      </c>
      <c r="F901" s="23" t="s">
        <v>750</v>
      </c>
      <c r="G901" s="23" t="s">
        <v>1783</v>
      </c>
      <c r="H901" s="24">
        <v>46106</v>
      </c>
      <c r="I901" s="24">
        <v>46106</v>
      </c>
      <c r="J901" s="23" t="s">
        <v>2271</v>
      </c>
      <c r="K901" s="23" t="s">
        <v>2271</v>
      </c>
      <c r="L901" s="23">
        <v>4</v>
      </c>
      <c r="M901" s="23" t="s">
        <v>78</v>
      </c>
      <c r="N901" s="23" t="s">
        <v>78</v>
      </c>
      <c r="O901" s="23">
        <v>536</v>
      </c>
      <c r="P901" s="23" t="s">
        <v>79</v>
      </c>
      <c r="Q901" s="23" t="s">
        <v>83</v>
      </c>
      <c r="R901" s="23">
        <v>11100176</v>
      </c>
      <c r="S901" s="24">
        <v>46073</v>
      </c>
      <c r="T901" s="24">
        <v>46051</v>
      </c>
      <c r="U901" s="24" t="s">
        <v>80</v>
      </c>
      <c r="X901" s="24">
        <v>45805</v>
      </c>
      <c r="Y901" s="23">
        <v>1111</v>
      </c>
      <c r="Z901" s="23">
        <v>11600003</v>
      </c>
      <c r="AA901" s="23">
        <v>335103</v>
      </c>
      <c r="AB901" s="24">
        <v>45961</v>
      </c>
    </row>
    <row r="902" spans="2:28" x14ac:dyDescent="0.2">
      <c r="B902" s="23" t="s">
        <v>81</v>
      </c>
      <c r="C902" s="23">
        <v>1100575423</v>
      </c>
      <c r="H902" s="24">
        <v>46106</v>
      </c>
      <c r="O902" s="23">
        <v>2689</v>
      </c>
      <c r="P902" s="23" t="s">
        <v>79</v>
      </c>
    </row>
    <row r="903" spans="2:28" x14ac:dyDescent="0.2">
      <c r="C903" s="23">
        <v>1100576237</v>
      </c>
      <c r="E903" s="23">
        <v>10</v>
      </c>
      <c r="F903" s="23" t="s">
        <v>3101</v>
      </c>
      <c r="G903" s="23" t="s">
        <v>3102</v>
      </c>
      <c r="H903" s="24">
        <v>46106</v>
      </c>
      <c r="I903" s="24">
        <v>46106</v>
      </c>
      <c r="J903" s="23" t="s">
        <v>741</v>
      </c>
      <c r="K903" s="23" t="s">
        <v>741</v>
      </c>
      <c r="L903" s="23">
        <v>1</v>
      </c>
      <c r="M903" s="23" t="s">
        <v>78</v>
      </c>
      <c r="N903" s="23" t="s">
        <v>78</v>
      </c>
      <c r="O903" s="23">
        <v>607.46</v>
      </c>
      <c r="P903" s="23" t="s">
        <v>79</v>
      </c>
      <c r="Q903" s="23" t="s">
        <v>83</v>
      </c>
      <c r="R903" s="23">
        <v>11100176</v>
      </c>
      <c r="S903" s="24">
        <v>46087</v>
      </c>
      <c r="T903" s="24">
        <v>46062</v>
      </c>
      <c r="U903" s="24" t="s">
        <v>80</v>
      </c>
      <c r="X903" s="24">
        <v>46056</v>
      </c>
      <c r="Y903" s="23">
        <v>1111</v>
      </c>
      <c r="Z903" s="23">
        <v>11600003</v>
      </c>
      <c r="AA903" s="23">
        <v>315103</v>
      </c>
      <c r="AB903" s="24">
        <v>46058</v>
      </c>
    </row>
    <row r="904" spans="2:28" x14ac:dyDescent="0.2">
      <c r="C904" s="23">
        <v>1100576237</v>
      </c>
      <c r="E904" s="23">
        <v>20</v>
      </c>
      <c r="F904" s="23" t="s">
        <v>2039</v>
      </c>
      <c r="G904" s="23" t="s">
        <v>2040</v>
      </c>
      <c r="H904" s="24">
        <v>46106</v>
      </c>
      <c r="I904" s="24">
        <v>46106</v>
      </c>
      <c r="J904" s="23" t="s">
        <v>741</v>
      </c>
      <c r="K904" s="23" t="s">
        <v>741</v>
      </c>
      <c r="L904" s="23">
        <v>1</v>
      </c>
      <c r="M904" s="23" t="s">
        <v>78</v>
      </c>
      <c r="N904" s="23" t="s">
        <v>78</v>
      </c>
      <c r="O904" s="23">
        <v>30.7</v>
      </c>
      <c r="P904" s="23" t="s">
        <v>79</v>
      </c>
      <c r="Q904" s="23" t="s">
        <v>83</v>
      </c>
      <c r="R904" s="23">
        <v>11100176</v>
      </c>
      <c r="S904" s="24">
        <v>46087</v>
      </c>
      <c r="T904" s="24">
        <v>46062</v>
      </c>
      <c r="U904" s="24" t="s">
        <v>80</v>
      </c>
      <c r="X904" s="24">
        <v>46056</v>
      </c>
      <c r="Y904" s="23">
        <v>1111</v>
      </c>
      <c r="Z904" s="23">
        <v>11600003</v>
      </c>
      <c r="AA904" s="23">
        <v>315103</v>
      </c>
      <c r="AB904" s="24">
        <v>46058</v>
      </c>
    </row>
    <row r="905" spans="2:28" x14ac:dyDescent="0.2">
      <c r="C905" s="23">
        <v>1100576237</v>
      </c>
      <c r="E905" s="23">
        <v>30</v>
      </c>
      <c r="F905" s="23" t="s">
        <v>82</v>
      </c>
      <c r="G905" s="23" t="s">
        <v>139</v>
      </c>
      <c r="H905" s="24">
        <v>46106</v>
      </c>
      <c r="I905" s="24">
        <v>46106</v>
      </c>
      <c r="J905" s="23" t="s">
        <v>741</v>
      </c>
      <c r="K905" s="23" t="s">
        <v>741</v>
      </c>
      <c r="L905" s="23">
        <v>1</v>
      </c>
      <c r="M905" s="23" t="s">
        <v>78</v>
      </c>
      <c r="N905" s="23" t="s">
        <v>78</v>
      </c>
      <c r="O905" s="23">
        <v>0.01</v>
      </c>
      <c r="P905" s="23" t="s">
        <v>79</v>
      </c>
      <c r="Q905" s="23" t="s">
        <v>83</v>
      </c>
      <c r="R905" s="23">
        <v>11100176</v>
      </c>
      <c r="S905" s="24">
        <v>46087</v>
      </c>
      <c r="T905" s="24">
        <v>46062</v>
      </c>
      <c r="U905" s="24" t="s">
        <v>80</v>
      </c>
      <c r="X905" s="24">
        <v>46056</v>
      </c>
      <c r="Y905" s="23">
        <v>1111</v>
      </c>
      <c r="Z905" s="23">
        <v>11600003</v>
      </c>
      <c r="AA905" s="23">
        <v>315103</v>
      </c>
      <c r="AB905" s="24">
        <v>46058</v>
      </c>
    </row>
    <row r="906" spans="2:28" x14ac:dyDescent="0.2">
      <c r="B906" s="23" t="s">
        <v>81</v>
      </c>
      <c r="C906" s="23">
        <v>1100576237</v>
      </c>
      <c r="H906" s="24">
        <v>46106</v>
      </c>
      <c r="O906" s="23">
        <v>638.16999999999996</v>
      </c>
      <c r="P906" s="23" t="s">
        <v>79</v>
      </c>
    </row>
    <row r="907" spans="2:28" x14ac:dyDescent="0.2">
      <c r="C907" s="23">
        <v>1100576461</v>
      </c>
      <c r="E907" s="23">
        <v>10</v>
      </c>
      <c r="F907" s="23" t="s">
        <v>3103</v>
      </c>
      <c r="G907" s="23" t="s">
        <v>3104</v>
      </c>
      <c r="H907" s="24">
        <v>46106</v>
      </c>
      <c r="I907" s="24">
        <v>46106</v>
      </c>
      <c r="J907" s="23" t="s">
        <v>239</v>
      </c>
      <c r="K907" s="23" t="s">
        <v>239</v>
      </c>
      <c r="L907" s="23">
        <v>1</v>
      </c>
      <c r="M907" s="23" t="s">
        <v>78</v>
      </c>
      <c r="N907" s="23" t="s">
        <v>78</v>
      </c>
      <c r="O907" s="23">
        <v>732</v>
      </c>
      <c r="P907" s="23" t="s">
        <v>79</v>
      </c>
      <c r="Q907" s="23" t="s">
        <v>83</v>
      </c>
      <c r="R907" s="23">
        <v>11100176</v>
      </c>
      <c r="S907" s="24">
        <v>46105</v>
      </c>
      <c r="T907" s="24">
        <v>46063</v>
      </c>
      <c r="U907" s="24" t="s">
        <v>80</v>
      </c>
      <c r="X907" s="24">
        <v>46063</v>
      </c>
      <c r="Y907" s="23">
        <v>1111</v>
      </c>
      <c r="Z907" s="23">
        <v>11400789</v>
      </c>
      <c r="AA907" s="23">
        <v>3951</v>
      </c>
      <c r="AB907" s="24">
        <v>46062</v>
      </c>
    </row>
    <row r="908" spans="2:28" x14ac:dyDescent="0.2">
      <c r="B908" s="23" t="s">
        <v>81</v>
      </c>
      <c r="C908" s="23">
        <v>1100576461</v>
      </c>
      <c r="H908" s="24">
        <v>46106</v>
      </c>
      <c r="O908" s="23">
        <v>732</v>
      </c>
      <c r="P908" s="23" t="s">
        <v>79</v>
      </c>
    </row>
    <row r="909" spans="2:28" x14ac:dyDescent="0.2">
      <c r="C909" s="23">
        <v>1100576472</v>
      </c>
      <c r="E909" s="23">
        <v>10</v>
      </c>
      <c r="F909" s="23" t="s">
        <v>3105</v>
      </c>
      <c r="G909" s="23" t="s">
        <v>3106</v>
      </c>
      <c r="H909" s="24">
        <v>46106</v>
      </c>
      <c r="I909" s="24">
        <v>46106</v>
      </c>
      <c r="J909" s="23" t="s">
        <v>1001</v>
      </c>
      <c r="K909" s="23" t="s">
        <v>1001</v>
      </c>
      <c r="L909" s="23">
        <v>1</v>
      </c>
      <c r="M909" s="23" t="s">
        <v>78</v>
      </c>
      <c r="N909" s="23" t="s">
        <v>78</v>
      </c>
      <c r="O909" s="23">
        <v>577.83000000000004</v>
      </c>
      <c r="P909" s="23" t="s">
        <v>79</v>
      </c>
      <c r="Q909" s="23" t="s">
        <v>83</v>
      </c>
      <c r="R909" s="23">
        <v>11100176</v>
      </c>
      <c r="S909" s="24">
        <v>46094</v>
      </c>
      <c r="T909" s="24">
        <v>46064</v>
      </c>
      <c r="U909" s="24" t="s">
        <v>80</v>
      </c>
      <c r="X909" s="24">
        <v>46062</v>
      </c>
      <c r="Y909" s="23">
        <v>1111</v>
      </c>
      <c r="Z909" s="23">
        <v>11600003</v>
      </c>
      <c r="AA909" s="23">
        <v>335103</v>
      </c>
      <c r="AB909" s="24">
        <v>46063</v>
      </c>
    </row>
    <row r="910" spans="2:28" x14ac:dyDescent="0.2">
      <c r="C910" s="23">
        <v>1100576472</v>
      </c>
      <c r="E910" s="23">
        <v>20</v>
      </c>
      <c r="F910" s="23" t="s">
        <v>82</v>
      </c>
      <c r="G910" s="23" t="s">
        <v>139</v>
      </c>
      <c r="H910" s="24">
        <v>46106</v>
      </c>
      <c r="I910" s="24">
        <v>46106</v>
      </c>
      <c r="J910" s="23" t="s">
        <v>1001</v>
      </c>
      <c r="K910" s="23" t="s">
        <v>1001</v>
      </c>
      <c r="L910" s="23">
        <v>1</v>
      </c>
      <c r="M910" s="23" t="s">
        <v>78</v>
      </c>
      <c r="N910" s="23" t="s">
        <v>78</v>
      </c>
      <c r="O910" s="23">
        <v>0.01</v>
      </c>
      <c r="P910" s="23" t="s">
        <v>79</v>
      </c>
      <c r="Q910" s="23" t="s">
        <v>83</v>
      </c>
      <c r="R910" s="23">
        <v>11100176</v>
      </c>
      <c r="S910" s="24">
        <v>46094</v>
      </c>
      <c r="T910" s="24">
        <v>46064</v>
      </c>
      <c r="U910" s="24" t="s">
        <v>80</v>
      </c>
      <c r="X910" s="24">
        <v>46062</v>
      </c>
      <c r="Y910" s="23">
        <v>1111</v>
      </c>
      <c r="Z910" s="23">
        <v>11600003</v>
      </c>
      <c r="AA910" s="23">
        <v>335103</v>
      </c>
      <c r="AB910" s="24">
        <v>46063</v>
      </c>
    </row>
    <row r="911" spans="2:28" x14ac:dyDescent="0.2">
      <c r="B911" s="23" t="s">
        <v>81</v>
      </c>
      <c r="C911" s="23">
        <v>1100576472</v>
      </c>
      <c r="H911" s="24">
        <v>46106</v>
      </c>
      <c r="O911" s="23">
        <v>577.84</v>
      </c>
      <c r="P911" s="23" t="s">
        <v>79</v>
      </c>
    </row>
    <row r="912" spans="2:28" x14ac:dyDescent="0.2">
      <c r="C912" s="23">
        <v>1100576487</v>
      </c>
      <c r="E912" s="23">
        <v>10</v>
      </c>
      <c r="F912" s="23" t="s">
        <v>3107</v>
      </c>
      <c r="G912" s="23" t="s">
        <v>3108</v>
      </c>
      <c r="H912" s="24">
        <v>46106</v>
      </c>
      <c r="I912" s="24">
        <v>46106</v>
      </c>
      <c r="J912" s="23" t="s">
        <v>1172</v>
      </c>
      <c r="K912" s="23" t="s">
        <v>1172</v>
      </c>
      <c r="L912" s="23">
        <v>1</v>
      </c>
      <c r="M912" s="23" t="s">
        <v>78</v>
      </c>
      <c r="N912" s="23" t="s">
        <v>78</v>
      </c>
      <c r="O912" s="23">
        <v>1556.27</v>
      </c>
      <c r="P912" s="23" t="s">
        <v>79</v>
      </c>
      <c r="Q912" s="23" t="s">
        <v>83</v>
      </c>
      <c r="R912" s="23">
        <v>11100176</v>
      </c>
      <c r="S912" s="24">
        <v>46106</v>
      </c>
      <c r="T912" s="24">
        <v>46064</v>
      </c>
      <c r="U912" s="24" t="s">
        <v>80</v>
      </c>
      <c r="X912" s="24">
        <v>46063</v>
      </c>
      <c r="Y912" s="23">
        <v>1111</v>
      </c>
      <c r="Z912" s="23">
        <v>11400937</v>
      </c>
      <c r="AA912" s="23">
        <v>3951</v>
      </c>
      <c r="AB912" s="24">
        <v>46062</v>
      </c>
    </row>
    <row r="913" spans="2:28" x14ac:dyDescent="0.2">
      <c r="C913" s="23">
        <v>1100576487</v>
      </c>
      <c r="E913" s="23">
        <v>20</v>
      </c>
      <c r="F913" s="23" t="s">
        <v>3109</v>
      </c>
      <c r="G913" s="23" t="s">
        <v>3110</v>
      </c>
      <c r="H913" s="24">
        <v>46106</v>
      </c>
      <c r="I913" s="24">
        <v>46106</v>
      </c>
      <c r="J913" s="23" t="s">
        <v>1172</v>
      </c>
      <c r="K913" s="23" t="s">
        <v>1172</v>
      </c>
      <c r="L913" s="23">
        <v>1</v>
      </c>
      <c r="M913" s="23" t="s">
        <v>78</v>
      </c>
      <c r="N913" s="23" t="s">
        <v>78</v>
      </c>
      <c r="O913" s="23">
        <v>959.3</v>
      </c>
      <c r="P913" s="23" t="s">
        <v>79</v>
      </c>
      <c r="Q913" s="23" t="s">
        <v>83</v>
      </c>
      <c r="R913" s="23">
        <v>11100176</v>
      </c>
      <c r="S913" s="24">
        <v>46106</v>
      </c>
      <c r="T913" s="24">
        <v>46064</v>
      </c>
      <c r="U913" s="24" t="s">
        <v>80</v>
      </c>
      <c r="X913" s="24">
        <v>46063</v>
      </c>
      <c r="Y913" s="23">
        <v>1111</v>
      </c>
      <c r="Z913" s="23">
        <v>11400937</v>
      </c>
      <c r="AA913" s="23">
        <v>3951</v>
      </c>
      <c r="AB913" s="24">
        <v>46062</v>
      </c>
    </row>
    <row r="914" spans="2:28" x14ac:dyDescent="0.2">
      <c r="B914" s="23" t="s">
        <v>81</v>
      </c>
      <c r="C914" s="23">
        <v>1100576487</v>
      </c>
      <c r="H914" s="24">
        <v>46106</v>
      </c>
      <c r="O914" s="23">
        <v>2515.5700000000002</v>
      </c>
      <c r="P914" s="23" t="s">
        <v>79</v>
      </c>
    </row>
    <row r="915" spans="2:28" x14ac:dyDescent="0.2">
      <c r="C915" s="23">
        <v>1100576538</v>
      </c>
      <c r="E915" s="23">
        <v>10</v>
      </c>
      <c r="F915" s="23" t="s">
        <v>1057</v>
      </c>
      <c r="G915" s="23" t="s">
        <v>1058</v>
      </c>
      <c r="H915" s="24">
        <v>46106</v>
      </c>
      <c r="I915" s="24">
        <v>46106</v>
      </c>
      <c r="J915" s="23" t="s">
        <v>313</v>
      </c>
      <c r="K915" s="23" t="s">
        <v>313</v>
      </c>
      <c r="L915" s="23">
        <v>1</v>
      </c>
      <c r="M915" s="23" t="s">
        <v>78</v>
      </c>
      <c r="N915" s="23" t="s">
        <v>78</v>
      </c>
      <c r="O915" s="23">
        <v>5068.6000000000004</v>
      </c>
      <c r="P915" s="23" t="s">
        <v>79</v>
      </c>
      <c r="Q915" s="23" t="s">
        <v>83</v>
      </c>
      <c r="R915" s="23">
        <v>11100176</v>
      </c>
      <c r="S915" s="24">
        <v>46078</v>
      </c>
      <c r="T915" s="24">
        <v>46064</v>
      </c>
      <c r="U915" s="24" t="s">
        <v>80</v>
      </c>
      <c r="X915" s="24">
        <v>46062</v>
      </c>
      <c r="Y915" s="23">
        <v>1111</v>
      </c>
      <c r="Z915" s="23">
        <v>11600001</v>
      </c>
      <c r="AA915" s="23">
        <v>5051</v>
      </c>
      <c r="AB915" s="24">
        <v>46064</v>
      </c>
    </row>
    <row r="916" spans="2:28" x14ac:dyDescent="0.2">
      <c r="C916" s="23">
        <v>1100576538</v>
      </c>
      <c r="E916" s="23">
        <v>20</v>
      </c>
      <c r="F916" s="23" t="s">
        <v>82</v>
      </c>
      <c r="G916" s="23" t="s">
        <v>139</v>
      </c>
      <c r="H916" s="24">
        <v>46106</v>
      </c>
      <c r="I916" s="24">
        <v>46106</v>
      </c>
      <c r="J916" s="23" t="s">
        <v>313</v>
      </c>
      <c r="K916" s="23" t="s">
        <v>313</v>
      </c>
      <c r="L916" s="23">
        <v>1</v>
      </c>
      <c r="M916" s="23" t="s">
        <v>78</v>
      </c>
      <c r="N916" s="23" t="s">
        <v>78</v>
      </c>
      <c r="O916" s="23">
        <v>0.01</v>
      </c>
      <c r="P916" s="23" t="s">
        <v>79</v>
      </c>
      <c r="Q916" s="23" t="s">
        <v>83</v>
      </c>
      <c r="R916" s="23">
        <v>11100176</v>
      </c>
      <c r="S916" s="24">
        <v>46078</v>
      </c>
      <c r="T916" s="24">
        <v>46064</v>
      </c>
      <c r="U916" s="24" t="s">
        <v>80</v>
      </c>
      <c r="X916" s="24">
        <v>46062</v>
      </c>
      <c r="Y916" s="23">
        <v>1111</v>
      </c>
      <c r="Z916" s="23">
        <v>11600001</v>
      </c>
      <c r="AA916" s="23">
        <v>5051</v>
      </c>
      <c r="AB916" s="24">
        <v>46064</v>
      </c>
    </row>
    <row r="917" spans="2:28" x14ac:dyDescent="0.2">
      <c r="B917" s="23" t="s">
        <v>81</v>
      </c>
      <c r="C917" s="23">
        <v>1100576538</v>
      </c>
      <c r="H917" s="24">
        <v>46106</v>
      </c>
      <c r="O917" s="23">
        <v>5068.6099999999997</v>
      </c>
      <c r="P917" s="23" t="s">
        <v>79</v>
      </c>
    </row>
    <row r="918" spans="2:28" x14ac:dyDescent="0.2">
      <c r="C918" s="23">
        <v>1100576712</v>
      </c>
      <c r="E918" s="23">
        <v>20</v>
      </c>
      <c r="F918" s="23" t="s">
        <v>3111</v>
      </c>
      <c r="G918" s="23" t="s">
        <v>3112</v>
      </c>
      <c r="H918" s="24">
        <v>46106</v>
      </c>
      <c r="I918" s="24">
        <v>46106</v>
      </c>
      <c r="J918" s="23" t="s">
        <v>1777</v>
      </c>
      <c r="K918" s="23" t="s">
        <v>1777</v>
      </c>
      <c r="L918" s="23">
        <v>12</v>
      </c>
      <c r="M918" s="23" t="s">
        <v>78</v>
      </c>
      <c r="N918" s="23" t="s">
        <v>78</v>
      </c>
      <c r="O918" s="23">
        <v>3630.36</v>
      </c>
      <c r="P918" s="23" t="s">
        <v>79</v>
      </c>
      <c r="Q918" s="23" t="s">
        <v>83</v>
      </c>
      <c r="R918" s="23">
        <v>11100176</v>
      </c>
      <c r="S918" s="24">
        <v>46114</v>
      </c>
      <c r="T918" s="24">
        <v>46065</v>
      </c>
      <c r="U918" s="24">
        <v>47116</v>
      </c>
      <c r="X918" s="24">
        <v>46064</v>
      </c>
      <c r="Y918" s="23">
        <v>1111</v>
      </c>
      <c r="Z918" s="23">
        <v>11400895</v>
      </c>
      <c r="AA918" s="23">
        <v>3351</v>
      </c>
      <c r="AB918" s="24">
        <v>46064</v>
      </c>
    </row>
    <row r="919" spans="2:28" x14ac:dyDescent="0.2">
      <c r="B919" s="23" t="s">
        <v>81</v>
      </c>
      <c r="C919" s="23">
        <v>1100576712</v>
      </c>
      <c r="H919" s="24">
        <v>46106</v>
      </c>
      <c r="O919" s="23">
        <v>3630.36</v>
      </c>
      <c r="P919" s="23" t="s">
        <v>79</v>
      </c>
    </row>
    <row r="920" spans="2:28" x14ac:dyDescent="0.2">
      <c r="C920" s="23">
        <v>1100576908</v>
      </c>
      <c r="E920" s="23">
        <v>10</v>
      </c>
      <c r="F920" s="23" t="s">
        <v>3113</v>
      </c>
      <c r="G920" s="23" t="s">
        <v>3114</v>
      </c>
      <c r="H920" s="24">
        <v>46106</v>
      </c>
      <c r="I920" s="24">
        <v>46106</v>
      </c>
      <c r="J920" s="23" t="s">
        <v>741</v>
      </c>
      <c r="K920" s="23" t="s">
        <v>741</v>
      </c>
      <c r="L920" s="23">
        <v>1</v>
      </c>
      <c r="M920" s="23" t="s">
        <v>78</v>
      </c>
      <c r="N920" s="23" t="s">
        <v>78</v>
      </c>
      <c r="O920" s="23">
        <v>849.79</v>
      </c>
      <c r="P920" s="23" t="s">
        <v>79</v>
      </c>
      <c r="Q920" s="23" t="s">
        <v>83</v>
      </c>
      <c r="R920" s="23">
        <v>11100008</v>
      </c>
      <c r="S920" s="24">
        <v>46097</v>
      </c>
      <c r="T920" s="24">
        <v>46069</v>
      </c>
      <c r="U920" s="24" t="s">
        <v>80</v>
      </c>
      <c r="X920" s="24">
        <v>46069</v>
      </c>
      <c r="Y920" s="23">
        <v>1111</v>
      </c>
      <c r="Z920" s="23">
        <v>11400789</v>
      </c>
      <c r="AA920" s="23">
        <v>335103</v>
      </c>
      <c r="AB920" s="24">
        <v>46063</v>
      </c>
    </row>
    <row r="921" spans="2:28" x14ac:dyDescent="0.2">
      <c r="C921" s="23">
        <v>1100576908</v>
      </c>
      <c r="E921" s="23">
        <v>20</v>
      </c>
      <c r="F921" s="23" t="s">
        <v>82</v>
      </c>
      <c r="G921" s="23" t="s">
        <v>139</v>
      </c>
      <c r="H921" s="24">
        <v>46106</v>
      </c>
      <c r="I921" s="24">
        <v>46106</v>
      </c>
      <c r="J921" s="23" t="s">
        <v>741</v>
      </c>
      <c r="K921" s="23" t="s">
        <v>741</v>
      </c>
      <c r="L921" s="23">
        <v>1</v>
      </c>
      <c r="M921" s="23" t="s">
        <v>78</v>
      </c>
      <c r="N921" s="23" t="s">
        <v>78</v>
      </c>
      <c r="O921" s="23">
        <v>0.01</v>
      </c>
      <c r="P921" s="23" t="s">
        <v>79</v>
      </c>
      <c r="Q921" s="23" t="s">
        <v>83</v>
      </c>
      <c r="R921" s="23">
        <v>11100008</v>
      </c>
      <c r="S921" s="24" t="s">
        <v>80</v>
      </c>
      <c r="T921" s="24">
        <v>46069</v>
      </c>
      <c r="U921" s="24" t="s">
        <v>80</v>
      </c>
      <c r="X921" s="24">
        <v>46069</v>
      </c>
      <c r="Y921" s="23">
        <v>1111</v>
      </c>
      <c r="Z921" s="23">
        <v>11400789</v>
      </c>
      <c r="AA921" s="23">
        <v>335103</v>
      </c>
      <c r="AB921" s="24">
        <v>46063</v>
      </c>
    </row>
    <row r="922" spans="2:28" x14ac:dyDescent="0.2">
      <c r="B922" s="23" t="s">
        <v>81</v>
      </c>
      <c r="C922" s="23">
        <v>1100576908</v>
      </c>
      <c r="H922" s="24">
        <v>46106</v>
      </c>
      <c r="O922" s="23">
        <v>849.8</v>
      </c>
      <c r="P922" s="23" t="s">
        <v>79</v>
      </c>
    </row>
    <row r="923" spans="2:28" x14ac:dyDescent="0.2">
      <c r="C923" s="23">
        <v>1100577127</v>
      </c>
      <c r="E923" s="23">
        <v>10</v>
      </c>
      <c r="F923" s="23" t="s">
        <v>757</v>
      </c>
      <c r="G923" s="23" t="s">
        <v>2806</v>
      </c>
      <c r="H923" s="24">
        <v>46106</v>
      </c>
      <c r="I923" s="24">
        <v>46106</v>
      </c>
      <c r="J923" s="23" t="s">
        <v>741</v>
      </c>
      <c r="K923" s="23" t="s">
        <v>741</v>
      </c>
      <c r="L923" s="23">
        <v>1</v>
      </c>
      <c r="M923" s="23" t="s">
        <v>78</v>
      </c>
      <c r="N923" s="23" t="s">
        <v>78</v>
      </c>
      <c r="O923" s="23">
        <v>892.55</v>
      </c>
      <c r="P923" s="23" t="s">
        <v>79</v>
      </c>
      <c r="Q923" s="23" t="s">
        <v>83</v>
      </c>
      <c r="R923" s="23">
        <v>11100008</v>
      </c>
      <c r="S923" s="24">
        <v>46106</v>
      </c>
      <c r="T923" s="24">
        <v>46071</v>
      </c>
      <c r="U923" s="24" t="s">
        <v>80</v>
      </c>
      <c r="X923" s="24">
        <v>46071</v>
      </c>
      <c r="Y923" s="23">
        <v>1111</v>
      </c>
      <c r="Z923" s="23">
        <v>11600007</v>
      </c>
      <c r="AA923" s="23">
        <v>3151</v>
      </c>
      <c r="AB923" s="24">
        <v>46069</v>
      </c>
    </row>
    <row r="924" spans="2:28" x14ac:dyDescent="0.2">
      <c r="C924" s="23">
        <v>1100577127</v>
      </c>
      <c r="E924" s="23">
        <v>20</v>
      </c>
      <c r="F924" s="23" t="s">
        <v>82</v>
      </c>
      <c r="G924" s="23" t="s">
        <v>139</v>
      </c>
      <c r="H924" s="24">
        <v>46106</v>
      </c>
      <c r="I924" s="24">
        <v>46106</v>
      </c>
      <c r="J924" s="23" t="s">
        <v>741</v>
      </c>
      <c r="K924" s="23" t="s">
        <v>741</v>
      </c>
      <c r="L924" s="23">
        <v>1</v>
      </c>
      <c r="M924" s="23" t="s">
        <v>78</v>
      </c>
      <c r="N924" s="23" t="s">
        <v>78</v>
      </c>
      <c r="O924" s="23">
        <v>0.01</v>
      </c>
      <c r="P924" s="23" t="s">
        <v>79</v>
      </c>
      <c r="Q924" s="23" t="s">
        <v>83</v>
      </c>
      <c r="R924" s="23">
        <v>11100008</v>
      </c>
      <c r="S924" s="24" t="s">
        <v>80</v>
      </c>
      <c r="T924" s="24">
        <v>46071</v>
      </c>
      <c r="U924" s="24" t="s">
        <v>80</v>
      </c>
      <c r="X924" s="24">
        <v>46071</v>
      </c>
      <c r="Y924" s="23">
        <v>1111</v>
      </c>
      <c r="Z924" s="23">
        <v>11600007</v>
      </c>
      <c r="AA924" s="23">
        <v>3151</v>
      </c>
      <c r="AB924" s="24">
        <v>46069</v>
      </c>
    </row>
    <row r="925" spans="2:28" x14ac:dyDescent="0.2">
      <c r="B925" s="23" t="s">
        <v>81</v>
      </c>
      <c r="C925" s="23">
        <v>1100577127</v>
      </c>
      <c r="H925" s="24">
        <v>46106</v>
      </c>
      <c r="O925" s="23">
        <v>892.56</v>
      </c>
      <c r="P925" s="23" t="s">
        <v>79</v>
      </c>
    </row>
    <row r="926" spans="2:28" x14ac:dyDescent="0.2">
      <c r="C926" s="23">
        <v>1100577609</v>
      </c>
      <c r="E926" s="23">
        <v>120</v>
      </c>
      <c r="F926" s="23" t="s">
        <v>1151</v>
      </c>
      <c r="G926" s="23" t="s">
        <v>1152</v>
      </c>
      <c r="H926" s="24">
        <v>46106</v>
      </c>
      <c r="I926" s="24">
        <v>46106</v>
      </c>
      <c r="J926" s="23" t="s">
        <v>1898</v>
      </c>
      <c r="K926" s="23" t="s">
        <v>1898</v>
      </c>
      <c r="L926" s="23">
        <v>1</v>
      </c>
      <c r="M926" s="23" t="s">
        <v>78</v>
      </c>
      <c r="N926" s="23" t="s">
        <v>78</v>
      </c>
      <c r="O926" s="23">
        <v>276.32</v>
      </c>
      <c r="P926" s="23" t="s">
        <v>79</v>
      </c>
      <c r="Q926" s="23" t="s">
        <v>83</v>
      </c>
      <c r="R926" s="23">
        <v>11100008</v>
      </c>
      <c r="S926" s="24">
        <v>46083</v>
      </c>
      <c r="T926" s="24">
        <v>46076</v>
      </c>
      <c r="U926" s="24">
        <v>47116</v>
      </c>
      <c r="X926" s="24">
        <v>46070</v>
      </c>
      <c r="Y926" s="23">
        <v>1111</v>
      </c>
      <c r="Z926" s="23">
        <v>11400606</v>
      </c>
      <c r="AA926" s="23">
        <v>335103</v>
      </c>
      <c r="AB926" s="24">
        <v>46072</v>
      </c>
    </row>
    <row r="927" spans="2:28" x14ac:dyDescent="0.2">
      <c r="C927" s="23">
        <v>1100577609</v>
      </c>
      <c r="E927" s="23">
        <v>170</v>
      </c>
      <c r="F927" s="23" t="s">
        <v>3115</v>
      </c>
      <c r="G927" s="23" t="s">
        <v>3116</v>
      </c>
      <c r="H927" s="24">
        <v>46106</v>
      </c>
      <c r="I927" s="24">
        <v>46106</v>
      </c>
      <c r="J927" s="23" t="s">
        <v>1898</v>
      </c>
      <c r="K927" s="23" t="s">
        <v>1898</v>
      </c>
      <c r="L927" s="23">
        <v>1</v>
      </c>
      <c r="M927" s="23" t="s">
        <v>78</v>
      </c>
      <c r="N927" s="23" t="s">
        <v>78</v>
      </c>
      <c r="O927" s="23">
        <v>898.03</v>
      </c>
      <c r="P927" s="23" t="s">
        <v>79</v>
      </c>
      <c r="Q927" s="23" t="s">
        <v>83</v>
      </c>
      <c r="R927" s="23">
        <v>11100008</v>
      </c>
      <c r="S927" s="24">
        <v>46118</v>
      </c>
      <c r="T927" s="24">
        <v>46076</v>
      </c>
      <c r="U927" s="24">
        <v>47116</v>
      </c>
      <c r="X927" s="24">
        <v>46070</v>
      </c>
      <c r="Y927" s="23">
        <v>1111</v>
      </c>
      <c r="Z927" s="23">
        <v>11400606</v>
      </c>
      <c r="AA927" s="23">
        <v>335103</v>
      </c>
      <c r="AB927" s="24">
        <v>46072</v>
      </c>
    </row>
    <row r="928" spans="2:28" x14ac:dyDescent="0.2">
      <c r="C928" s="23">
        <v>1100577609</v>
      </c>
      <c r="E928" s="23">
        <v>180</v>
      </c>
      <c r="F928" s="23" t="s">
        <v>3117</v>
      </c>
      <c r="G928" s="23" t="s">
        <v>3118</v>
      </c>
      <c r="H928" s="24">
        <v>46106</v>
      </c>
      <c r="I928" s="24">
        <v>46106</v>
      </c>
      <c r="J928" s="23" t="s">
        <v>1898</v>
      </c>
      <c r="K928" s="23" t="s">
        <v>1898</v>
      </c>
      <c r="L928" s="23">
        <v>1</v>
      </c>
      <c r="M928" s="23" t="s">
        <v>78</v>
      </c>
      <c r="N928" s="23" t="s">
        <v>78</v>
      </c>
      <c r="O928" s="23">
        <v>67.98</v>
      </c>
      <c r="P928" s="23" t="s">
        <v>79</v>
      </c>
      <c r="Q928" s="23" t="s">
        <v>83</v>
      </c>
      <c r="R928" s="23">
        <v>11100008</v>
      </c>
      <c r="S928" s="24">
        <v>46104</v>
      </c>
      <c r="T928" s="24">
        <v>46076</v>
      </c>
      <c r="U928" s="24">
        <v>47116</v>
      </c>
      <c r="X928" s="24">
        <v>46070</v>
      </c>
      <c r="Y928" s="23">
        <v>1111</v>
      </c>
      <c r="Z928" s="23">
        <v>11400606</v>
      </c>
      <c r="AA928" s="23">
        <v>335103</v>
      </c>
      <c r="AB928" s="24">
        <v>46072</v>
      </c>
    </row>
    <row r="929" spans="2:28" x14ac:dyDescent="0.2">
      <c r="C929" s="23">
        <v>1100577609</v>
      </c>
      <c r="E929" s="23">
        <v>190</v>
      </c>
      <c r="F929" s="23" t="s">
        <v>3119</v>
      </c>
      <c r="G929" s="23" t="s">
        <v>3120</v>
      </c>
      <c r="H929" s="24">
        <v>46106</v>
      </c>
      <c r="I929" s="24">
        <v>46106</v>
      </c>
      <c r="J929" s="23" t="s">
        <v>1898</v>
      </c>
      <c r="K929" s="23" t="s">
        <v>1898</v>
      </c>
      <c r="L929" s="23">
        <v>1</v>
      </c>
      <c r="M929" s="23" t="s">
        <v>78</v>
      </c>
      <c r="N929" s="23" t="s">
        <v>78</v>
      </c>
      <c r="O929" s="23">
        <v>88.68</v>
      </c>
      <c r="P929" s="23" t="s">
        <v>79</v>
      </c>
      <c r="Q929" s="23" t="s">
        <v>83</v>
      </c>
      <c r="R929" s="23">
        <v>11100008</v>
      </c>
      <c r="S929" s="24">
        <v>46083</v>
      </c>
      <c r="T929" s="24">
        <v>46076</v>
      </c>
      <c r="U929" s="24">
        <v>47116</v>
      </c>
      <c r="X929" s="24">
        <v>46070</v>
      </c>
      <c r="Y929" s="23">
        <v>1111</v>
      </c>
      <c r="Z929" s="23">
        <v>11400606</v>
      </c>
      <c r="AA929" s="23">
        <v>335103</v>
      </c>
      <c r="AB929" s="24">
        <v>46072</v>
      </c>
    </row>
    <row r="930" spans="2:28" x14ac:dyDescent="0.2">
      <c r="C930" s="23">
        <v>1100577609</v>
      </c>
      <c r="E930" s="23">
        <v>220</v>
      </c>
      <c r="F930" s="23" t="s">
        <v>3121</v>
      </c>
      <c r="G930" s="23" t="s">
        <v>3122</v>
      </c>
      <c r="H930" s="24">
        <v>46106</v>
      </c>
      <c r="I930" s="24">
        <v>46106</v>
      </c>
      <c r="J930" s="23" t="s">
        <v>1898</v>
      </c>
      <c r="K930" s="23" t="s">
        <v>1898</v>
      </c>
      <c r="L930" s="23">
        <v>1</v>
      </c>
      <c r="M930" s="23" t="s">
        <v>78</v>
      </c>
      <c r="N930" s="23" t="s">
        <v>78</v>
      </c>
      <c r="O930" s="23">
        <v>13.16</v>
      </c>
      <c r="P930" s="23" t="s">
        <v>79</v>
      </c>
      <c r="Q930" s="23" t="s">
        <v>83</v>
      </c>
      <c r="R930" s="23">
        <v>11100008</v>
      </c>
      <c r="S930" s="24">
        <v>46083</v>
      </c>
      <c r="T930" s="24">
        <v>46076</v>
      </c>
      <c r="U930" s="24">
        <v>47116</v>
      </c>
      <c r="X930" s="24">
        <v>46070</v>
      </c>
      <c r="Y930" s="23">
        <v>1111</v>
      </c>
      <c r="Z930" s="23">
        <v>11400606</v>
      </c>
      <c r="AA930" s="23">
        <v>335103</v>
      </c>
      <c r="AB930" s="24">
        <v>46072</v>
      </c>
    </row>
    <row r="931" spans="2:28" x14ac:dyDescent="0.2">
      <c r="C931" s="23">
        <v>1100577609</v>
      </c>
      <c r="E931" s="23">
        <v>250</v>
      </c>
      <c r="F931" s="23" t="s">
        <v>790</v>
      </c>
      <c r="G931" s="23" t="s">
        <v>2269</v>
      </c>
      <c r="H931" s="24">
        <v>46106</v>
      </c>
      <c r="I931" s="24">
        <v>46106</v>
      </c>
      <c r="J931" s="23" t="s">
        <v>1898</v>
      </c>
      <c r="K931" s="23" t="s">
        <v>1898</v>
      </c>
      <c r="L931" s="23">
        <v>1</v>
      </c>
      <c r="M931" s="23" t="s">
        <v>78</v>
      </c>
      <c r="N931" s="23" t="s">
        <v>78</v>
      </c>
      <c r="O931" s="23">
        <v>48.25</v>
      </c>
      <c r="P931" s="23" t="s">
        <v>79</v>
      </c>
      <c r="Q931" s="23" t="s">
        <v>83</v>
      </c>
      <c r="R931" s="23">
        <v>11100008</v>
      </c>
      <c r="S931" s="24">
        <v>46083</v>
      </c>
      <c r="T931" s="24">
        <v>46076</v>
      </c>
      <c r="U931" s="24">
        <v>47116</v>
      </c>
      <c r="X931" s="24">
        <v>46070</v>
      </c>
      <c r="Y931" s="23">
        <v>1111</v>
      </c>
      <c r="Z931" s="23">
        <v>11400606</v>
      </c>
      <c r="AA931" s="23">
        <v>335103</v>
      </c>
      <c r="AB931" s="24">
        <v>46072</v>
      </c>
    </row>
    <row r="932" spans="2:28" x14ac:dyDescent="0.2">
      <c r="B932" s="23" t="s">
        <v>81</v>
      </c>
      <c r="C932" s="23">
        <v>1100577609</v>
      </c>
      <c r="H932" s="24">
        <v>46106</v>
      </c>
      <c r="O932" s="23">
        <v>1392.42</v>
      </c>
      <c r="P932" s="23" t="s">
        <v>79</v>
      </c>
    </row>
    <row r="933" spans="2:28" x14ac:dyDescent="0.2">
      <c r="C933" s="23">
        <v>1100577971</v>
      </c>
      <c r="E933" s="23">
        <v>10</v>
      </c>
      <c r="F933" s="23" t="s">
        <v>3123</v>
      </c>
      <c r="G933" s="23" t="s">
        <v>3124</v>
      </c>
      <c r="H933" s="24">
        <v>46106</v>
      </c>
      <c r="I933" s="24">
        <v>46106</v>
      </c>
      <c r="J933" s="23" t="s">
        <v>561</v>
      </c>
      <c r="K933" s="23" t="s">
        <v>561</v>
      </c>
      <c r="L933" s="23">
        <v>4</v>
      </c>
      <c r="M933" s="23" t="s">
        <v>78</v>
      </c>
      <c r="N933" s="23" t="s">
        <v>78</v>
      </c>
      <c r="O933" s="23">
        <v>333.4</v>
      </c>
      <c r="P933" s="23" t="s">
        <v>79</v>
      </c>
      <c r="Q933" s="23" t="s">
        <v>83</v>
      </c>
      <c r="R933" s="23">
        <v>11100176</v>
      </c>
      <c r="S933" s="24">
        <v>46106</v>
      </c>
      <c r="T933" s="24">
        <v>46078</v>
      </c>
      <c r="U933" s="24" t="s">
        <v>80</v>
      </c>
      <c r="X933" s="24">
        <v>46072</v>
      </c>
      <c r="Y933" s="23">
        <v>1111</v>
      </c>
      <c r="Z933" s="23">
        <v>11600001</v>
      </c>
      <c r="AA933" s="23">
        <v>335103</v>
      </c>
      <c r="AB933" s="24">
        <v>46077</v>
      </c>
    </row>
    <row r="934" spans="2:28" x14ac:dyDescent="0.2">
      <c r="B934" s="23" t="s">
        <v>81</v>
      </c>
      <c r="C934" s="23">
        <v>1100577971</v>
      </c>
      <c r="H934" s="24">
        <v>46106</v>
      </c>
      <c r="O934" s="23">
        <v>333.4</v>
      </c>
      <c r="P934" s="23" t="s">
        <v>79</v>
      </c>
    </row>
    <row r="935" spans="2:28" x14ac:dyDescent="0.2">
      <c r="C935" s="23">
        <v>1100578160</v>
      </c>
      <c r="E935" s="23">
        <v>10</v>
      </c>
      <c r="F935" s="23" t="s">
        <v>3125</v>
      </c>
      <c r="G935" s="23" t="s">
        <v>3126</v>
      </c>
      <c r="H935" s="24">
        <v>46106</v>
      </c>
      <c r="I935" s="24">
        <v>46106</v>
      </c>
      <c r="J935" s="23" t="s">
        <v>256</v>
      </c>
      <c r="K935" s="23" t="s">
        <v>256</v>
      </c>
      <c r="L935" s="23">
        <v>25</v>
      </c>
      <c r="M935" s="23" t="s">
        <v>78</v>
      </c>
      <c r="N935" s="23" t="s">
        <v>78</v>
      </c>
      <c r="O935" s="23">
        <v>1891.75</v>
      </c>
      <c r="P935" s="23" t="s">
        <v>79</v>
      </c>
      <c r="Q935" s="23" t="s">
        <v>83</v>
      </c>
      <c r="R935" s="23">
        <v>11100176</v>
      </c>
      <c r="S935" s="24">
        <v>46094</v>
      </c>
      <c r="T935" s="24">
        <v>46079</v>
      </c>
      <c r="U935" s="24" t="s">
        <v>80</v>
      </c>
      <c r="X935" s="24">
        <v>46065</v>
      </c>
      <c r="Y935" s="23">
        <v>1111</v>
      </c>
      <c r="Z935" s="23">
        <v>11100320</v>
      </c>
      <c r="AA935" s="23">
        <v>5151</v>
      </c>
      <c r="AB935" s="24">
        <v>46079</v>
      </c>
    </row>
    <row r="936" spans="2:28" x14ac:dyDescent="0.2">
      <c r="B936" s="23" t="s">
        <v>81</v>
      </c>
      <c r="C936" s="23">
        <v>1100578160</v>
      </c>
      <c r="H936" s="24">
        <v>46106</v>
      </c>
      <c r="O936" s="23">
        <v>1891.75</v>
      </c>
      <c r="P936" s="23" t="s">
        <v>79</v>
      </c>
    </row>
    <row r="937" spans="2:28" x14ac:dyDescent="0.2">
      <c r="C937" s="23">
        <v>1100578173</v>
      </c>
      <c r="E937" s="23">
        <v>10</v>
      </c>
      <c r="F937" s="23" t="s">
        <v>277</v>
      </c>
      <c r="G937" s="23" t="s">
        <v>278</v>
      </c>
      <c r="H937" s="24">
        <v>46106</v>
      </c>
      <c r="I937" s="24">
        <v>46106</v>
      </c>
      <c r="J937" s="23" t="s">
        <v>249</v>
      </c>
      <c r="K937" s="23" t="s">
        <v>249</v>
      </c>
      <c r="L937" s="23">
        <v>20</v>
      </c>
      <c r="M937" s="23" t="s">
        <v>78</v>
      </c>
      <c r="N937" s="23" t="s">
        <v>78</v>
      </c>
      <c r="O937" s="23">
        <v>767.4</v>
      </c>
      <c r="P937" s="23" t="s">
        <v>79</v>
      </c>
      <c r="Q937" s="23" t="s">
        <v>83</v>
      </c>
      <c r="R937" s="23">
        <v>11100176</v>
      </c>
      <c r="S937" s="24">
        <v>46093</v>
      </c>
      <c r="T937" s="24">
        <v>46080</v>
      </c>
      <c r="U937" s="24">
        <v>47116</v>
      </c>
      <c r="X937" s="24">
        <v>46078</v>
      </c>
      <c r="Y937" s="23">
        <v>1111</v>
      </c>
      <c r="Z937" s="23">
        <v>11400811</v>
      </c>
      <c r="AA937" s="23">
        <v>3351</v>
      </c>
      <c r="AB937" s="24">
        <v>46079</v>
      </c>
    </row>
    <row r="938" spans="2:28" x14ac:dyDescent="0.2">
      <c r="B938" s="23" t="s">
        <v>81</v>
      </c>
      <c r="C938" s="23">
        <v>1100578173</v>
      </c>
      <c r="H938" s="24">
        <v>46106</v>
      </c>
      <c r="O938" s="23">
        <v>767.4</v>
      </c>
      <c r="P938" s="23" t="s">
        <v>79</v>
      </c>
    </row>
    <row r="939" spans="2:28" x14ac:dyDescent="0.2">
      <c r="C939" s="23">
        <v>1100578456</v>
      </c>
      <c r="E939" s="23">
        <v>10</v>
      </c>
      <c r="F939" s="23" t="s">
        <v>1398</v>
      </c>
      <c r="G939" s="23" t="s">
        <v>1399</v>
      </c>
      <c r="H939" s="24">
        <v>46106</v>
      </c>
      <c r="I939" s="24">
        <v>46106</v>
      </c>
      <c r="J939" s="23" t="s">
        <v>826</v>
      </c>
      <c r="K939" s="23" t="s">
        <v>826</v>
      </c>
      <c r="L939" s="23">
        <v>1</v>
      </c>
      <c r="M939" s="23" t="s">
        <v>78</v>
      </c>
      <c r="N939" s="23" t="s">
        <v>78</v>
      </c>
      <c r="O939" s="23">
        <v>0</v>
      </c>
      <c r="P939" s="23" t="s">
        <v>79</v>
      </c>
      <c r="Q939" s="23" t="s">
        <v>83</v>
      </c>
      <c r="R939" s="23">
        <v>11100176</v>
      </c>
      <c r="S939" s="24" t="s">
        <v>80</v>
      </c>
      <c r="T939" s="24">
        <v>46083</v>
      </c>
      <c r="U939" s="24" t="s">
        <v>80</v>
      </c>
      <c r="X939" s="24">
        <v>46083</v>
      </c>
      <c r="Y939" s="23">
        <v>1111</v>
      </c>
      <c r="Z939" s="23">
        <v>11400797</v>
      </c>
      <c r="AA939" s="23">
        <v>501203</v>
      </c>
      <c r="AB939" s="24">
        <v>46083</v>
      </c>
    </row>
    <row r="940" spans="2:28" x14ac:dyDescent="0.2">
      <c r="B940" s="23" t="s">
        <v>81</v>
      </c>
      <c r="C940" s="23">
        <v>1100578456</v>
      </c>
      <c r="H940" s="24">
        <v>46106</v>
      </c>
      <c r="O940" s="23">
        <v>0</v>
      </c>
      <c r="P940" s="23" t="s">
        <v>79</v>
      </c>
    </row>
    <row r="941" spans="2:28" x14ac:dyDescent="0.2">
      <c r="C941" s="23">
        <v>1100578620</v>
      </c>
      <c r="E941" s="23">
        <v>10</v>
      </c>
      <c r="F941" s="23" t="s">
        <v>3127</v>
      </c>
      <c r="G941" s="23" t="s">
        <v>928</v>
      </c>
      <c r="H941" s="24">
        <v>46106</v>
      </c>
      <c r="I941" s="24">
        <v>46106</v>
      </c>
      <c r="J941" s="23" t="s">
        <v>682</v>
      </c>
      <c r="K941" s="23" t="s">
        <v>682</v>
      </c>
      <c r="L941" s="23">
        <v>2</v>
      </c>
      <c r="M941" s="23" t="s">
        <v>78</v>
      </c>
      <c r="N941" s="23" t="s">
        <v>78</v>
      </c>
      <c r="O941" s="23">
        <v>2051.9</v>
      </c>
      <c r="P941" s="23" t="s">
        <v>79</v>
      </c>
      <c r="Q941" s="23" t="s">
        <v>83</v>
      </c>
      <c r="R941" s="23">
        <v>11100176</v>
      </c>
      <c r="S941" s="24">
        <v>46106</v>
      </c>
      <c r="T941" s="24">
        <v>46085</v>
      </c>
      <c r="U941" s="24" t="s">
        <v>80</v>
      </c>
      <c r="X941" s="24">
        <v>46080</v>
      </c>
      <c r="Y941" s="23">
        <v>1111</v>
      </c>
      <c r="Z941" s="23">
        <v>11600001</v>
      </c>
      <c r="AA941" s="23">
        <v>3351</v>
      </c>
      <c r="AB941" s="24">
        <v>46080</v>
      </c>
    </row>
    <row r="942" spans="2:28" x14ac:dyDescent="0.2">
      <c r="B942" s="23" t="s">
        <v>81</v>
      </c>
      <c r="C942" s="23">
        <v>1100578620</v>
      </c>
      <c r="H942" s="24">
        <v>46106</v>
      </c>
      <c r="O942" s="23">
        <v>2051.9</v>
      </c>
      <c r="P942" s="23" t="s">
        <v>79</v>
      </c>
    </row>
    <row r="943" spans="2:28" x14ac:dyDescent="0.2">
      <c r="C943" s="23">
        <v>1100578625</v>
      </c>
      <c r="E943" s="23">
        <v>10</v>
      </c>
      <c r="F943" s="23" t="s">
        <v>2750</v>
      </c>
      <c r="G943" s="23" t="s">
        <v>2751</v>
      </c>
      <c r="H943" s="24">
        <v>46106</v>
      </c>
      <c r="I943" s="24">
        <v>46106</v>
      </c>
      <c r="J943" s="23" t="s">
        <v>168</v>
      </c>
      <c r="K943" s="23" t="s">
        <v>168</v>
      </c>
      <c r="L943" s="23">
        <v>4</v>
      </c>
      <c r="M943" s="23" t="s">
        <v>78</v>
      </c>
      <c r="N943" s="23" t="s">
        <v>78</v>
      </c>
      <c r="O943" s="23">
        <v>265.44</v>
      </c>
      <c r="P943" s="23" t="s">
        <v>79</v>
      </c>
      <c r="Q943" s="23" t="s">
        <v>83</v>
      </c>
      <c r="R943" s="23">
        <v>11100176</v>
      </c>
      <c r="S943" s="24">
        <v>46106</v>
      </c>
      <c r="T943" s="24">
        <v>46085</v>
      </c>
      <c r="U943" s="24">
        <v>47116</v>
      </c>
      <c r="X943" s="24">
        <v>46084</v>
      </c>
      <c r="Y943" s="23">
        <v>1111</v>
      </c>
      <c r="Z943" s="23">
        <v>11400937</v>
      </c>
      <c r="AA943" s="23">
        <v>525103</v>
      </c>
      <c r="AB943" s="24">
        <v>46084</v>
      </c>
    </row>
    <row r="944" spans="2:28" x14ac:dyDescent="0.2">
      <c r="B944" s="23" t="s">
        <v>81</v>
      </c>
      <c r="C944" s="23">
        <v>1100578625</v>
      </c>
      <c r="H944" s="24">
        <v>46106</v>
      </c>
      <c r="O944" s="23">
        <v>265.44</v>
      </c>
      <c r="P944" s="23" t="s">
        <v>79</v>
      </c>
    </row>
    <row r="945" spans="2:28" x14ac:dyDescent="0.2">
      <c r="C945" s="23">
        <v>1100578642</v>
      </c>
      <c r="E945" s="23">
        <v>10</v>
      </c>
      <c r="F945" s="23" t="s">
        <v>3125</v>
      </c>
      <c r="G945" s="23" t="s">
        <v>3126</v>
      </c>
      <c r="H945" s="24">
        <v>46106</v>
      </c>
      <c r="I945" s="24">
        <v>46106</v>
      </c>
      <c r="J945" s="23" t="s">
        <v>1961</v>
      </c>
      <c r="K945" s="23" t="s">
        <v>1961</v>
      </c>
      <c r="L945" s="23">
        <v>3</v>
      </c>
      <c r="M945" s="23" t="s">
        <v>78</v>
      </c>
      <c r="N945" s="23" t="s">
        <v>78</v>
      </c>
      <c r="O945" s="23">
        <v>231.54</v>
      </c>
      <c r="P945" s="23" t="s">
        <v>79</v>
      </c>
      <c r="Q945" s="23" t="s">
        <v>83</v>
      </c>
      <c r="R945" s="23">
        <v>11100176</v>
      </c>
      <c r="S945" s="24">
        <v>46091</v>
      </c>
      <c r="T945" s="24">
        <v>46085</v>
      </c>
      <c r="U945" s="24" t="s">
        <v>80</v>
      </c>
      <c r="X945" s="24">
        <v>46083</v>
      </c>
      <c r="Y945" s="23">
        <v>1111</v>
      </c>
      <c r="Z945" s="23">
        <v>11600003</v>
      </c>
      <c r="AA945" s="23">
        <v>5051</v>
      </c>
      <c r="AB945" s="24">
        <v>46076</v>
      </c>
    </row>
    <row r="946" spans="2:28" x14ac:dyDescent="0.2">
      <c r="B946" s="23" t="s">
        <v>81</v>
      </c>
      <c r="C946" s="23">
        <v>1100578642</v>
      </c>
      <c r="H946" s="24">
        <v>46106</v>
      </c>
      <c r="O946" s="23">
        <v>231.54</v>
      </c>
      <c r="P946" s="23" t="s">
        <v>79</v>
      </c>
    </row>
    <row r="947" spans="2:28" x14ac:dyDescent="0.2">
      <c r="C947" s="23">
        <v>1100571639</v>
      </c>
      <c r="E947" s="23">
        <v>10</v>
      </c>
      <c r="F947" s="23" t="s">
        <v>2056</v>
      </c>
      <c r="G947" s="23" t="s">
        <v>2057</v>
      </c>
      <c r="H947" s="24">
        <v>46107</v>
      </c>
      <c r="I947" s="24">
        <v>46107</v>
      </c>
      <c r="J947" s="23" t="s">
        <v>272</v>
      </c>
      <c r="K947" s="23" t="s">
        <v>272</v>
      </c>
      <c r="L947" s="23">
        <v>2</v>
      </c>
      <c r="M947" s="23" t="s">
        <v>78</v>
      </c>
      <c r="N947" s="23" t="s">
        <v>78</v>
      </c>
      <c r="O947" s="23">
        <v>4337.46</v>
      </c>
      <c r="P947" s="23" t="s">
        <v>79</v>
      </c>
      <c r="Q947" s="23" t="s">
        <v>83</v>
      </c>
      <c r="R947" s="23">
        <v>11100008</v>
      </c>
      <c r="S947" s="24">
        <v>46078</v>
      </c>
      <c r="T947" s="24">
        <v>46007</v>
      </c>
      <c r="U947" s="24">
        <v>46078</v>
      </c>
      <c r="X947" s="24">
        <v>46006</v>
      </c>
      <c r="Y947" s="23">
        <v>1111</v>
      </c>
      <c r="Z947" s="23">
        <v>11400742</v>
      </c>
      <c r="AA947" s="23">
        <v>3351</v>
      </c>
      <c r="AB947" s="24">
        <v>46006</v>
      </c>
    </row>
    <row r="948" spans="2:28" x14ac:dyDescent="0.2">
      <c r="B948" s="23" t="s">
        <v>81</v>
      </c>
      <c r="C948" s="23">
        <v>1100571639</v>
      </c>
      <c r="H948" s="24">
        <v>46107</v>
      </c>
      <c r="O948" s="23">
        <v>4337.46</v>
      </c>
      <c r="P948" s="23" t="s">
        <v>79</v>
      </c>
    </row>
    <row r="949" spans="2:28" x14ac:dyDescent="0.2">
      <c r="C949" s="23">
        <v>1100573875</v>
      </c>
      <c r="E949" s="23">
        <v>10</v>
      </c>
      <c r="F949" s="23" t="s">
        <v>880</v>
      </c>
      <c r="G949" s="23" t="s">
        <v>2291</v>
      </c>
      <c r="H949" s="24">
        <v>46107</v>
      </c>
      <c r="I949" s="24">
        <v>46107</v>
      </c>
      <c r="J949" s="23" t="s">
        <v>91</v>
      </c>
      <c r="K949" s="23" t="s">
        <v>91</v>
      </c>
      <c r="L949" s="23">
        <v>4</v>
      </c>
      <c r="M949" s="23" t="s">
        <v>78</v>
      </c>
      <c r="N949" s="23" t="s">
        <v>78</v>
      </c>
      <c r="O949" s="23">
        <v>452</v>
      </c>
      <c r="P949" s="23" t="s">
        <v>79</v>
      </c>
      <c r="Q949" s="23" t="s">
        <v>83</v>
      </c>
      <c r="R949" s="23">
        <v>11100176</v>
      </c>
      <c r="S949" s="24">
        <v>46080</v>
      </c>
      <c r="T949" s="24">
        <v>46037</v>
      </c>
      <c r="U949" s="24" t="s">
        <v>80</v>
      </c>
      <c r="X949" s="24">
        <v>46034</v>
      </c>
      <c r="Y949" s="23">
        <v>1111</v>
      </c>
      <c r="Z949" s="23">
        <v>11600003</v>
      </c>
      <c r="AA949" s="23">
        <v>335103</v>
      </c>
      <c r="AB949" s="24">
        <v>46036</v>
      </c>
    </row>
    <row r="950" spans="2:28" x14ac:dyDescent="0.2">
      <c r="C950" s="23">
        <v>1100573875</v>
      </c>
      <c r="E950" s="23">
        <v>20</v>
      </c>
      <c r="F950" s="23" t="s">
        <v>786</v>
      </c>
      <c r="G950" s="23" t="s">
        <v>2292</v>
      </c>
      <c r="H950" s="24">
        <v>46107</v>
      </c>
      <c r="I950" s="24">
        <v>46107</v>
      </c>
      <c r="J950" s="23" t="s">
        <v>91</v>
      </c>
      <c r="K950" s="23" t="s">
        <v>91</v>
      </c>
      <c r="L950" s="23">
        <v>4</v>
      </c>
      <c r="M950" s="23" t="s">
        <v>78</v>
      </c>
      <c r="N950" s="23" t="s">
        <v>78</v>
      </c>
      <c r="O950" s="23">
        <v>220</v>
      </c>
      <c r="P950" s="23" t="s">
        <v>79</v>
      </c>
      <c r="Q950" s="23" t="s">
        <v>83</v>
      </c>
      <c r="R950" s="23">
        <v>11100176</v>
      </c>
      <c r="S950" s="24">
        <v>46080</v>
      </c>
      <c r="T950" s="24">
        <v>46037</v>
      </c>
      <c r="U950" s="24" t="s">
        <v>80</v>
      </c>
      <c r="X950" s="24">
        <v>46034</v>
      </c>
      <c r="Y950" s="23">
        <v>1111</v>
      </c>
      <c r="Z950" s="23">
        <v>11600003</v>
      </c>
      <c r="AA950" s="23">
        <v>335103</v>
      </c>
      <c r="AB950" s="24">
        <v>46036</v>
      </c>
    </row>
    <row r="951" spans="2:28" x14ac:dyDescent="0.2">
      <c r="C951" s="23">
        <v>1100573875</v>
      </c>
      <c r="E951" s="23">
        <v>30</v>
      </c>
      <c r="F951" s="23" t="s">
        <v>82</v>
      </c>
      <c r="G951" s="23" t="s">
        <v>139</v>
      </c>
      <c r="H951" s="24">
        <v>46107</v>
      </c>
      <c r="I951" s="24">
        <v>46107</v>
      </c>
      <c r="J951" s="23" t="s">
        <v>91</v>
      </c>
      <c r="K951" s="23" t="s">
        <v>91</v>
      </c>
      <c r="L951" s="23">
        <v>1</v>
      </c>
      <c r="M951" s="23" t="s">
        <v>78</v>
      </c>
      <c r="N951" s="23" t="s">
        <v>78</v>
      </c>
      <c r="O951" s="23">
        <v>0</v>
      </c>
      <c r="P951" s="23" t="s">
        <v>79</v>
      </c>
      <c r="Q951" s="23" t="s">
        <v>83</v>
      </c>
      <c r="R951" s="23">
        <v>11100176</v>
      </c>
      <c r="S951" s="24">
        <v>46080</v>
      </c>
      <c r="T951" s="24">
        <v>46037</v>
      </c>
      <c r="U951" s="24" t="s">
        <v>80</v>
      </c>
      <c r="X951" s="24">
        <v>46034</v>
      </c>
      <c r="Y951" s="23">
        <v>1111</v>
      </c>
      <c r="Z951" s="23">
        <v>11600003</v>
      </c>
      <c r="AA951" s="23">
        <v>335103</v>
      </c>
      <c r="AB951" s="24">
        <v>46036</v>
      </c>
    </row>
    <row r="952" spans="2:28" x14ac:dyDescent="0.2">
      <c r="B952" s="23" t="s">
        <v>81</v>
      </c>
      <c r="C952" s="23">
        <v>1100573875</v>
      </c>
      <c r="H952" s="24">
        <v>46107</v>
      </c>
      <c r="O952" s="23">
        <v>672</v>
      </c>
      <c r="P952" s="23" t="s">
        <v>79</v>
      </c>
    </row>
    <row r="953" spans="2:28" x14ac:dyDescent="0.2">
      <c r="C953" s="23">
        <v>1100574128</v>
      </c>
      <c r="E953" s="23">
        <v>10</v>
      </c>
      <c r="F953" s="23" t="s">
        <v>880</v>
      </c>
      <c r="G953" s="23" t="s">
        <v>2291</v>
      </c>
      <c r="H953" s="24">
        <v>46107</v>
      </c>
      <c r="I953" s="24">
        <v>46107</v>
      </c>
      <c r="J953" s="23" t="s">
        <v>91</v>
      </c>
      <c r="K953" s="23" t="s">
        <v>91</v>
      </c>
      <c r="L953" s="23">
        <v>4</v>
      </c>
      <c r="M953" s="23" t="s">
        <v>78</v>
      </c>
      <c r="N953" s="23" t="s">
        <v>78</v>
      </c>
      <c r="O953" s="23">
        <v>495.6</v>
      </c>
      <c r="P953" s="23" t="s">
        <v>79</v>
      </c>
      <c r="Q953" s="23" t="s">
        <v>83</v>
      </c>
      <c r="R953" s="23">
        <v>11100176</v>
      </c>
      <c r="S953" s="24">
        <v>46080</v>
      </c>
      <c r="T953" s="24">
        <v>46038</v>
      </c>
      <c r="U953" s="24" t="s">
        <v>80</v>
      </c>
      <c r="X953" s="24">
        <v>46037</v>
      </c>
      <c r="Y953" s="23">
        <v>1111</v>
      </c>
      <c r="Z953" s="23">
        <v>11400811</v>
      </c>
      <c r="AA953" s="23">
        <v>335103</v>
      </c>
      <c r="AB953" s="24">
        <v>46037</v>
      </c>
    </row>
    <row r="954" spans="2:28" x14ac:dyDescent="0.2">
      <c r="C954" s="23">
        <v>1100574128</v>
      </c>
      <c r="E954" s="23">
        <v>20</v>
      </c>
      <c r="F954" s="23" t="s">
        <v>786</v>
      </c>
      <c r="G954" s="23" t="s">
        <v>2292</v>
      </c>
      <c r="H954" s="24">
        <v>46107</v>
      </c>
      <c r="I954" s="24">
        <v>46107</v>
      </c>
      <c r="J954" s="23" t="s">
        <v>91</v>
      </c>
      <c r="K954" s="23" t="s">
        <v>91</v>
      </c>
      <c r="L954" s="23">
        <v>4</v>
      </c>
      <c r="M954" s="23" t="s">
        <v>78</v>
      </c>
      <c r="N954" s="23" t="s">
        <v>78</v>
      </c>
      <c r="O954" s="23">
        <v>241.24</v>
      </c>
      <c r="P954" s="23" t="s">
        <v>79</v>
      </c>
      <c r="Q954" s="23" t="s">
        <v>83</v>
      </c>
      <c r="R954" s="23">
        <v>11100176</v>
      </c>
      <c r="S954" s="24">
        <v>46080</v>
      </c>
      <c r="T954" s="24">
        <v>46038</v>
      </c>
      <c r="U954" s="24" t="s">
        <v>80</v>
      </c>
      <c r="X954" s="24">
        <v>46037</v>
      </c>
      <c r="Y954" s="23">
        <v>1111</v>
      </c>
      <c r="Z954" s="23">
        <v>11400811</v>
      </c>
      <c r="AA954" s="23">
        <v>335103</v>
      </c>
      <c r="AB954" s="24">
        <v>46037</v>
      </c>
    </row>
    <row r="955" spans="2:28" x14ac:dyDescent="0.2">
      <c r="C955" s="23">
        <v>1100574128</v>
      </c>
      <c r="E955" s="23">
        <v>30</v>
      </c>
      <c r="F955" s="23" t="s">
        <v>82</v>
      </c>
      <c r="G955" s="23" t="s">
        <v>139</v>
      </c>
      <c r="H955" s="24">
        <v>46107</v>
      </c>
      <c r="I955" s="24">
        <v>46107</v>
      </c>
      <c r="J955" s="23" t="s">
        <v>91</v>
      </c>
      <c r="K955" s="23" t="s">
        <v>91</v>
      </c>
      <c r="L955" s="23">
        <v>1</v>
      </c>
      <c r="M955" s="23" t="s">
        <v>78</v>
      </c>
      <c r="N955" s="23" t="s">
        <v>78</v>
      </c>
      <c r="O955" s="23">
        <v>0.01</v>
      </c>
      <c r="P955" s="23" t="s">
        <v>79</v>
      </c>
      <c r="Q955" s="23" t="s">
        <v>83</v>
      </c>
      <c r="R955" s="23">
        <v>11100176</v>
      </c>
      <c r="S955" s="24" t="s">
        <v>80</v>
      </c>
      <c r="T955" s="24">
        <v>46038</v>
      </c>
      <c r="U955" s="24" t="s">
        <v>80</v>
      </c>
      <c r="X955" s="24">
        <v>46037</v>
      </c>
      <c r="Y955" s="23">
        <v>1111</v>
      </c>
      <c r="Z955" s="23">
        <v>11400811</v>
      </c>
      <c r="AA955" s="23">
        <v>335103</v>
      </c>
      <c r="AB955" s="24">
        <v>46037</v>
      </c>
    </row>
    <row r="956" spans="2:28" x14ac:dyDescent="0.2">
      <c r="B956" s="23" t="s">
        <v>81</v>
      </c>
      <c r="C956" s="23">
        <v>1100574128</v>
      </c>
      <c r="H956" s="24">
        <v>46107</v>
      </c>
      <c r="O956" s="23">
        <v>736.85</v>
      </c>
      <c r="P956" s="23" t="s">
        <v>79</v>
      </c>
    </row>
    <row r="957" spans="2:28" x14ac:dyDescent="0.2">
      <c r="C957" s="23">
        <v>1100574453</v>
      </c>
      <c r="E957" s="23">
        <v>10</v>
      </c>
      <c r="F957" s="23" t="s">
        <v>3128</v>
      </c>
      <c r="G957" s="23" t="s">
        <v>1836</v>
      </c>
      <c r="H957" s="24">
        <v>46107</v>
      </c>
      <c r="I957" s="24">
        <v>46107</v>
      </c>
      <c r="J957" s="23" t="s">
        <v>3129</v>
      </c>
      <c r="K957" s="23" t="s">
        <v>3129</v>
      </c>
      <c r="L957" s="23">
        <v>1</v>
      </c>
      <c r="M957" s="23" t="s">
        <v>78</v>
      </c>
      <c r="N957" s="23" t="s">
        <v>78</v>
      </c>
      <c r="O957" s="23">
        <v>3882.12</v>
      </c>
      <c r="P957" s="23" t="s">
        <v>79</v>
      </c>
      <c r="Q957" s="23" t="s">
        <v>83</v>
      </c>
      <c r="R957" s="23">
        <v>11100176</v>
      </c>
      <c r="S957" s="24">
        <v>46072</v>
      </c>
      <c r="T957" s="24">
        <v>46044</v>
      </c>
      <c r="U957" s="24">
        <v>47116</v>
      </c>
      <c r="X957" s="24">
        <v>46043</v>
      </c>
      <c r="Y957" s="23">
        <v>1111</v>
      </c>
      <c r="Z957" s="23">
        <v>11100137</v>
      </c>
      <c r="AA957" s="23">
        <v>335103</v>
      </c>
      <c r="AB957" s="24">
        <v>46041</v>
      </c>
    </row>
    <row r="958" spans="2:28" x14ac:dyDescent="0.2">
      <c r="C958" s="23">
        <v>1100574453</v>
      </c>
      <c r="E958" s="23">
        <v>50</v>
      </c>
      <c r="F958" s="23" t="s">
        <v>209</v>
      </c>
      <c r="G958" s="23" t="s">
        <v>210</v>
      </c>
      <c r="H958" s="24">
        <v>46107</v>
      </c>
      <c r="I958" s="24">
        <v>46107</v>
      </c>
      <c r="J958" s="23" t="s">
        <v>3129</v>
      </c>
      <c r="K958" s="23" t="s">
        <v>3129</v>
      </c>
      <c r="L958" s="23">
        <v>1</v>
      </c>
      <c r="M958" s="23" t="s">
        <v>78</v>
      </c>
      <c r="N958" s="23" t="s">
        <v>78</v>
      </c>
      <c r="O958" s="23">
        <v>0</v>
      </c>
      <c r="P958" s="23" t="s">
        <v>79</v>
      </c>
      <c r="Q958" s="23" t="s">
        <v>83</v>
      </c>
      <c r="R958" s="23">
        <v>11100176</v>
      </c>
      <c r="S958" s="24" t="s">
        <v>80</v>
      </c>
      <c r="T958" s="24">
        <v>46044</v>
      </c>
      <c r="U958" s="24">
        <v>46107</v>
      </c>
      <c r="X958" s="24">
        <v>46043</v>
      </c>
      <c r="Y958" s="23">
        <v>1111</v>
      </c>
      <c r="Z958" s="23">
        <v>11100137</v>
      </c>
      <c r="AA958" s="23">
        <v>335103</v>
      </c>
      <c r="AB958" s="24">
        <v>46041</v>
      </c>
    </row>
    <row r="959" spans="2:28" x14ac:dyDescent="0.2">
      <c r="B959" s="23" t="s">
        <v>81</v>
      </c>
      <c r="C959" s="23">
        <v>1100574453</v>
      </c>
      <c r="H959" s="24">
        <v>46107</v>
      </c>
      <c r="O959" s="23">
        <v>3882.12</v>
      </c>
      <c r="P959" s="23" t="s">
        <v>79</v>
      </c>
    </row>
    <row r="960" spans="2:28" x14ac:dyDescent="0.2">
      <c r="C960" s="23">
        <v>1100574703</v>
      </c>
      <c r="E960" s="23">
        <v>40</v>
      </c>
      <c r="F960" s="23" t="s">
        <v>3130</v>
      </c>
      <c r="G960" s="23" t="s">
        <v>3131</v>
      </c>
      <c r="H960" s="24">
        <v>46107</v>
      </c>
      <c r="I960" s="24">
        <v>46107</v>
      </c>
      <c r="J960" s="23" t="s">
        <v>257</v>
      </c>
      <c r="K960" s="23" t="s">
        <v>257</v>
      </c>
      <c r="L960" s="23">
        <v>2</v>
      </c>
      <c r="M960" s="23" t="s">
        <v>78</v>
      </c>
      <c r="N960" s="23" t="s">
        <v>78</v>
      </c>
      <c r="O960" s="23">
        <v>1627.2</v>
      </c>
      <c r="P960" s="23" t="s">
        <v>79</v>
      </c>
      <c r="Q960" s="23" t="s">
        <v>83</v>
      </c>
      <c r="R960" s="23">
        <v>11100176</v>
      </c>
      <c r="S960" s="24">
        <v>46108</v>
      </c>
      <c r="T960" s="24">
        <v>46045</v>
      </c>
      <c r="U960" s="24">
        <v>46752</v>
      </c>
      <c r="X960" s="24">
        <v>46044</v>
      </c>
      <c r="Y960" s="23">
        <v>1111</v>
      </c>
      <c r="Z960" s="23">
        <v>11400606</v>
      </c>
      <c r="AA960" s="23">
        <v>3951</v>
      </c>
      <c r="AB960" s="24">
        <v>46044</v>
      </c>
    </row>
    <row r="961" spans="2:28" x14ac:dyDescent="0.2">
      <c r="C961" s="23">
        <v>1100574703</v>
      </c>
      <c r="E961" s="23">
        <v>50</v>
      </c>
      <c r="F961" s="23" t="s">
        <v>3132</v>
      </c>
      <c r="G961" s="23" t="s">
        <v>3133</v>
      </c>
      <c r="H961" s="24">
        <v>46107</v>
      </c>
      <c r="I961" s="24">
        <v>46107</v>
      </c>
      <c r="J961" s="23" t="s">
        <v>257</v>
      </c>
      <c r="K961" s="23" t="s">
        <v>257</v>
      </c>
      <c r="L961" s="23">
        <v>1</v>
      </c>
      <c r="M961" s="23" t="s">
        <v>78</v>
      </c>
      <c r="N961" s="23" t="s">
        <v>78</v>
      </c>
      <c r="O961" s="23">
        <v>3120</v>
      </c>
      <c r="P961" s="23" t="s">
        <v>79</v>
      </c>
      <c r="Q961" s="23" t="s">
        <v>83</v>
      </c>
      <c r="R961" s="23">
        <v>11100176</v>
      </c>
      <c r="S961" s="24">
        <v>46108</v>
      </c>
      <c r="T961" s="24">
        <v>46045</v>
      </c>
      <c r="U961" s="24">
        <v>46752</v>
      </c>
      <c r="X961" s="24">
        <v>46044</v>
      </c>
      <c r="Y961" s="23">
        <v>1111</v>
      </c>
      <c r="Z961" s="23">
        <v>11400606</v>
      </c>
      <c r="AA961" s="23">
        <v>3951</v>
      </c>
      <c r="AB961" s="24">
        <v>46044</v>
      </c>
    </row>
    <row r="962" spans="2:28" x14ac:dyDescent="0.2">
      <c r="B962" s="23" t="s">
        <v>81</v>
      </c>
      <c r="C962" s="23">
        <v>1100574703</v>
      </c>
      <c r="H962" s="24">
        <v>46107</v>
      </c>
      <c r="O962" s="23">
        <v>4747.2</v>
      </c>
      <c r="P962" s="23" t="s">
        <v>79</v>
      </c>
    </row>
    <row r="963" spans="2:28" x14ac:dyDescent="0.2">
      <c r="C963" s="23">
        <v>1100576069</v>
      </c>
      <c r="E963" s="23">
        <v>10</v>
      </c>
      <c r="F963" s="23" t="s">
        <v>3134</v>
      </c>
      <c r="G963" s="23" t="s">
        <v>3135</v>
      </c>
      <c r="H963" s="24">
        <v>46107</v>
      </c>
      <c r="I963" s="24">
        <v>46107</v>
      </c>
      <c r="J963" s="23" t="s">
        <v>500</v>
      </c>
      <c r="K963" s="23" t="s">
        <v>500</v>
      </c>
      <c r="L963" s="23">
        <v>4</v>
      </c>
      <c r="M963" s="23" t="s">
        <v>78</v>
      </c>
      <c r="N963" s="23" t="s">
        <v>78</v>
      </c>
      <c r="O963" s="23">
        <v>5504.44</v>
      </c>
      <c r="P963" s="23" t="s">
        <v>79</v>
      </c>
      <c r="Q963" s="23" t="s">
        <v>83</v>
      </c>
      <c r="R963" s="23">
        <v>11100176</v>
      </c>
      <c r="S963" s="24">
        <v>46079</v>
      </c>
      <c r="T963" s="24">
        <v>46058</v>
      </c>
      <c r="U963" s="24" t="s">
        <v>80</v>
      </c>
      <c r="X963" s="24">
        <v>46057</v>
      </c>
      <c r="Y963" s="23">
        <v>1111</v>
      </c>
      <c r="Z963" s="23">
        <v>11400895</v>
      </c>
      <c r="AA963" s="23">
        <v>395103</v>
      </c>
      <c r="AB963" s="24">
        <v>46057</v>
      </c>
    </row>
    <row r="964" spans="2:28" x14ac:dyDescent="0.2">
      <c r="B964" s="23" t="s">
        <v>81</v>
      </c>
      <c r="C964" s="23">
        <v>1100576069</v>
      </c>
      <c r="H964" s="24">
        <v>46107</v>
      </c>
      <c r="O964" s="23">
        <v>5504.44</v>
      </c>
      <c r="P964" s="23" t="s">
        <v>79</v>
      </c>
    </row>
    <row r="965" spans="2:28" x14ac:dyDescent="0.2">
      <c r="C965" s="23">
        <v>1100576448</v>
      </c>
      <c r="E965" s="23">
        <v>10</v>
      </c>
      <c r="F965" s="23" t="s">
        <v>1981</v>
      </c>
      <c r="G965" s="23" t="s">
        <v>1982</v>
      </c>
      <c r="H965" s="24">
        <v>46107</v>
      </c>
      <c r="I965" s="24">
        <v>46107</v>
      </c>
      <c r="J965" s="23" t="s">
        <v>257</v>
      </c>
      <c r="K965" s="23" t="s">
        <v>257</v>
      </c>
      <c r="L965" s="23">
        <v>1</v>
      </c>
      <c r="M965" s="23" t="s">
        <v>78</v>
      </c>
      <c r="N965" s="23" t="s">
        <v>78</v>
      </c>
      <c r="O965" s="23">
        <v>704.43</v>
      </c>
      <c r="P965" s="23" t="s">
        <v>79</v>
      </c>
      <c r="Q965" s="23" t="s">
        <v>83</v>
      </c>
      <c r="R965" s="23">
        <v>11100176</v>
      </c>
      <c r="S965" s="24">
        <v>46107</v>
      </c>
      <c r="T965" s="24">
        <v>46063</v>
      </c>
      <c r="U965" s="24" t="s">
        <v>80</v>
      </c>
      <c r="X965" s="24">
        <v>46062</v>
      </c>
      <c r="Y965" s="23">
        <v>1111</v>
      </c>
      <c r="Z965" s="23">
        <v>11100137</v>
      </c>
      <c r="AA965" s="23">
        <v>3351</v>
      </c>
      <c r="AB965" s="24">
        <v>46062</v>
      </c>
    </row>
    <row r="966" spans="2:28" x14ac:dyDescent="0.2">
      <c r="B966" s="23" t="s">
        <v>81</v>
      </c>
      <c r="C966" s="23">
        <v>1100576448</v>
      </c>
      <c r="H966" s="24">
        <v>46107</v>
      </c>
      <c r="O966" s="23">
        <v>704.43</v>
      </c>
      <c r="P966" s="23" t="s">
        <v>79</v>
      </c>
    </row>
    <row r="967" spans="2:28" x14ac:dyDescent="0.2">
      <c r="C967" s="23">
        <v>1100576523</v>
      </c>
      <c r="E967" s="23">
        <v>10</v>
      </c>
      <c r="F967" s="23" t="s">
        <v>3136</v>
      </c>
      <c r="G967" s="23" t="s">
        <v>3137</v>
      </c>
      <c r="H967" s="24">
        <v>46107</v>
      </c>
      <c r="I967" s="24">
        <v>46107</v>
      </c>
      <c r="J967" s="23" t="s">
        <v>1947</v>
      </c>
      <c r="K967" s="23" t="s">
        <v>1947</v>
      </c>
      <c r="L967" s="23">
        <v>1</v>
      </c>
      <c r="M967" s="23" t="s">
        <v>78</v>
      </c>
      <c r="N967" s="23" t="s">
        <v>78</v>
      </c>
      <c r="O967" s="23">
        <v>831.45</v>
      </c>
      <c r="P967" s="23" t="s">
        <v>79</v>
      </c>
      <c r="Q967" s="23" t="s">
        <v>83</v>
      </c>
      <c r="R967" s="23">
        <v>11100176</v>
      </c>
      <c r="S967" s="24">
        <v>46107</v>
      </c>
      <c r="T967" s="24">
        <v>46064</v>
      </c>
      <c r="U967" s="24" t="s">
        <v>80</v>
      </c>
      <c r="X967" s="24">
        <v>46063</v>
      </c>
      <c r="Y967" s="23">
        <v>1111</v>
      </c>
      <c r="Z967" s="23">
        <v>11100137</v>
      </c>
      <c r="AA967" s="23">
        <v>3351</v>
      </c>
      <c r="AB967" s="24">
        <v>46063</v>
      </c>
    </row>
    <row r="968" spans="2:28" x14ac:dyDescent="0.2">
      <c r="C968" s="23">
        <v>1100576523</v>
      </c>
      <c r="E968" s="23">
        <v>20</v>
      </c>
      <c r="F968" s="23" t="s">
        <v>82</v>
      </c>
      <c r="G968" s="23" t="s">
        <v>139</v>
      </c>
      <c r="H968" s="24">
        <v>46107</v>
      </c>
      <c r="I968" s="24">
        <v>46107</v>
      </c>
      <c r="J968" s="23" t="s">
        <v>1947</v>
      </c>
      <c r="K968" s="23" t="s">
        <v>1947</v>
      </c>
      <c r="L968" s="23">
        <v>1</v>
      </c>
      <c r="M968" s="23" t="s">
        <v>78</v>
      </c>
      <c r="N968" s="23" t="s">
        <v>78</v>
      </c>
      <c r="O968" s="23">
        <v>0.01</v>
      </c>
      <c r="P968" s="23" t="s">
        <v>79</v>
      </c>
      <c r="Q968" s="23" t="s">
        <v>83</v>
      </c>
      <c r="R968" s="23">
        <v>11100176</v>
      </c>
      <c r="S968" s="24" t="s">
        <v>80</v>
      </c>
      <c r="T968" s="24">
        <v>46064</v>
      </c>
      <c r="U968" s="24" t="s">
        <v>80</v>
      </c>
      <c r="X968" s="24">
        <v>46063</v>
      </c>
      <c r="Y968" s="23">
        <v>1111</v>
      </c>
      <c r="Z968" s="23">
        <v>11100137</v>
      </c>
      <c r="AA968" s="23">
        <v>3351</v>
      </c>
      <c r="AB968" s="24">
        <v>46063</v>
      </c>
    </row>
    <row r="969" spans="2:28" x14ac:dyDescent="0.2">
      <c r="B969" s="23" t="s">
        <v>81</v>
      </c>
      <c r="C969" s="23">
        <v>1100576523</v>
      </c>
      <c r="H969" s="24">
        <v>46107</v>
      </c>
      <c r="O969" s="23">
        <v>831.46</v>
      </c>
      <c r="P969" s="23" t="s">
        <v>79</v>
      </c>
    </row>
    <row r="970" spans="2:28" x14ac:dyDescent="0.2">
      <c r="C970" s="23">
        <v>1100576566</v>
      </c>
      <c r="E970" s="23">
        <v>10</v>
      </c>
      <c r="F970" s="23" t="s">
        <v>2669</v>
      </c>
      <c r="G970" s="23" t="s">
        <v>2670</v>
      </c>
      <c r="H970" s="24">
        <v>46107</v>
      </c>
      <c r="I970" s="24">
        <v>46107</v>
      </c>
      <c r="J970" s="23" t="s">
        <v>871</v>
      </c>
      <c r="K970" s="23" t="s">
        <v>871</v>
      </c>
      <c r="L970" s="23">
        <v>1</v>
      </c>
      <c r="M970" s="23" t="s">
        <v>78</v>
      </c>
      <c r="N970" s="23" t="s">
        <v>78</v>
      </c>
      <c r="O970" s="23">
        <v>272.37</v>
      </c>
      <c r="P970" s="23" t="s">
        <v>79</v>
      </c>
      <c r="Q970" s="23" t="s">
        <v>83</v>
      </c>
      <c r="R970" s="23">
        <v>11100176</v>
      </c>
      <c r="S970" s="24">
        <v>46107</v>
      </c>
      <c r="T970" s="24">
        <v>46064</v>
      </c>
      <c r="U970" s="24">
        <v>46072</v>
      </c>
      <c r="X970" s="24">
        <v>46062</v>
      </c>
      <c r="Y970" s="23">
        <v>1111</v>
      </c>
      <c r="Z970" s="23">
        <v>11400606</v>
      </c>
      <c r="AA970" s="23">
        <v>395103</v>
      </c>
      <c r="AB970" s="24">
        <v>46057</v>
      </c>
    </row>
    <row r="971" spans="2:28" x14ac:dyDescent="0.2">
      <c r="C971" s="23">
        <v>1100576566</v>
      </c>
      <c r="E971" s="23">
        <v>20</v>
      </c>
      <c r="F971" s="23" t="s">
        <v>769</v>
      </c>
      <c r="G971" s="23" t="s">
        <v>770</v>
      </c>
      <c r="H971" s="24">
        <v>46107</v>
      </c>
      <c r="I971" s="24">
        <v>46107</v>
      </c>
      <c r="J971" s="23" t="s">
        <v>871</v>
      </c>
      <c r="K971" s="23" t="s">
        <v>871</v>
      </c>
      <c r="L971" s="23">
        <v>1</v>
      </c>
      <c r="M971" s="23" t="s">
        <v>78</v>
      </c>
      <c r="N971" s="23" t="s">
        <v>78</v>
      </c>
      <c r="O971" s="23">
        <v>150.22</v>
      </c>
      <c r="P971" s="23" t="s">
        <v>79</v>
      </c>
      <c r="Q971" s="23" t="s">
        <v>83</v>
      </c>
      <c r="R971" s="23">
        <v>11100176</v>
      </c>
      <c r="S971" s="24">
        <v>46107</v>
      </c>
      <c r="T971" s="24">
        <v>46064</v>
      </c>
      <c r="U971" s="24">
        <v>46072</v>
      </c>
      <c r="X971" s="24">
        <v>46062</v>
      </c>
      <c r="Y971" s="23">
        <v>1111</v>
      </c>
      <c r="Z971" s="23">
        <v>11400606</v>
      </c>
      <c r="AA971" s="23">
        <v>395103</v>
      </c>
      <c r="AB971" s="24">
        <v>46057</v>
      </c>
    </row>
    <row r="972" spans="2:28" x14ac:dyDescent="0.2">
      <c r="C972" s="23">
        <v>1100576566</v>
      </c>
      <c r="E972" s="23">
        <v>30</v>
      </c>
      <c r="F972" s="23" t="s">
        <v>1796</v>
      </c>
      <c r="G972" s="23" t="s">
        <v>3138</v>
      </c>
      <c r="H972" s="24">
        <v>46107</v>
      </c>
      <c r="I972" s="24">
        <v>46107</v>
      </c>
      <c r="J972" s="23" t="s">
        <v>871</v>
      </c>
      <c r="K972" s="23" t="s">
        <v>871</v>
      </c>
      <c r="L972" s="23">
        <v>1</v>
      </c>
      <c r="M972" s="23" t="s">
        <v>78</v>
      </c>
      <c r="N972" s="23" t="s">
        <v>78</v>
      </c>
      <c r="O972" s="23">
        <v>91</v>
      </c>
      <c r="P972" s="23" t="s">
        <v>79</v>
      </c>
      <c r="Q972" s="23" t="s">
        <v>83</v>
      </c>
      <c r="R972" s="23">
        <v>11100176</v>
      </c>
      <c r="S972" s="24">
        <v>46107</v>
      </c>
      <c r="T972" s="24">
        <v>46064</v>
      </c>
      <c r="U972" s="24">
        <v>46072</v>
      </c>
      <c r="X972" s="24">
        <v>46062</v>
      </c>
      <c r="Y972" s="23">
        <v>1111</v>
      </c>
      <c r="Z972" s="23">
        <v>11400606</v>
      </c>
      <c r="AA972" s="23">
        <v>395103</v>
      </c>
      <c r="AB972" s="24">
        <v>46057</v>
      </c>
    </row>
    <row r="973" spans="2:28" x14ac:dyDescent="0.2">
      <c r="C973" s="23">
        <v>1100576566</v>
      </c>
      <c r="E973" s="23">
        <v>40</v>
      </c>
      <c r="F973" s="23" t="s">
        <v>3139</v>
      </c>
      <c r="G973" s="23" t="s">
        <v>3140</v>
      </c>
      <c r="H973" s="24">
        <v>46107</v>
      </c>
      <c r="I973" s="24">
        <v>46107</v>
      </c>
      <c r="J973" s="23" t="s">
        <v>871</v>
      </c>
      <c r="K973" s="23" t="s">
        <v>871</v>
      </c>
      <c r="L973" s="23">
        <v>1</v>
      </c>
      <c r="M973" s="23" t="s">
        <v>78</v>
      </c>
      <c r="N973" s="23" t="s">
        <v>78</v>
      </c>
      <c r="O973" s="23">
        <v>1538.39</v>
      </c>
      <c r="P973" s="23" t="s">
        <v>79</v>
      </c>
      <c r="Q973" s="23" t="s">
        <v>83</v>
      </c>
      <c r="R973" s="23">
        <v>11100176</v>
      </c>
      <c r="S973" s="24">
        <v>46107</v>
      </c>
      <c r="T973" s="24">
        <v>46064</v>
      </c>
      <c r="U973" s="24">
        <v>47116</v>
      </c>
      <c r="X973" s="24">
        <v>46062</v>
      </c>
      <c r="Y973" s="23">
        <v>1111</v>
      </c>
      <c r="Z973" s="23">
        <v>11400606</v>
      </c>
      <c r="AA973" s="23">
        <v>395103</v>
      </c>
      <c r="AB973" s="24">
        <v>46057</v>
      </c>
    </row>
    <row r="974" spans="2:28" x14ac:dyDescent="0.2">
      <c r="C974" s="23">
        <v>1100576566</v>
      </c>
      <c r="E974" s="23">
        <v>50</v>
      </c>
      <c r="F974" s="23" t="s">
        <v>3141</v>
      </c>
      <c r="G974" s="23" t="s">
        <v>3142</v>
      </c>
      <c r="H974" s="24">
        <v>46107</v>
      </c>
      <c r="I974" s="24">
        <v>46107</v>
      </c>
      <c r="J974" s="23" t="s">
        <v>871</v>
      </c>
      <c r="K974" s="23" t="s">
        <v>871</v>
      </c>
      <c r="L974" s="23">
        <v>1</v>
      </c>
      <c r="M974" s="23" t="s">
        <v>78</v>
      </c>
      <c r="N974" s="23" t="s">
        <v>78</v>
      </c>
      <c r="O974" s="23">
        <v>1328.88</v>
      </c>
      <c r="P974" s="23" t="s">
        <v>79</v>
      </c>
      <c r="Q974" s="23" t="s">
        <v>83</v>
      </c>
      <c r="R974" s="23">
        <v>11100176</v>
      </c>
      <c r="S974" s="24">
        <v>46107</v>
      </c>
      <c r="T974" s="24">
        <v>46064</v>
      </c>
      <c r="U974" s="24">
        <v>47116</v>
      </c>
      <c r="X974" s="24">
        <v>46062</v>
      </c>
      <c r="Y974" s="23">
        <v>1111</v>
      </c>
      <c r="Z974" s="23">
        <v>11400606</v>
      </c>
      <c r="AA974" s="23">
        <v>395103</v>
      </c>
      <c r="AB974" s="24">
        <v>46057</v>
      </c>
    </row>
    <row r="975" spans="2:28" x14ac:dyDescent="0.2">
      <c r="C975" s="23">
        <v>1100576566</v>
      </c>
      <c r="E975" s="23">
        <v>60</v>
      </c>
      <c r="F975" s="23" t="s">
        <v>3143</v>
      </c>
      <c r="G975" s="23" t="s">
        <v>3144</v>
      </c>
      <c r="H975" s="24">
        <v>46107</v>
      </c>
      <c r="I975" s="24">
        <v>46107</v>
      </c>
      <c r="J975" s="23" t="s">
        <v>871</v>
      </c>
      <c r="K975" s="23" t="s">
        <v>871</v>
      </c>
      <c r="L975" s="23">
        <v>1</v>
      </c>
      <c r="M975" s="23" t="s">
        <v>78</v>
      </c>
      <c r="N975" s="23" t="s">
        <v>78</v>
      </c>
      <c r="O975" s="23">
        <v>96.84</v>
      </c>
      <c r="P975" s="23" t="s">
        <v>79</v>
      </c>
      <c r="Q975" s="23" t="s">
        <v>83</v>
      </c>
      <c r="R975" s="23">
        <v>11100176</v>
      </c>
      <c r="S975" s="24">
        <v>46107</v>
      </c>
      <c r="T975" s="24">
        <v>46064</v>
      </c>
      <c r="U975" s="24">
        <v>47116</v>
      </c>
      <c r="X975" s="24">
        <v>46062</v>
      </c>
      <c r="Y975" s="23">
        <v>1111</v>
      </c>
      <c r="Z975" s="23">
        <v>11400606</v>
      </c>
      <c r="AA975" s="23">
        <v>395103</v>
      </c>
      <c r="AB975" s="24">
        <v>46057</v>
      </c>
    </row>
    <row r="976" spans="2:28" x14ac:dyDescent="0.2">
      <c r="C976" s="23">
        <v>1100576566</v>
      </c>
      <c r="E976" s="23">
        <v>70</v>
      </c>
      <c r="F976" s="23" t="s">
        <v>3145</v>
      </c>
      <c r="G976" s="23" t="s">
        <v>3146</v>
      </c>
      <c r="H976" s="24">
        <v>46107</v>
      </c>
      <c r="I976" s="24">
        <v>46107</v>
      </c>
      <c r="J976" s="23" t="s">
        <v>871</v>
      </c>
      <c r="K976" s="23" t="s">
        <v>871</v>
      </c>
      <c r="L976" s="23">
        <v>1</v>
      </c>
      <c r="M976" s="23" t="s">
        <v>78</v>
      </c>
      <c r="N976" s="23" t="s">
        <v>78</v>
      </c>
      <c r="O976" s="23">
        <v>213.82</v>
      </c>
      <c r="P976" s="23" t="s">
        <v>79</v>
      </c>
      <c r="Q976" s="23" t="s">
        <v>83</v>
      </c>
      <c r="R976" s="23">
        <v>11100176</v>
      </c>
      <c r="S976" s="24">
        <v>46107</v>
      </c>
      <c r="T976" s="24">
        <v>46064</v>
      </c>
      <c r="U976" s="24">
        <v>47116</v>
      </c>
      <c r="X976" s="24">
        <v>46062</v>
      </c>
      <c r="Y976" s="23">
        <v>1111</v>
      </c>
      <c r="Z976" s="23">
        <v>11400606</v>
      </c>
      <c r="AA976" s="23">
        <v>395103</v>
      </c>
      <c r="AB976" s="24">
        <v>46057</v>
      </c>
    </row>
    <row r="977" spans="2:28" x14ac:dyDescent="0.2">
      <c r="C977" s="23">
        <v>1100576566</v>
      </c>
      <c r="E977" s="23">
        <v>80</v>
      </c>
      <c r="F977" s="23" t="s">
        <v>739</v>
      </c>
      <c r="G977" s="23" t="s">
        <v>740</v>
      </c>
      <c r="H977" s="24">
        <v>46107</v>
      </c>
      <c r="I977" s="24">
        <v>46107</v>
      </c>
      <c r="J977" s="23" t="s">
        <v>871</v>
      </c>
      <c r="K977" s="23" t="s">
        <v>871</v>
      </c>
      <c r="L977" s="23">
        <v>1</v>
      </c>
      <c r="M977" s="23" t="s">
        <v>78</v>
      </c>
      <c r="N977" s="23" t="s">
        <v>78</v>
      </c>
      <c r="O977" s="23">
        <v>37.28</v>
      </c>
      <c r="P977" s="23" t="s">
        <v>79</v>
      </c>
      <c r="Q977" s="23" t="s">
        <v>83</v>
      </c>
      <c r="R977" s="23">
        <v>11100176</v>
      </c>
      <c r="S977" s="24">
        <v>46107</v>
      </c>
      <c r="T977" s="24">
        <v>46064</v>
      </c>
      <c r="U977" s="24">
        <v>46072</v>
      </c>
      <c r="X977" s="24">
        <v>46062</v>
      </c>
      <c r="Y977" s="23">
        <v>1111</v>
      </c>
      <c r="Z977" s="23">
        <v>11400606</v>
      </c>
      <c r="AA977" s="23">
        <v>395103</v>
      </c>
      <c r="AB977" s="24">
        <v>46057</v>
      </c>
    </row>
    <row r="978" spans="2:28" x14ac:dyDescent="0.2">
      <c r="C978" s="23">
        <v>1100576566</v>
      </c>
      <c r="E978" s="23">
        <v>90</v>
      </c>
      <c r="F978" s="23" t="s">
        <v>857</v>
      </c>
      <c r="G978" s="23" t="s">
        <v>858</v>
      </c>
      <c r="H978" s="24">
        <v>46107</v>
      </c>
      <c r="I978" s="24">
        <v>46107</v>
      </c>
      <c r="J978" s="23" t="s">
        <v>871</v>
      </c>
      <c r="K978" s="23" t="s">
        <v>871</v>
      </c>
      <c r="L978" s="23">
        <v>1</v>
      </c>
      <c r="M978" s="23" t="s">
        <v>78</v>
      </c>
      <c r="N978" s="23" t="s">
        <v>78</v>
      </c>
      <c r="O978" s="23">
        <v>73.47</v>
      </c>
      <c r="P978" s="23" t="s">
        <v>79</v>
      </c>
      <c r="Q978" s="23" t="s">
        <v>83</v>
      </c>
      <c r="R978" s="23">
        <v>11100176</v>
      </c>
      <c r="S978" s="24">
        <v>46107</v>
      </c>
      <c r="T978" s="24">
        <v>46064</v>
      </c>
      <c r="U978" s="24">
        <v>46072</v>
      </c>
      <c r="X978" s="24">
        <v>46062</v>
      </c>
      <c r="Y978" s="23">
        <v>1111</v>
      </c>
      <c r="Z978" s="23">
        <v>11400606</v>
      </c>
      <c r="AA978" s="23">
        <v>395103</v>
      </c>
      <c r="AB978" s="24">
        <v>46057</v>
      </c>
    </row>
    <row r="979" spans="2:28" x14ac:dyDescent="0.2">
      <c r="C979" s="23">
        <v>1100576566</v>
      </c>
      <c r="E979" s="23">
        <v>100</v>
      </c>
      <c r="F979" s="23" t="s">
        <v>2039</v>
      </c>
      <c r="G979" s="23" t="s">
        <v>2040</v>
      </c>
      <c r="H979" s="24">
        <v>46107</v>
      </c>
      <c r="I979" s="24">
        <v>46107</v>
      </c>
      <c r="J979" s="23" t="s">
        <v>871</v>
      </c>
      <c r="K979" s="23" t="s">
        <v>871</v>
      </c>
      <c r="L979" s="23">
        <v>1</v>
      </c>
      <c r="M979" s="23" t="s">
        <v>78</v>
      </c>
      <c r="N979" s="23" t="s">
        <v>78</v>
      </c>
      <c r="O979" s="23">
        <v>23</v>
      </c>
      <c r="P979" s="23" t="s">
        <v>79</v>
      </c>
      <c r="Q979" s="23" t="s">
        <v>83</v>
      </c>
      <c r="R979" s="23">
        <v>11100176</v>
      </c>
      <c r="S979" s="24">
        <v>46107</v>
      </c>
      <c r="T979" s="24">
        <v>46064</v>
      </c>
      <c r="U979" s="24">
        <v>46072</v>
      </c>
      <c r="X979" s="24">
        <v>46062</v>
      </c>
      <c r="Y979" s="23">
        <v>1111</v>
      </c>
      <c r="Z979" s="23">
        <v>11400606</v>
      </c>
      <c r="AA979" s="23">
        <v>395103</v>
      </c>
      <c r="AB979" s="24">
        <v>46057</v>
      </c>
    </row>
    <row r="980" spans="2:28" x14ac:dyDescent="0.2">
      <c r="C980" s="23">
        <v>1100576566</v>
      </c>
      <c r="E980" s="23">
        <v>110</v>
      </c>
      <c r="F980" s="23" t="s">
        <v>82</v>
      </c>
      <c r="G980" s="23" t="s">
        <v>139</v>
      </c>
      <c r="H980" s="24">
        <v>46107</v>
      </c>
      <c r="I980" s="24">
        <v>46107</v>
      </c>
      <c r="J980" s="23" t="s">
        <v>871</v>
      </c>
      <c r="K980" s="23" t="s">
        <v>871</v>
      </c>
      <c r="L980" s="23">
        <v>1</v>
      </c>
      <c r="M980" s="23" t="s">
        <v>78</v>
      </c>
      <c r="N980" s="23" t="s">
        <v>78</v>
      </c>
      <c r="O980" s="23">
        <v>0.01</v>
      </c>
      <c r="P980" s="23" t="s">
        <v>79</v>
      </c>
      <c r="Q980" s="23" t="s">
        <v>83</v>
      </c>
      <c r="R980" s="23">
        <v>11100176</v>
      </c>
      <c r="S980" s="24" t="s">
        <v>80</v>
      </c>
      <c r="T980" s="24">
        <v>46064</v>
      </c>
      <c r="U980" s="24">
        <v>46072</v>
      </c>
      <c r="X980" s="24">
        <v>46062</v>
      </c>
      <c r="Y980" s="23">
        <v>1111</v>
      </c>
      <c r="Z980" s="23">
        <v>11400606</v>
      </c>
      <c r="AA980" s="23">
        <v>395103</v>
      </c>
      <c r="AB980" s="24">
        <v>46057</v>
      </c>
    </row>
    <row r="981" spans="2:28" x14ac:dyDescent="0.2">
      <c r="B981" s="23" t="s">
        <v>81</v>
      </c>
      <c r="C981" s="23">
        <v>1100576566</v>
      </c>
      <c r="H981" s="24">
        <v>46107</v>
      </c>
      <c r="O981" s="23">
        <v>3825.28</v>
      </c>
      <c r="P981" s="23" t="s">
        <v>79</v>
      </c>
    </row>
    <row r="982" spans="2:28" x14ac:dyDescent="0.2">
      <c r="C982" s="23">
        <v>1100576588</v>
      </c>
      <c r="E982" s="23">
        <v>20</v>
      </c>
      <c r="F982" s="23" t="s">
        <v>3147</v>
      </c>
      <c r="G982" s="23" t="s">
        <v>3148</v>
      </c>
      <c r="H982" s="24">
        <v>46107</v>
      </c>
      <c r="I982" s="24">
        <v>46107</v>
      </c>
      <c r="J982" s="23" t="s">
        <v>3149</v>
      </c>
      <c r="K982" s="23" t="s">
        <v>3149</v>
      </c>
      <c r="L982" s="23">
        <v>1</v>
      </c>
      <c r="M982" s="23" t="s">
        <v>78</v>
      </c>
      <c r="N982" s="23" t="s">
        <v>78</v>
      </c>
      <c r="O982" s="23">
        <v>697.45</v>
      </c>
      <c r="P982" s="23" t="s">
        <v>79</v>
      </c>
      <c r="Q982" s="23" t="s">
        <v>83</v>
      </c>
      <c r="R982" s="23">
        <v>11100176</v>
      </c>
      <c r="S982" s="24">
        <v>46094</v>
      </c>
      <c r="T982" s="24">
        <v>46065</v>
      </c>
      <c r="U982" s="24">
        <v>47116</v>
      </c>
      <c r="X982" s="24">
        <v>46063</v>
      </c>
      <c r="Y982" s="23">
        <v>1111</v>
      </c>
      <c r="Z982" s="23">
        <v>11600003</v>
      </c>
      <c r="AA982" s="23">
        <v>5051</v>
      </c>
      <c r="AB982" s="24">
        <v>46052</v>
      </c>
    </row>
    <row r="983" spans="2:28" x14ac:dyDescent="0.2">
      <c r="C983" s="23">
        <v>1100576588</v>
      </c>
      <c r="E983" s="23">
        <v>30</v>
      </c>
      <c r="F983" s="23" t="s">
        <v>3150</v>
      </c>
      <c r="G983" s="23" t="s">
        <v>3151</v>
      </c>
      <c r="H983" s="24">
        <v>46107</v>
      </c>
      <c r="I983" s="24">
        <v>46107</v>
      </c>
      <c r="J983" s="23" t="s">
        <v>3149</v>
      </c>
      <c r="K983" s="23" t="s">
        <v>3149</v>
      </c>
      <c r="L983" s="23">
        <v>1</v>
      </c>
      <c r="M983" s="23" t="s">
        <v>78</v>
      </c>
      <c r="N983" s="23" t="s">
        <v>78</v>
      </c>
      <c r="O983" s="23">
        <v>756.6</v>
      </c>
      <c r="P983" s="23" t="s">
        <v>79</v>
      </c>
      <c r="Q983" s="23" t="s">
        <v>83</v>
      </c>
      <c r="R983" s="23">
        <v>11100176</v>
      </c>
      <c r="S983" s="24">
        <v>46094</v>
      </c>
      <c r="T983" s="24">
        <v>46065</v>
      </c>
      <c r="U983" s="24">
        <v>47116</v>
      </c>
      <c r="X983" s="24">
        <v>46063</v>
      </c>
      <c r="Y983" s="23">
        <v>1111</v>
      </c>
      <c r="Z983" s="23">
        <v>11600003</v>
      </c>
      <c r="AA983" s="23">
        <v>5051</v>
      </c>
      <c r="AB983" s="24">
        <v>46052</v>
      </c>
    </row>
    <row r="984" spans="2:28" x14ac:dyDescent="0.2">
      <c r="C984" s="23">
        <v>1100576588</v>
      </c>
      <c r="E984" s="23">
        <v>40</v>
      </c>
      <c r="F984" s="23" t="s">
        <v>3152</v>
      </c>
      <c r="G984" s="23" t="s">
        <v>3153</v>
      </c>
      <c r="H984" s="24">
        <v>46107</v>
      </c>
      <c r="I984" s="24">
        <v>46107</v>
      </c>
      <c r="J984" s="23" t="s">
        <v>3149</v>
      </c>
      <c r="K984" s="23" t="s">
        <v>3149</v>
      </c>
      <c r="L984" s="23">
        <v>1</v>
      </c>
      <c r="M984" s="23" t="s">
        <v>78</v>
      </c>
      <c r="N984" s="23" t="s">
        <v>78</v>
      </c>
      <c r="O984" s="23">
        <v>788.2</v>
      </c>
      <c r="P984" s="23" t="s">
        <v>79</v>
      </c>
      <c r="Q984" s="23" t="s">
        <v>83</v>
      </c>
      <c r="R984" s="23">
        <v>11100176</v>
      </c>
      <c r="S984" s="24">
        <v>46094</v>
      </c>
      <c r="T984" s="24">
        <v>46065</v>
      </c>
      <c r="U984" s="24">
        <v>47116</v>
      </c>
      <c r="X984" s="24">
        <v>46063</v>
      </c>
      <c r="Y984" s="23">
        <v>1111</v>
      </c>
      <c r="Z984" s="23">
        <v>11600003</v>
      </c>
      <c r="AA984" s="23">
        <v>5051</v>
      </c>
      <c r="AB984" s="24">
        <v>46052</v>
      </c>
    </row>
    <row r="985" spans="2:28" x14ac:dyDescent="0.2">
      <c r="C985" s="23">
        <v>1100576588</v>
      </c>
      <c r="E985" s="23">
        <v>50</v>
      </c>
      <c r="F985" s="23" t="s">
        <v>3154</v>
      </c>
      <c r="G985" s="23" t="s">
        <v>3155</v>
      </c>
      <c r="H985" s="24">
        <v>46107</v>
      </c>
      <c r="I985" s="24">
        <v>46107</v>
      </c>
      <c r="J985" s="23" t="s">
        <v>3149</v>
      </c>
      <c r="K985" s="23" t="s">
        <v>3149</v>
      </c>
      <c r="L985" s="23">
        <v>1</v>
      </c>
      <c r="M985" s="23" t="s">
        <v>78</v>
      </c>
      <c r="N985" s="23" t="s">
        <v>78</v>
      </c>
      <c r="O985" s="23">
        <v>671.18</v>
      </c>
      <c r="P985" s="23" t="s">
        <v>79</v>
      </c>
      <c r="Q985" s="23" t="s">
        <v>83</v>
      </c>
      <c r="R985" s="23">
        <v>11100176</v>
      </c>
      <c r="S985" s="24">
        <v>46094</v>
      </c>
      <c r="T985" s="24">
        <v>46065</v>
      </c>
      <c r="U985" s="24">
        <v>47116</v>
      </c>
      <c r="X985" s="24">
        <v>46063</v>
      </c>
      <c r="Y985" s="23">
        <v>1111</v>
      </c>
      <c r="Z985" s="23">
        <v>11600003</v>
      </c>
      <c r="AA985" s="23">
        <v>5051</v>
      </c>
      <c r="AB985" s="24">
        <v>46052</v>
      </c>
    </row>
    <row r="986" spans="2:28" x14ac:dyDescent="0.2">
      <c r="C986" s="23">
        <v>1100576588</v>
      </c>
      <c r="E986" s="23">
        <v>60</v>
      </c>
      <c r="F986" s="23" t="s">
        <v>3156</v>
      </c>
      <c r="G986" s="23" t="s">
        <v>3157</v>
      </c>
      <c r="H986" s="24">
        <v>46107</v>
      </c>
      <c r="I986" s="24">
        <v>46107</v>
      </c>
      <c r="J986" s="23" t="s">
        <v>3149</v>
      </c>
      <c r="K986" s="23" t="s">
        <v>3149</v>
      </c>
      <c r="L986" s="23">
        <v>1</v>
      </c>
      <c r="M986" s="23" t="s">
        <v>78</v>
      </c>
      <c r="N986" s="23" t="s">
        <v>78</v>
      </c>
      <c r="O986" s="23">
        <v>796.67</v>
      </c>
      <c r="P986" s="23" t="s">
        <v>79</v>
      </c>
      <c r="Q986" s="23" t="s">
        <v>83</v>
      </c>
      <c r="R986" s="23">
        <v>11100176</v>
      </c>
      <c r="S986" s="24">
        <v>46094</v>
      </c>
      <c r="T986" s="24">
        <v>46065</v>
      </c>
      <c r="U986" s="24">
        <v>47116</v>
      </c>
      <c r="X986" s="24">
        <v>46063</v>
      </c>
      <c r="Y986" s="23">
        <v>1111</v>
      </c>
      <c r="Z986" s="23">
        <v>11600003</v>
      </c>
      <c r="AA986" s="23">
        <v>5051</v>
      </c>
      <c r="AB986" s="24">
        <v>46052</v>
      </c>
    </row>
    <row r="987" spans="2:28" x14ac:dyDescent="0.2">
      <c r="B987" s="23" t="s">
        <v>81</v>
      </c>
      <c r="C987" s="23">
        <v>1100576588</v>
      </c>
      <c r="H987" s="24">
        <v>46107</v>
      </c>
      <c r="O987" s="23">
        <v>3710.1</v>
      </c>
      <c r="P987" s="23" t="s">
        <v>79</v>
      </c>
    </row>
    <row r="988" spans="2:28" x14ac:dyDescent="0.2">
      <c r="C988" s="23">
        <v>1100576667</v>
      </c>
      <c r="E988" s="23">
        <v>10</v>
      </c>
      <c r="F988" s="23" t="s">
        <v>1907</v>
      </c>
      <c r="G988" s="23" t="s">
        <v>1908</v>
      </c>
      <c r="H988" s="24">
        <v>46107</v>
      </c>
      <c r="I988" s="24">
        <v>46107</v>
      </c>
      <c r="J988" s="23" t="s">
        <v>1909</v>
      </c>
      <c r="K988" s="23" t="s">
        <v>1909</v>
      </c>
      <c r="L988" s="23">
        <v>3</v>
      </c>
      <c r="M988" s="23" t="s">
        <v>78</v>
      </c>
      <c r="N988" s="23" t="s">
        <v>78</v>
      </c>
      <c r="O988" s="23">
        <v>2759.4</v>
      </c>
      <c r="P988" s="23" t="s">
        <v>79</v>
      </c>
      <c r="Q988" s="23" t="s">
        <v>83</v>
      </c>
      <c r="R988" s="23">
        <v>11100176</v>
      </c>
      <c r="S988" s="24">
        <v>46107</v>
      </c>
      <c r="T988" s="24">
        <v>46065</v>
      </c>
      <c r="U988" s="24" t="s">
        <v>80</v>
      </c>
      <c r="X988" s="24">
        <v>46064</v>
      </c>
      <c r="Y988" s="23">
        <v>1111</v>
      </c>
      <c r="Z988" s="23">
        <v>11100137</v>
      </c>
      <c r="AA988" s="23">
        <v>5251</v>
      </c>
      <c r="AB988" s="24">
        <v>46064</v>
      </c>
    </row>
    <row r="989" spans="2:28" x14ac:dyDescent="0.2">
      <c r="B989" s="23" t="s">
        <v>81</v>
      </c>
      <c r="C989" s="23">
        <v>1100576667</v>
      </c>
      <c r="H989" s="24">
        <v>46107</v>
      </c>
      <c r="O989" s="23">
        <v>2759.4</v>
      </c>
      <c r="P989" s="23" t="s">
        <v>79</v>
      </c>
    </row>
    <row r="990" spans="2:28" x14ac:dyDescent="0.2">
      <c r="C990" s="23">
        <v>1100576727</v>
      </c>
      <c r="E990" s="23">
        <v>10</v>
      </c>
      <c r="F990" s="23" t="s">
        <v>3158</v>
      </c>
      <c r="G990" s="23" t="s">
        <v>3159</v>
      </c>
      <c r="H990" s="24">
        <v>46107</v>
      </c>
      <c r="I990" s="24">
        <v>46107</v>
      </c>
      <c r="J990" s="23" t="s">
        <v>3160</v>
      </c>
      <c r="K990" s="23" t="s">
        <v>3160</v>
      </c>
      <c r="L990" s="23">
        <v>2</v>
      </c>
      <c r="M990" s="23" t="s">
        <v>78</v>
      </c>
      <c r="N990" s="23" t="s">
        <v>78</v>
      </c>
      <c r="O990" s="23">
        <v>240</v>
      </c>
      <c r="P990" s="23" t="s">
        <v>79</v>
      </c>
      <c r="Q990" s="23" t="s">
        <v>83</v>
      </c>
      <c r="R990" s="23">
        <v>11100176</v>
      </c>
      <c r="S990" s="24">
        <v>46094</v>
      </c>
      <c r="T990" s="24">
        <v>46065</v>
      </c>
      <c r="U990" s="24" t="s">
        <v>80</v>
      </c>
      <c r="X990" s="24">
        <v>46058</v>
      </c>
      <c r="Y990" s="23">
        <v>1111</v>
      </c>
      <c r="Z990" s="23">
        <v>11400704</v>
      </c>
      <c r="AA990" s="23">
        <v>375103</v>
      </c>
      <c r="AB990" s="24">
        <v>46064</v>
      </c>
    </row>
    <row r="991" spans="2:28" x14ac:dyDescent="0.2">
      <c r="C991" s="23">
        <v>1100576727</v>
      </c>
      <c r="E991" s="23">
        <v>20</v>
      </c>
      <c r="F991" s="23" t="s">
        <v>209</v>
      </c>
      <c r="G991" s="23" t="s">
        <v>210</v>
      </c>
      <c r="H991" s="24">
        <v>46107</v>
      </c>
      <c r="I991" s="24">
        <v>46107</v>
      </c>
      <c r="J991" s="23" t="s">
        <v>3160</v>
      </c>
      <c r="K991" s="23" t="s">
        <v>3160</v>
      </c>
      <c r="L991" s="23">
        <v>1</v>
      </c>
      <c r="M991" s="23" t="s">
        <v>78</v>
      </c>
      <c r="N991" s="23" t="s">
        <v>78</v>
      </c>
      <c r="O991" s="23">
        <v>0</v>
      </c>
      <c r="P991" s="23" t="s">
        <v>79</v>
      </c>
      <c r="Q991" s="23" t="s">
        <v>83</v>
      </c>
      <c r="R991" s="23">
        <v>11100176</v>
      </c>
      <c r="S991" s="24" t="s">
        <v>80</v>
      </c>
      <c r="T991" s="24">
        <v>46065</v>
      </c>
      <c r="U991" s="24" t="s">
        <v>80</v>
      </c>
      <c r="X991" s="24">
        <v>46058</v>
      </c>
      <c r="Y991" s="23">
        <v>1111</v>
      </c>
      <c r="Z991" s="23">
        <v>11400704</v>
      </c>
      <c r="AA991" s="23">
        <v>375103</v>
      </c>
      <c r="AB991" s="24">
        <v>46064</v>
      </c>
    </row>
    <row r="992" spans="2:28" x14ac:dyDescent="0.2">
      <c r="B992" s="23" t="s">
        <v>81</v>
      </c>
      <c r="C992" s="23">
        <v>1100576727</v>
      </c>
      <c r="H992" s="24">
        <v>46107</v>
      </c>
      <c r="O992" s="23">
        <v>240</v>
      </c>
      <c r="P992" s="23" t="s">
        <v>79</v>
      </c>
    </row>
    <row r="993" spans="2:28" x14ac:dyDescent="0.2">
      <c r="C993" s="23">
        <v>1100577048</v>
      </c>
      <c r="E993" s="23">
        <v>10</v>
      </c>
      <c r="F993" s="23" t="s">
        <v>1729</v>
      </c>
      <c r="G993" s="23" t="s">
        <v>1730</v>
      </c>
      <c r="H993" s="24">
        <v>46107</v>
      </c>
      <c r="I993" s="24">
        <v>46107</v>
      </c>
      <c r="J993" s="23" t="s">
        <v>260</v>
      </c>
      <c r="K993" s="23" t="s">
        <v>260</v>
      </c>
      <c r="L993" s="23">
        <v>2</v>
      </c>
      <c r="M993" s="23" t="s">
        <v>78</v>
      </c>
      <c r="N993" s="23" t="s">
        <v>78</v>
      </c>
      <c r="O993" s="23">
        <v>522.55999999999995</v>
      </c>
      <c r="P993" s="23" t="s">
        <v>79</v>
      </c>
      <c r="Q993" s="23" t="s">
        <v>83</v>
      </c>
      <c r="R993" s="23">
        <v>11100176</v>
      </c>
      <c r="S993" s="24">
        <v>46107</v>
      </c>
      <c r="T993" s="24">
        <v>46071</v>
      </c>
      <c r="U993" s="24" t="s">
        <v>80</v>
      </c>
      <c r="X993" s="24">
        <v>46066</v>
      </c>
      <c r="Y993" s="23">
        <v>1111</v>
      </c>
      <c r="Z993" s="23">
        <v>11100137</v>
      </c>
      <c r="AA993" s="23">
        <v>3351</v>
      </c>
      <c r="AB993" s="24">
        <v>46066</v>
      </c>
    </row>
    <row r="994" spans="2:28" x14ac:dyDescent="0.2">
      <c r="B994" s="23" t="s">
        <v>81</v>
      </c>
      <c r="C994" s="23">
        <v>1100577048</v>
      </c>
      <c r="H994" s="24">
        <v>46107</v>
      </c>
      <c r="O994" s="23">
        <v>522.55999999999995</v>
      </c>
      <c r="P994" s="23" t="s">
        <v>79</v>
      </c>
    </row>
    <row r="995" spans="2:28" x14ac:dyDescent="0.2">
      <c r="C995" s="23">
        <v>1100577648</v>
      </c>
      <c r="E995" s="23">
        <v>10</v>
      </c>
      <c r="F995" s="23" t="s">
        <v>861</v>
      </c>
      <c r="G995" s="23" t="s">
        <v>862</v>
      </c>
      <c r="H995" s="24">
        <v>46107</v>
      </c>
      <c r="I995" s="24">
        <v>46122</v>
      </c>
      <c r="J995" s="23" t="s">
        <v>3161</v>
      </c>
      <c r="K995" s="23" t="s">
        <v>3161</v>
      </c>
      <c r="L995" s="23">
        <v>1</v>
      </c>
      <c r="M995" s="23" t="s">
        <v>78</v>
      </c>
      <c r="N995" s="23" t="s">
        <v>78</v>
      </c>
      <c r="O995" s="23">
        <v>1925.76</v>
      </c>
      <c r="P995" s="23" t="s">
        <v>79</v>
      </c>
      <c r="Q995" s="23" t="s">
        <v>83</v>
      </c>
      <c r="R995" s="23">
        <v>11100176</v>
      </c>
      <c r="S995" s="24">
        <v>46104</v>
      </c>
      <c r="T995" s="24">
        <v>46076</v>
      </c>
      <c r="U995" s="24">
        <v>47116</v>
      </c>
      <c r="X995" s="24">
        <v>46073</v>
      </c>
      <c r="Y995" s="23">
        <v>1111</v>
      </c>
      <c r="Z995" s="23">
        <v>11400937</v>
      </c>
      <c r="AA995" s="23">
        <v>395103</v>
      </c>
      <c r="AB995" s="24">
        <v>46073</v>
      </c>
    </row>
    <row r="996" spans="2:28" x14ac:dyDescent="0.2">
      <c r="C996" s="23">
        <v>1100577648</v>
      </c>
      <c r="E996" s="23">
        <v>20</v>
      </c>
      <c r="F996" s="23" t="s">
        <v>3081</v>
      </c>
      <c r="G996" s="23" t="s">
        <v>3082</v>
      </c>
      <c r="H996" s="24">
        <v>46107</v>
      </c>
      <c r="I996" s="24">
        <v>46107</v>
      </c>
      <c r="J996" s="23" t="s">
        <v>3161</v>
      </c>
      <c r="K996" s="23" t="s">
        <v>3161</v>
      </c>
      <c r="L996" s="23">
        <v>2</v>
      </c>
      <c r="M996" s="23" t="s">
        <v>78</v>
      </c>
      <c r="N996" s="23" t="s">
        <v>78</v>
      </c>
      <c r="O996" s="23">
        <v>695.18</v>
      </c>
      <c r="P996" s="23" t="s">
        <v>79</v>
      </c>
      <c r="Q996" s="23" t="s">
        <v>83</v>
      </c>
      <c r="R996" s="23">
        <v>11100176</v>
      </c>
      <c r="S996" s="24">
        <v>46132</v>
      </c>
      <c r="T996" s="24">
        <v>46076</v>
      </c>
      <c r="U996" s="24">
        <v>47116</v>
      </c>
      <c r="X996" s="24">
        <v>46073</v>
      </c>
      <c r="Y996" s="23">
        <v>1111</v>
      </c>
      <c r="Z996" s="23">
        <v>11400937</v>
      </c>
      <c r="AA996" s="23">
        <v>395103</v>
      </c>
      <c r="AB996" s="24">
        <v>46073</v>
      </c>
    </row>
    <row r="997" spans="2:28" x14ac:dyDescent="0.2">
      <c r="C997" s="23">
        <v>1100577648</v>
      </c>
      <c r="E997" s="23">
        <v>30</v>
      </c>
      <c r="F997" s="23" t="s">
        <v>1151</v>
      </c>
      <c r="G997" s="23" t="s">
        <v>1152</v>
      </c>
      <c r="H997" s="24">
        <v>46107</v>
      </c>
      <c r="I997" s="24">
        <v>46107</v>
      </c>
      <c r="J997" s="23" t="s">
        <v>3161</v>
      </c>
      <c r="K997" s="23" t="s">
        <v>3161</v>
      </c>
      <c r="L997" s="23">
        <v>2</v>
      </c>
      <c r="M997" s="23" t="s">
        <v>78</v>
      </c>
      <c r="N997" s="23" t="s">
        <v>78</v>
      </c>
      <c r="O997" s="23">
        <v>552.64</v>
      </c>
      <c r="P997" s="23" t="s">
        <v>79</v>
      </c>
      <c r="Q997" s="23" t="s">
        <v>83</v>
      </c>
      <c r="R997" s="23">
        <v>11100176</v>
      </c>
      <c r="S997" s="24">
        <v>46090</v>
      </c>
      <c r="T997" s="24">
        <v>46076</v>
      </c>
      <c r="U997" s="24">
        <v>47116</v>
      </c>
      <c r="X997" s="24">
        <v>46073</v>
      </c>
      <c r="Y997" s="23">
        <v>1111</v>
      </c>
      <c r="Z997" s="23">
        <v>11400937</v>
      </c>
      <c r="AA997" s="23">
        <v>395103</v>
      </c>
      <c r="AB997" s="24">
        <v>46073</v>
      </c>
    </row>
    <row r="998" spans="2:28" x14ac:dyDescent="0.2">
      <c r="B998" s="23" t="s">
        <v>81</v>
      </c>
      <c r="C998" s="23">
        <v>1100577648</v>
      </c>
      <c r="H998" s="24">
        <v>46107</v>
      </c>
      <c r="O998" s="23">
        <v>3173.58</v>
      </c>
      <c r="P998" s="23" t="s">
        <v>79</v>
      </c>
    </row>
    <row r="999" spans="2:28" x14ac:dyDescent="0.2">
      <c r="C999" s="23">
        <v>1100577964</v>
      </c>
      <c r="E999" s="23">
        <v>10</v>
      </c>
      <c r="F999" s="23" t="s">
        <v>725</v>
      </c>
      <c r="G999" s="23" t="s">
        <v>726</v>
      </c>
      <c r="H999" s="24">
        <v>46107</v>
      </c>
      <c r="I999" s="24">
        <v>46107</v>
      </c>
      <c r="J999" s="23" t="s">
        <v>3162</v>
      </c>
      <c r="K999" s="23" t="s">
        <v>3162</v>
      </c>
      <c r="L999" s="23">
        <v>2</v>
      </c>
      <c r="M999" s="23" t="s">
        <v>78</v>
      </c>
      <c r="N999" s="23" t="s">
        <v>78</v>
      </c>
      <c r="O999" s="23">
        <v>2988.82</v>
      </c>
      <c r="P999" s="23" t="s">
        <v>79</v>
      </c>
      <c r="Q999" s="23" t="s">
        <v>83</v>
      </c>
      <c r="R999" s="23">
        <v>11100176</v>
      </c>
      <c r="S999" s="24">
        <v>46107</v>
      </c>
      <c r="T999" s="24">
        <v>46078</v>
      </c>
      <c r="U999" s="24" t="s">
        <v>80</v>
      </c>
      <c r="X999" s="24">
        <v>46076</v>
      </c>
      <c r="Y999" s="23">
        <v>1111</v>
      </c>
      <c r="Z999" s="23">
        <v>11100137</v>
      </c>
      <c r="AA999" s="23">
        <v>3951</v>
      </c>
      <c r="AB999" s="24">
        <v>46043</v>
      </c>
    </row>
    <row r="1000" spans="2:28" x14ac:dyDescent="0.2">
      <c r="C1000" s="23">
        <v>1100577964</v>
      </c>
      <c r="E1000" s="23">
        <v>20</v>
      </c>
      <c r="F1000" s="23" t="s">
        <v>2012</v>
      </c>
      <c r="G1000" s="23" t="s">
        <v>2013</v>
      </c>
      <c r="H1000" s="24">
        <v>46107</v>
      </c>
      <c r="I1000" s="24">
        <v>46107</v>
      </c>
      <c r="J1000" s="23" t="s">
        <v>3162</v>
      </c>
      <c r="K1000" s="23" t="s">
        <v>3162</v>
      </c>
      <c r="L1000" s="23">
        <v>2</v>
      </c>
      <c r="M1000" s="23" t="s">
        <v>78</v>
      </c>
      <c r="N1000" s="23" t="s">
        <v>78</v>
      </c>
      <c r="O1000" s="23">
        <v>376</v>
      </c>
      <c r="P1000" s="23" t="s">
        <v>79</v>
      </c>
      <c r="Q1000" s="23" t="s">
        <v>83</v>
      </c>
      <c r="R1000" s="23">
        <v>11100176</v>
      </c>
      <c r="S1000" s="24">
        <v>46107</v>
      </c>
      <c r="T1000" s="24">
        <v>46078</v>
      </c>
      <c r="U1000" s="24" t="s">
        <v>80</v>
      </c>
      <c r="X1000" s="24">
        <v>46076</v>
      </c>
      <c r="Y1000" s="23">
        <v>1111</v>
      </c>
      <c r="Z1000" s="23">
        <v>11100137</v>
      </c>
      <c r="AA1000" s="23">
        <v>3951</v>
      </c>
      <c r="AB1000" s="24">
        <v>46043</v>
      </c>
    </row>
    <row r="1001" spans="2:28" x14ac:dyDescent="0.2">
      <c r="C1001" s="23">
        <v>1100577964</v>
      </c>
      <c r="E1001" s="23">
        <v>30</v>
      </c>
      <c r="F1001" s="23" t="s">
        <v>1859</v>
      </c>
      <c r="G1001" s="23" t="s">
        <v>733</v>
      </c>
      <c r="H1001" s="24">
        <v>46107</v>
      </c>
      <c r="I1001" s="24">
        <v>46107</v>
      </c>
      <c r="J1001" s="23" t="s">
        <v>3162</v>
      </c>
      <c r="K1001" s="23" t="s">
        <v>3162</v>
      </c>
      <c r="L1001" s="23">
        <v>2</v>
      </c>
      <c r="M1001" s="23" t="s">
        <v>78</v>
      </c>
      <c r="N1001" s="23" t="s">
        <v>78</v>
      </c>
      <c r="O1001" s="23">
        <v>346.16</v>
      </c>
      <c r="P1001" s="23" t="s">
        <v>79</v>
      </c>
      <c r="Q1001" s="23" t="s">
        <v>83</v>
      </c>
      <c r="R1001" s="23">
        <v>11100176</v>
      </c>
      <c r="S1001" s="24">
        <v>46107</v>
      </c>
      <c r="T1001" s="24">
        <v>46078</v>
      </c>
      <c r="U1001" s="24" t="s">
        <v>80</v>
      </c>
      <c r="X1001" s="24">
        <v>46076</v>
      </c>
      <c r="Y1001" s="23">
        <v>1111</v>
      </c>
      <c r="Z1001" s="23">
        <v>11100137</v>
      </c>
      <c r="AA1001" s="23">
        <v>3951</v>
      </c>
      <c r="AB1001" s="24">
        <v>46043</v>
      </c>
    </row>
    <row r="1002" spans="2:28" x14ac:dyDescent="0.2">
      <c r="C1002" s="23">
        <v>1100577964</v>
      </c>
      <c r="E1002" s="23">
        <v>40</v>
      </c>
      <c r="F1002" s="23" t="s">
        <v>1873</v>
      </c>
      <c r="G1002" s="23" t="s">
        <v>1874</v>
      </c>
      <c r="H1002" s="24">
        <v>46107</v>
      </c>
      <c r="I1002" s="24">
        <v>46107</v>
      </c>
      <c r="J1002" s="23" t="s">
        <v>3162</v>
      </c>
      <c r="K1002" s="23" t="s">
        <v>3162</v>
      </c>
      <c r="L1002" s="23">
        <v>2</v>
      </c>
      <c r="M1002" s="23" t="s">
        <v>78</v>
      </c>
      <c r="N1002" s="23" t="s">
        <v>78</v>
      </c>
      <c r="O1002" s="23">
        <v>43</v>
      </c>
      <c r="P1002" s="23" t="s">
        <v>79</v>
      </c>
      <c r="Q1002" s="23" t="s">
        <v>83</v>
      </c>
      <c r="R1002" s="23">
        <v>11100176</v>
      </c>
      <c r="S1002" s="24">
        <v>46107</v>
      </c>
      <c r="T1002" s="24">
        <v>46078</v>
      </c>
      <c r="U1002" s="24" t="s">
        <v>80</v>
      </c>
      <c r="X1002" s="24">
        <v>46076</v>
      </c>
      <c r="Y1002" s="23">
        <v>1111</v>
      </c>
      <c r="Z1002" s="23">
        <v>11100137</v>
      </c>
      <c r="AA1002" s="23">
        <v>3951</v>
      </c>
      <c r="AB1002" s="24">
        <v>46043</v>
      </c>
    </row>
    <row r="1003" spans="2:28" x14ac:dyDescent="0.2">
      <c r="C1003" s="23">
        <v>1100577964</v>
      </c>
      <c r="E1003" s="23">
        <v>50</v>
      </c>
      <c r="F1003" s="23" t="s">
        <v>209</v>
      </c>
      <c r="G1003" s="23" t="s">
        <v>210</v>
      </c>
      <c r="H1003" s="24">
        <v>46107</v>
      </c>
      <c r="I1003" s="24">
        <v>46107</v>
      </c>
      <c r="J1003" s="23" t="s">
        <v>3162</v>
      </c>
      <c r="K1003" s="23" t="s">
        <v>3162</v>
      </c>
      <c r="L1003" s="23">
        <v>1</v>
      </c>
      <c r="M1003" s="23" t="s">
        <v>78</v>
      </c>
      <c r="N1003" s="23" t="s">
        <v>78</v>
      </c>
      <c r="O1003" s="23">
        <v>81.96</v>
      </c>
      <c r="P1003" s="23" t="s">
        <v>79</v>
      </c>
      <c r="Q1003" s="23" t="s">
        <v>83</v>
      </c>
      <c r="R1003" s="23">
        <v>11100176</v>
      </c>
      <c r="S1003" s="24" t="s">
        <v>80</v>
      </c>
      <c r="T1003" s="24">
        <v>46078</v>
      </c>
      <c r="U1003" s="24" t="s">
        <v>80</v>
      </c>
      <c r="X1003" s="24">
        <v>46076</v>
      </c>
      <c r="Y1003" s="23">
        <v>1111</v>
      </c>
      <c r="Z1003" s="23">
        <v>11100137</v>
      </c>
      <c r="AA1003" s="23">
        <v>3951</v>
      </c>
      <c r="AB1003" s="24">
        <v>46043</v>
      </c>
    </row>
    <row r="1004" spans="2:28" x14ac:dyDescent="0.2">
      <c r="B1004" s="23" t="s">
        <v>81</v>
      </c>
      <c r="C1004" s="23">
        <v>1100577964</v>
      </c>
      <c r="H1004" s="24">
        <v>46107</v>
      </c>
      <c r="O1004" s="23">
        <v>3835.94</v>
      </c>
      <c r="P1004" s="23" t="s">
        <v>79</v>
      </c>
    </row>
    <row r="1005" spans="2:28" x14ac:dyDescent="0.2">
      <c r="C1005" s="23">
        <v>1100578115</v>
      </c>
      <c r="E1005" s="23">
        <v>20</v>
      </c>
      <c r="F1005" s="23" t="s">
        <v>779</v>
      </c>
      <c r="G1005" s="23" t="s">
        <v>780</v>
      </c>
      <c r="H1005" s="24">
        <v>46107</v>
      </c>
      <c r="I1005" s="24">
        <v>46107</v>
      </c>
      <c r="J1005" s="23" t="s">
        <v>502</v>
      </c>
      <c r="K1005" s="23" t="s">
        <v>502</v>
      </c>
      <c r="L1005" s="23">
        <v>1</v>
      </c>
      <c r="M1005" s="23" t="s">
        <v>78</v>
      </c>
      <c r="N1005" s="23" t="s">
        <v>78</v>
      </c>
      <c r="O1005" s="23">
        <v>219.3</v>
      </c>
      <c r="P1005" s="23" t="s">
        <v>79</v>
      </c>
      <c r="Q1005" s="23" t="s">
        <v>83</v>
      </c>
      <c r="R1005" s="23">
        <v>11100176</v>
      </c>
      <c r="S1005" s="24">
        <v>46107</v>
      </c>
      <c r="T1005" s="24">
        <v>46079</v>
      </c>
      <c r="U1005" s="24">
        <v>47116</v>
      </c>
      <c r="X1005" s="24">
        <v>46078</v>
      </c>
      <c r="Y1005" s="23">
        <v>1111</v>
      </c>
      <c r="Z1005" s="23">
        <v>11400745</v>
      </c>
      <c r="AA1005" s="23">
        <v>335103</v>
      </c>
      <c r="AB1005" s="24">
        <v>46077</v>
      </c>
    </row>
    <row r="1006" spans="2:28" x14ac:dyDescent="0.2">
      <c r="B1006" s="23" t="s">
        <v>81</v>
      </c>
      <c r="C1006" s="23">
        <v>1100578115</v>
      </c>
      <c r="H1006" s="24">
        <v>46107</v>
      </c>
      <c r="O1006" s="23">
        <v>219.3</v>
      </c>
      <c r="P1006" s="23" t="s">
        <v>79</v>
      </c>
    </row>
    <row r="1007" spans="2:28" x14ac:dyDescent="0.2">
      <c r="C1007" s="23">
        <v>1100578494</v>
      </c>
      <c r="E1007" s="23">
        <v>10</v>
      </c>
      <c r="F1007" s="23" t="s">
        <v>847</v>
      </c>
      <c r="G1007" s="23" t="s">
        <v>848</v>
      </c>
      <c r="H1007" s="24">
        <v>46107</v>
      </c>
      <c r="I1007" s="24">
        <v>46107</v>
      </c>
      <c r="J1007" s="23" t="s">
        <v>1330</v>
      </c>
      <c r="K1007" s="23" t="s">
        <v>1330</v>
      </c>
      <c r="L1007" s="23">
        <v>1</v>
      </c>
      <c r="M1007" s="23" t="s">
        <v>78</v>
      </c>
      <c r="N1007" s="23" t="s">
        <v>78</v>
      </c>
      <c r="O1007" s="23">
        <v>728.85</v>
      </c>
      <c r="P1007" s="23" t="s">
        <v>79</v>
      </c>
      <c r="Q1007" s="23" t="s">
        <v>83</v>
      </c>
      <c r="R1007" s="23">
        <v>11100176</v>
      </c>
      <c r="S1007" s="24">
        <v>46107</v>
      </c>
      <c r="T1007" s="24">
        <v>46084</v>
      </c>
      <c r="U1007" s="24" t="s">
        <v>80</v>
      </c>
      <c r="X1007" s="24">
        <v>46083</v>
      </c>
      <c r="Y1007" s="23">
        <v>1111</v>
      </c>
      <c r="Z1007" s="23">
        <v>11100137</v>
      </c>
      <c r="AA1007" s="23">
        <v>335103</v>
      </c>
      <c r="AB1007" s="24">
        <v>46083</v>
      </c>
    </row>
    <row r="1008" spans="2:28" x14ac:dyDescent="0.2">
      <c r="C1008" s="23">
        <v>1100578494</v>
      </c>
      <c r="E1008" s="23">
        <v>20</v>
      </c>
      <c r="F1008" s="23" t="s">
        <v>209</v>
      </c>
      <c r="G1008" s="23" t="s">
        <v>210</v>
      </c>
      <c r="H1008" s="24">
        <v>46107</v>
      </c>
      <c r="I1008" s="24">
        <v>46107</v>
      </c>
      <c r="J1008" s="23" t="s">
        <v>1330</v>
      </c>
      <c r="K1008" s="23" t="s">
        <v>1330</v>
      </c>
      <c r="L1008" s="23">
        <v>1</v>
      </c>
      <c r="M1008" s="23" t="s">
        <v>78</v>
      </c>
      <c r="N1008" s="23" t="s">
        <v>78</v>
      </c>
      <c r="O1008" s="23">
        <v>0</v>
      </c>
      <c r="P1008" s="23" t="s">
        <v>79</v>
      </c>
      <c r="Q1008" s="23" t="s">
        <v>83</v>
      </c>
      <c r="R1008" s="23">
        <v>11100176</v>
      </c>
      <c r="S1008" s="24" t="s">
        <v>80</v>
      </c>
      <c r="T1008" s="24">
        <v>46084</v>
      </c>
      <c r="U1008" s="24" t="s">
        <v>80</v>
      </c>
      <c r="X1008" s="24">
        <v>46083</v>
      </c>
      <c r="Y1008" s="23">
        <v>1111</v>
      </c>
      <c r="Z1008" s="23">
        <v>11100137</v>
      </c>
      <c r="AA1008" s="23">
        <v>335103</v>
      </c>
      <c r="AB1008" s="24">
        <v>46083</v>
      </c>
    </row>
    <row r="1009" spans="2:28" x14ac:dyDescent="0.2">
      <c r="B1009" s="23" t="s">
        <v>81</v>
      </c>
      <c r="C1009" s="23">
        <v>1100578494</v>
      </c>
      <c r="H1009" s="24">
        <v>46107</v>
      </c>
      <c r="O1009" s="23">
        <v>728.85</v>
      </c>
      <c r="P1009" s="23" t="s">
        <v>79</v>
      </c>
    </row>
    <row r="1010" spans="2:28" x14ac:dyDescent="0.2">
      <c r="C1010" s="23">
        <v>1100578553</v>
      </c>
      <c r="E1010" s="23">
        <v>10</v>
      </c>
      <c r="F1010" s="23" t="s">
        <v>3163</v>
      </c>
      <c r="G1010" s="23" t="s">
        <v>3164</v>
      </c>
      <c r="H1010" s="24">
        <v>46107</v>
      </c>
      <c r="I1010" s="24">
        <v>46107</v>
      </c>
      <c r="J1010" s="23" t="s">
        <v>3165</v>
      </c>
      <c r="K1010" s="23" t="s">
        <v>3165</v>
      </c>
      <c r="L1010" s="23">
        <v>1</v>
      </c>
      <c r="M1010" s="23" t="s">
        <v>78</v>
      </c>
      <c r="N1010" s="23" t="s">
        <v>78</v>
      </c>
      <c r="O1010" s="23">
        <v>1709.56</v>
      </c>
      <c r="P1010" s="23" t="s">
        <v>79</v>
      </c>
      <c r="Q1010" s="23" t="s">
        <v>83</v>
      </c>
      <c r="R1010" s="23">
        <v>11100176</v>
      </c>
      <c r="S1010" s="24">
        <v>46107</v>
      </c>
      <c r="T1010" s="24">
        <v>46084</v>
      </c>
      <c r="U1010" s="24" t="s">
        <v>80</v>
      </c>
      <c r="X1010" s="24">
        <v>46079</v>
      </c>
      <c r="Y1010" s="23">
        <v>1111</v>
      </c>
      <c r="Z1010" s="23">
        <v>11100137</v>
      </c>
      <c r="AA1010" s="23">
        <v>5151</v>
      </c>
      <c r="AB1010" s="24">
        <v>46079</v>
      </c>
    </row>
    <row r="1011" spans="2:28" x14ac:dyDescent="0.2">
      <c r="C1011" s="23">
        <v>1100578553</v>
      </c>
      <c r="E1011" s="23">
        <v>20</v>
      </c>
      <c r="F1011" s="23" t="s">
        <v>209</v>
      </c>
      <c r="G1011" s="23" t="s">
        <v>210</v>
      </c>
      <c r="H1011" s="24">
        <v>46107</v>
      </c>
      <c r="I1011" s="24">
        <v>46107</v>
      </c>
      <c r="J1011" s="23" t="s">
        <v>3165</v>
      </c>
      <c r="K1011" s="23" t="s">
        <v>3165</v>
      </c>
      <c r="L1011" s="23">
        <v>1</v>
      </c>
      <c r="M1011" s="23" t="s">
        <v>78</v>
      </c>
      <c r="N1011" s="23" t="s">
        <v>78</v>
      </c>
      <c r="O1011" s="23">
        <v>0</v>
      </c>
      <c r="P1011" s="23" t="s">
        <v>79</v>
      </c>
      <c r="Q1011" s="23" t="s">
        <v>83</v>
      </c>
      <c r="R1011" s="23">
        <v>11100176</v>
      </c>
      <c r="S1011" s="24" t="s">
        <v>80</v>
      </c>
      <c r="T1011" s="24">
        <v>46084</v>
      </c>
      <c r="U1011" s="24" t="s">
        <v>80</v>
      </c>
      <c r="X1011" s="24">
        <v>46079</v>
      </c>
      <c r="Y1011" s="23">
        <v>1111</v>
      </c>
      <c r="Z1011" s="23">
        <v>11100137</v>
      </c>
      <c r="AA1011" s="23">
        <v>5151</v>
      </c>
      <c r="AB1011" s="24">
        <v>46079</v>
      </c>
    </row>
    <row r="1012" spans="2:28" x14ac:dyDescent="0.2">
      <c r="B1012" s="23" t="s">
        <v>81</v>
      </c>
      <c r="C1012" s="23">
        <v>1100578553</v>
      </c>
      <c r="H1012" s="24">
        <v>46107</v>
      </c>
      <c r="O1012" s="23">
        <v>1709.56</v>
      </c>
      <c r="P1012" s="23" t="s">
        <v>79</v>
      </c>
    </row>
    <row r="1013" spans="2:28" x14ac:dyDescent="0.2">
      <c r="C1013" s="23">
        <v>1100578720</v>
      </c>
      <c r="E1013" s="23">
        <v>10</v>
      </c>
      <c r="F1013" s="23" t="s">
        <v>406</v>
      </c>
      <c r="G1013" s="23" t="s">
        <v>407</v>
      </c>
      <c r="H1013" s="24">
        <v>46107</v>
      </c>
      <c r="I1013" s="24">
        <v>46107</v>
      </c>
      <c r="J1013" s="23" t="s">
        <v>852</v>
      </c>
      <c r="K1013" s="23" t="s">
        <v>852</v>
      </c>
      <c r="L1013" s="23">
        <v>3</v>
      </c>
      <c r="M1013" s="23" t="s">
        <v>78</v>
      </c>
      <c r="N1013" s="23" t="s">
        <v>78</v>
      </c>
      <c r="O1013" s="23">
        <v>291.06</v>
      </c>
      <c r="P1013" s="23" t="s">
        <v>79</v>
      </c>
      <c r="Q1013" s="23" t="s">
        <v>83</v>
      </c>
      <c r="R1013" s="23">
        <v>11100176</v>
      </c>
      <c r="S1013" s="24">
        <v>46094</v>
      </c>
      <c r="T1013" s="24">
        <v>46086</v>
      </c>
      <c r="U1013" s="24" t="s">
        <v>80</v>
      </c>
      <c r="X1013" s="24">
        <v>46084</v>
      </c>
      <c r="Y1013" s="23">
        <v>1111</v>
      </c>
      <c r="Z1013" s="23">
        <v>11100320</v>
      </c>
      <c r="AA1013" s="23">
        <v>5051</v>
      </c>
      <c r="AB1013" s="24">
        <v>46084</v>
      </c>
    </row>
    <row r="1014" spans="2:28" x14ac:dyDescent="0.2">
      <c r="C1014" s="23">
        <v>1100578720</v>
      </c>
      <c r="E1014" s="23">
        <v>20</v>
      </c>
      <c r="F1014" s="23" t="s">
        <v>82</v>
      </c>
      <c r="G1014" s="23" t="s">
        <v>139</v>
      </c>
      <c r="H1014" s="24">
        <v>46107</v>
      </c>
      <c r="I1014" s="24">
        <v>46107</v>
      </c>
      <c r="J1014" s="23" t="s">
        <v>852</v>
      </c>
      <c r="K1014" s="23" t="s">
        <v>852</v>
      </c>
      <c r="L1014" s="23">
        <v>1</v>
      </c>
      <c r="M1014" s="23" t="s">
        <v>78</v>
      </c>
      <c r="N1014" s="23" t="s">
        <v>78</v>
      </c>
      <c r="O1014" s="23">
        <v>0.01</v>
      </c>
      <c r="P1014" s="23" t="s">
        <v>79</v>
      </c>
      <c r="Q1014" s="23" t="s">
        <v>83</v>
      </c>
      <c r="R1014" s="23">
        <v>11100176</v>
      </c>
      <c r="S1014" s="24">
        <v>46094</v>
      </c>
      <c r="T1014" s="24">
        <v>46086</v>
      </c>
      <c r="U1014" s="24" t="s">
        <v>80</v>
      </c>
      <c r="X1014" s="24">
        <v>46084</v>
      </c>
      <c r="Y1014" s="23">
        <v>1111</v>
      </c>
      <c r="Z1014" s="23">
        <v>11100320</v>
      </c>
      <c r="AA1014" s="23">
        <v>5051</v>
      </c>
      <c r="AB1014" s="24">
        <v>46084</v>
      </c>
    </row>
    <row r="1015" spans="2:28" x14ac:dyDescent="0.2">
      <c r="B1015" s="23" t="s">
        <v>81</v>
      </c>
      <c r="C1015" s="23">
        <v>1100578720</v>
      </c>
      <c r="H1015" s="24">
        <v>46107</v>
      </c>
      <c r="O1015" s="23">
        <v>291.07</v>
      </c>
      <c r="P1015" s="23" t="s">
        <v>79</v>
      </c>
    </row>
    <row r="1016" spans="2:28" x14ac:dyDescent="0.2">
      <c r="C1016" s="23">
        <v>1100578730</v>
      </c>
      <c r="E1016" s="23">
        <v>30</v>
      </c>
      <c r="F1016" s="23" t="s">
        <v>4246</v>
      </c>
      <c r="G1016" s="23" t="s">
        <v>4247</v>
      </c>
      <c r="H1016" s="24">
        <v>46107</v>
      </c>
      <c r="I1016" s="24">
        <v>46107</v>
      </c>
      <c r="J1016" s="23" t="s">
        <v>3801</v>
      </c>
      <c r="K1016" s="23" t="s">
        <v>3801</v>
      </c>
      <c r="L1016" s="23">
        <v>2</v>
      </c>
      <c r="M1016" s="23" t="s">
        <v>78</v>
      </c>
      <c r="N1016" s="23" t="s">
        <v>78</v>
      </c>
      <c r="O1016" s="23">
        <v>1522.92</v>
      </c>
      <c r="P1016" s="23" t="s">
        <v>79</v>
      </c>
      <c r="Q1016" s="23" t="s">
        <v>83</v>
      </c>
      <c r="R1016" s="23">
        <v>11100176</v>
      </c>
      <c r="S1016" s="24">
        <v>46101</v>
      </c>
      <c r="T1016" s="24">
        <v>46086</v>
      </c>
      <c r="U1016" s="24">
        <v>47116</v>
      </c>
      <c r="X1016" s="24">
        <v>46086</v>
      </c>
      <c r="Y1016" s="23">
        <v>1111</v>
      </c>
      <c r="Z1016" s="23">
        <v>11400789</v>
      </c>
      <c r="AA1016" s="23">
        <v>395103</v>
      </c>
      <c r="AB1016" s="24">
        <v>46086</v>
      </c>
    </row>
    <row r="1017" spans="2:28" x14ac:dyDescent="0.2">
      <c r="C1017" s="23">
        <v>1100578730</v>
      </c>
      <c r="E1017" s="23">
        <v>50</v>
      </c>
      <c r="F1017" s="23" t="s">
        <v>82</v>
      </c>
      <c r="G1017" s="23" t="s">
        <v>139</v>
      </c>
      <c r="H1017" s="24">
        <v>46107</v>
      </c>
      <c r="I1017" s="24">
        <v>46107</v>
      </c>
      <c r="J1017" s="23" t="s">
        <v>3801</v>
      </c>
      <c r="K1017" s="23" t="s">
        <v>3801</v>
      </c>
      <c r="L1017" s="23">
        <v>1</v>
      </c>
      <c r="M1017" s="23" t="s">
        <v>78</v>
      </c>
      <c r="N1017" s="23" t="s">
        <v>78</v>
      </c>
      <c r="O1017" s="23">
        <v>0.01</v>
      </c>
      <c r="P1017" s="23" t="s">
        <v>79</v>
      </c>
      <c r="Q1017" s="23" t="s">
        <v>83</v>
      </c>
      <c r="R1017" s="23">
        <v>11100176</v>
      </c>
      <c r="S1017" s="24" t="s">
        <v>80</v>
      </c>
      <c r="T1017" s="24">
        <v>46086</v>
      </c>
      <c r="U1017" s="24">
        <v>47116</v>
      </c>
      <c r="X1017" s="24">
        <v>46086</v>
      </c>
      <c r="Y1017" s="23">
        <v>1111</v>
      </c>
      <c r="Z1017" s="23">
        <v>11400789</v>
      </c>
      <c r="AA1017" s="23">
        <v>395103</v>
      </c>
      <c r="AB1017" s="24">
        <v>46086</v>
      </c>
    </row>
    <row r="1018" spans="2:28" x14ac:dyDescent="0.2">
      <c r="B1018" s="23" t="s">
        <v>81</v>
      </c>
      <c r="C1018" s="23">
        <v>1100578730</v>
      </c>
      <c r="H1018" s="24">
        <v>46107</v>
      </c>
      <c r="O1018" s="23">
        <v>1522.93</v>
      </c>
      <c r="P1018" s="23" t="s">
        <v>79</v>
      </c>
    </row>
    <row r="1019" spans="2:28" x14ac:dyDescent="0.2">
      <c r="C1019" s="23">
        <v>1100552462</v>
      </c>
      <c r="E1019" s="23">
        <v>10</v>
      </c>
      <c r="F1019" s="23" t="s">
        <v>948</v>
      </c>
      <c r="G1019" s="23" t="s">
        <v>949</v>
      </c>
      <c r="H1019" s="24">
        <v>46108</v>
      </c>
      <c r="I1019" s="24">
        <v>46108</v>
      </c>
      <c r="J1019" s="23" t="s">
        <v>935</v>
      </c>
      <c r="K1019" s="23" t="s">
        <v>935</v>
      </c>
      <c r="L1019" s="23">
        <v>2</v>
      </c>
      <c r="M1019" s="23" t="s">
        <v>78</v>
      </c>
      <c r="N1019" s="23" t="s">
        <v>78</v>
      </c>
      <c r="O1019" s="23">
        <v>11276</v>
      </c>
      <c r="P1019" s="23" t="s">
        <v>79</v>
      </c>
      <c r="Q1019" s="23" t="s">
        <v>83</v>
      </c>
      <c r="R1019" s="23">
        <v>11100008</v>
      </c>
      <c r="S1019" s="24" t="s">
        <v>80</v>
      </c>
      <c r="T1019" s="24">
        <v>45807</v>
      </c>
      <c r="U1019" s="24">
        <v>47116</v>
      </c>
      <c r="X1019" s="24">
        <v>45804</v>
      </c>
      <c r="Y1019" s="23">
        <v>1111</v>
      </c>
      <c r="Z1019" s="23">
        <v>11100137</v>
      </c>
      <c r="AA1019" s="23">
        <v>505103</v>
      </c>
      <c r="AB1019" s="24">
        <v>45807</v>
      </c>
    </row>
    <row r="1020" spans="2:28" x14ac:dyDescent="0.2">
      <c r="C1020" s="23">
        <v>1100552462</v>
      </c>
      <c r="E1020" s="23">
        <v>20</v>
      </c>
      <c r="F1020" s="23" t="s">
        <v>94</v>
      </c>
      <c r="G1020" s="23" t="s">
        <v>95</v>
      </c>
      <c r="H1020" s="24">
        <v>46108</v>
      </c>
      <c r="I1020" s="24">
        <v>46108</v>
      </c>
      <c r="J1020" s="23" t="s">
        <v>935</v>
      </c>
      <c r="K1020" s="23" t="s">
        <v>935</v>
      </c>
      <c r="L1020" s="23">
        <v>1</v>
      </c>
      <c r="M1020" s="23" t="s">
        <v>78</v>
      </c>
      <c r="N1020" s="23" t="s">
        <v>78</v>
      </c>
      <c r="O1020" s="23">
        <v>40</v>
      </c>
      <c r="P1020" s="23" t="s">
        <v>79</v>
      </c>
      <c r="Q1020" s="23" t="s">
        <v>83</v>
      </c>
      <c r="R1020" s="23">
        <v>11100008</v>
      </c>
      <c r="S1020" s="24" t="s">
        <v>80</v>
      </c>
      <c r="T1020" s="24">
        <v>45807</v>
      </c>
      <c r="U1020" s="24">
        <v>47116</v>
      </c>
      <c r="X1020" s="24">
        <v>45804</v>
      </c>
      <c r="Y1020" s="23">
        <v>1111</v>
      </c>
      <c r="Z1020" s="23">
        <v>11100137</v>
      </c>
      <c r="AA1020" s="23">
        <v>505103</v>
      </c>
      <c r="AB1020" s="24">
        <v>45807</v>
      </c>
    </row>
    <row r="1021" spans="2:28" x14ac:dyDescent="0.2">
      <c r="B1021" s="23" t="s">
        <v>81</v>
      </c>
      <c r="C1021" s="23">
        <v>1100552462</v>
      </c>
      <c r="H1021" s="24">
        <v>46108</v>
      </c>
      <c r="O1021" s="23">
        <v>11316</v>
      </c>
      <c r="P1021" s="23" t="s">
        <v>79</v>
      </c>
    </row>
    <row r="1022" spans="2:28" x14ac:dyDescent="0.2">
      <c r="C1022" s="23">
        <v>1100562016</v>
      </c>
      <c r="E1022" s="23">
        <v>20</v>
      </c>
      <c r="F1022" s="23" t="s">
        <v>1806</v>
      </c>
      <c r="G1022" s="23" t="s">
        <v>1807</v>
      </c>
      <c r="H1022" s="24">
        <v>46108</v>
      </c>
      <c r="I1022" s="24">
        <v>46108</v>
      </c>
      <c r="J1022" s="23" t="s">
        <v>561</v>
      </c>
      <c r="K1022" s="23" t="s">
        <v>561</v>
      </c>
      <c r="L1022" s="23">
        <v>5</v>
      </c>
      <c r="M1022" s="23" t="s">
        <v>78</v>
      </c>
      <c r="N1022" s="23" t="s">
        <v>78</v>
      </c>
      <c r="O1022" s="23">
        <v>1343.3</v>
      </c>
      <c r="P1022" s="23" t="s">
        <v>79</v>
      </c>
      <c r="Q1022" s="23" t="s">
        <v>83</v>
      </c>
      <c r="R1022" s="23">
        <v>11100008</v>
      </c>
      <c r="S1022" s="24">
        <v>45915</v>
      </c>
      <c r="T1022" s="24">
        <v>45908</v>
      </c>
      <c r="U1022" s="24">
        <v>45943</v>
      </c>
      <c r="X1022" s="24">
        <v>45880</v>
      </c>
      <c r="Y1022" s="23">
        <v>1111</v>
      </c>
      <c r="Z1022" s="23">
        <v>11400606</v>
      </c>
      <c r="AA1022" s="23">
        <v>335103</v>
      </c>
      <c r="AB1022" s="24">
        <v>45903</v>
      </c>
    </row>
    <row r="1023" spans="2:28" x14ac:dyDescent="0.2">
      <c r="B1023" s="23" t="s">
        <v>81</v>
      </c>
      <c r="C1023" s="23">
        <v>1100562016</v>
      </c>
      <c r="H1023" s="24">
        <v>46108</v>
      </c>
      <c r="O1023" s="23">
        <v>1343.3</v>
      </c>
      <c r="P1023" s="23" t="s">
        <v>79</v>
      </c>
    </row>
    <row r="1024" spans="2:28" x14ac:dyDescent="0.2">
      <c r="C1024" s="23">
        <v>1100567709</v>
      </c>
      <c r="E1024" s="23">
        <v>10</v>
      </c>
      <c r="F1024" s="23" t="s">
        <v>1905</v>
      </c>
      <c r="G1024" s="23" t="s">
        <v>1906</v>
      </c>
      <c r="H1024" s="24">
        <v>46108</v>
      </c>
      <c r="I1024" s="24">
        <v>46108</v>
      </c>
      <c r="J1024" s="23" t="s">
        <v>935</v>
      </c>
      <c r="K1024" s="23" t="s">
        <v>935</v>
      </c>
      <c r="L1024" s="23">
        <v>1</v>
      </c>
      <c r="M1024" s="23" t="s">
        <v>78</v>
      </c>
      <c r="N1024" s="23" t="s">
        <v>78</v>
      </c>
      <c r="O1024" s="23">
        <v>4647.7</v>
      </c>
      <c r="P1024" s="23" t="s">
        <v>79</v>
      </c>
      <c r="Q1024" s="23" t="s">
        <v>83</v>
      </c>
      <c r="R1024" s="23">
        <v>11100018</v>
      </c>
      <c r="S1024" s="24">
        <v>46051</v>
      </c>
      <c r="T1024" s="24">
        <v>45960</v>
      </c>
      <c r="U1024" s="24">
        <v>46752</v>
      </c>
      <c r="X1024" s="24">
        <v>45950</v>
      </c>
      <c r="Y1024" s="23">
        <v>1111</v>
      </c>
      <c r="Z1024" s="23">
        <v>11100137</v>
      </c>
      <c r="AA1024" s="23">
        <v>505103</v>
      </c>
      <c r="AB1024" s="24">
        <v>45882</v>
      </c>
    </row>
    <row r="1025" spans="2:28" x14ac:dyDescent="0.2">
      <c r="C1025" s="23">
        <v>1100567709</v>
      </c>
      <c r="E1025" s="23">
        <v>50</v>
      </c>
      <c r="F1025" s="23" t="s">
        <v>896</v>
      </c>
      <c r="G1025" s="23" t="s">
        <v>791</v>
      </c>
      <c r="H1025" s="24">
        <v>46108</v>
      </c>
      <c r="I1025" s="24">
        <v>46139</v>
      </c>
      <c r="J1025" s="23" t="s">
        <v>935</v>
      </c>
      <c r="K1025" s="23" t="s">
        <v>935</v>
      </c>
      <c r="L1025" s="23">
        <v>14</v>
      </c>
      <c r="M1025" s="23" t="s">
        <v>78</v>
      </c>
      <c r="N1025" s="23" t="s">
        <v>78</v>
      </c>
      <c r="O1025" s="23">
        <v>1970.64</v>
      </c>
      <c r="P1025" s="23" t="s">
        <v>79</v>
      </c>
      <c r="Q1025" s="23" t="s">
        <v>119</v>
      </c>
      <c r="R1025" s="23">
        <v>11100018</v>
      </c>
      <c r="S1025" s="24">
        <v>46051</v>
      </c>
      <c r="T1025" s="24">
        <v>45960</v>
      </c>
      <c r="U1025" s="24">
        <v>46752</v>
      </c>
      <c r="X1025" s="24">
        <v>45950</v>
      </c>
      <c r="Y1025" s="23">
        <v>1111</v>
      </c>
      <c r="Z1025" s="23">
        <v>11100137</v>
      </c>
      <c r="AA1025" s="23">
        <v>505103</v>
      </c>
      <c r="AB1025" s="24">
        <v>45882</v>
      </c>
    </row>
    <row r="1026" spans="2:28" x14ac:dyDescent="0.2">
      <c r="B1026" s="23" t="s">
        <v>81</v>
      </c>
      <c r="C1026" s="23">
        <v>1100567709</v>
      </c>
      <c r="H1026" s="24">
        <v>46108</v>
      </c>
      <c r="O1026" s="23">
        <v>6618.34</v>
      </c>
      <c r="P1026" s="23" t="s">
        <v>79</v>
      </c>
    </row>
    <row r="1027" spans="2:28" x14ac:dyDescent="0.2">
      <c r="C1027" s="23">
        <v>1100567923</v>
      </c>
      <c r="E1027" s="23">
        <v>10</v>
      </c>
      <c r="F1027" s="23" t="s">
        <v>1806</v>
      </c>
      <c r="G1027" s="23" t="s">
        <v>1807</v>
      </c>
      <c r="H1027" s="24">
        <v>46108</v>
      </c>
      <c r="I1027" s="24">
        <v>46108</v>
      </c>
      <c r="J1027" s="23" t="s">
        <v>561</v>
      </c>
      <c r="K1027" s="23" t="s">
        <v>561</v>
      </c>
      <c r="L1027" s="23">
        <v>5</v>
      </c>
      <c r="M1027" s="23" t="s">
        <v>78</v>
      </c>
      <c r="N1027" s="23" t="s">
        <v>78</v>
      </c>
      <c r="O1027" s="23">
        <v>1343.3</v>
      </c>
      <c r="P1027" s="23" t="s">
        <v>79</v>
      </c>
      <c r="Q1027" s="23" t="s">
        <v>83</v>
      </c>
      <c r="R1027" s="23">
        <v>11100299</v>
      </c>
      <c r="S1027" s="24">
        <v>46031</v>
      </c>
      <c r="T1027" s="24">
        <v>45964</v>
      </c>
      <c r="U1027" s="24">
        <v>46045</v>
      </c>
      <c r="X1027" s="24">
        <v>45961</v>
      </c>
      <c r="Y1027" s="23">
        <v>1111</v>
      </c>
      <c r="Z1027" s="23">
        <v>11600003</v>
      </c>
      <c r="AA1027" s="23">
        <v>335103</v>
      </c>
      <c r="AB1027" s="24">
        <v>45964</v>
      </c>
    </row>
    <row r="1028" spans="2:28" x14ac:dyDescent="0.2">
      <c r="B1028" s="23" t="s">
        <v>81</v>
      </c>
      <c r="C1028" s="23">
        <v>1100567923</v>
      </c>
      <c r="H1028" s="24">
        <v>46108</v>
      </c>
      <c r="O1028" s="23">
        <v>1343.3</v>
      </c>
      <c r="P1028" s="23" t="s">
        <v>79</v>
      </c>
    </row>
    <row r="1029" spans="2:28" x14ac:dyDescent="0.2">
      <c r="C1029" s="23">
        <v>1100568624</v>
      </c>
      <c r="E1029" s="23">
        <v>10</v>
      </c>
      <c r="F1029" s="23" t="s">
        <v>1806</v>
      </c>
      <c r="G1029" s="23" t="s">
        <v>1807</v>
      </c>
      <c r="H1029" s="24">
        <v>46108</v>
      </c>
      <c r="I1029" s="24">
        <v>46108</v>
      </c>
      <c r="J1029" s="23" t="s">
        <v>91</v>
      </c>
      <c r="K1029" s="23" t="s">
        <v>91</v>
      </c>
      <c r="L1029" s="23">
        <v>2</v>
      </c>
      <c r="M1029" s="23" t="s">
        <v>78</v>
      </c>
      <c r="N1029" s="23" t="s">
        <v>78</v>
      </c>
      <c r="O1029" s="23">
        <v>2037.3</v>
      </c>
      <c r="P1029" s="23" t="s">
        <v>79</v>
      </c>
      <c r="Q1029" s="23" t="s">
        <v>83</v>
      </c>
      <c r="R1029" s="23">
        <v>11100299</v>
      </c>
      <c r="S1029" s="24">
        <v>45664</v>
      </c>
      <c r="T1029" s="24">
        <v>45973</v>
      </c>
      <c r="U1029" s="24">
        <v>46069</v>
      </c>
      <c r="X1029" s="24">
        <v>45972</v>
      </c>
      <c r="Y1029" s="23">
        <v>1111</v>
      </c>
      <c r="Z1029" s="23">
        <v>11400742</v>
      </c>
      <c r="AA1029" s="23">
        <v>335103</v>
      </c>
      <c r="AB1029" s="24">
        <v>45971</v>
      </c>
    </row>
    <row r="1030" spans="2:28" x14ac:dyDescent="0.2">
      <c r="B1030" s="23" t="s">
        <v>81</v>
      </c>
      <c r="C1030" s="23">
        <v>1100568624</v>
      </c>
      <c r="H1030" s="24">
        <v>46108</v>
      </c>
      <c r="O1030" s="23">
        <v>2037.3</v>
      </c>
      <c r="P1030" s="23" t="s">
        <v>79</v>
      </c>
    </row>
    <row r="1031" spans="2:28" x14ac:dyDescent="0.2">
      <c r="C1031" s="23">
        <v>1100569565</v>
      </c>
      <c r="E1031" s="23">
        <v>10</v>
      </c>
      <c r="F1031" s="23" t="s">
        <v>2019</v>
      </c>
      <c r="G1031" s="23" t="s">
        <v>2020</v>
      </c>
      <c r="H1031" s="24">
        <v>46108</v>
      </c>
      <c r="I1031" s="24">
        <v>46108</v>
      </c>
      <c r="J1031" s="23" t="s">
        <v>883</v>
      </c>
      <c r="K1031" s="23" t="s">
        <v>883</v>
      </c>
      <c r="L1031" s="23">
        <v>2</v>
      </c>
      <c r="M1031" s="23" t="s">
        <v>78</v>
      </c>
      <c r="N1031" s="23" t="s">
        <v>78</v>
      </c>
      <c r="O1031" s="23">
        <v>3066</v>
      </c>
      <c r="P1031" s="23" t="s">
        <v>79</v>
      </c>
      <c r="Q1031" s="23" t="s">
        <v>83</v>
      </c>
      <c r="R1031" s="23">
        <v>11100176</v>
      </c>
      <c r="S1031" s="24">
        <v>46038</v>
      </c>
      <c r="T1031" s="24">
        <v>45982</v>
      </c>
      <c r="U1031" s="24" t="s">
        <v>80</v>
      </c>
      <c r="X1031" s="24">
        <v>45981</v>
      </c>
      <c r="Y1031" s="23">
        <v>1111</v>
      </c>
      <c r="Z1031" s="23">
        <v>11400797</v>
      </c>
      <c r="AA1031" s="23">
        <v>3951</v>
      </c>
      <c r="AB1031" s="24">
        <v>45980</v>
      </c>
    </row>
    <row r="1032" spans="2:28" x14ac:dyDescent="0.2">
      <c r="B1032" s="23" t="s">
        <v>81</v>
      </c>
      <c r="C1032" s="23">
        <v>1100569565</v>
      </c>
      <c r="H1032" s="24">
        <v>46108</v>
      </c>
      <c r="O1032" s="23">
        <v>3066</v>
      </c>
      <c r="P1032" s="23" t="s">
        <v>79</v>
      </c>
    </row>
    <row r="1033" spans="2:28" x14ac:dyDescent="0.2">
      <c r="C1033" s="23">
        <v>1100569967</v>
      </c>
      <c r="E1033" s="23">
        <v>10</v>
      </c>
      <c r="F1033" s="23" t="s">
        <v>1806</v>
      </c>
      <c r="G1033" s="23" t="s">
        <v>1807</v>
      </c>
      <c r="H1033" s="24">
        <v>46108</v>
      </c>
      <c r="I1033" s="24">
        <v>46108</v>
      </c>
      <c r="J1033" s="23" t="s">
        <v>91</v>
      </c>
      <c r="K1033" s="23" t="s">
        <v>91</v>
      </c>
      <c r="L1033" s="23">
        <v>1</v>
      </c>
      <c r="M1033" s="23" t="s">
        <v>78</v>
      </c>
      <c r="N1033" s="23" t="s">
        <v>78</v>
      </c>
      <c r="O1033" s="23">
        <v>947.58</v>
      </c>
      <c r="P1033" s="23" t="s">
        <v>79</v>
      </c>
      <c r="Q1033" s="23" t="s">
        <v>83</v>
      </c>
      <c r="R1033" s="23">
        <v>11100176</v>
      </c>
      <c r="S1033" s="24">
        <v>46077</v>
      </c>
      <c r="T1033" s="24">
        <v>45986</v>
      </c>
      <c r="U1033" s="24" t="s">
        <v>80</v>
      </c>
      <c r="X1033" s="24">
        <v>45925</v>
      </c>
      <c r="Y1033" s="23">
        <v>1111</v>
      </c>
      <c r="Z1033" s="23">
        <v>11400937</v>
      </c>
      <c r="AA1033" s="23">
        <v>395103</v>
      </c>
      <c r="AB1033" s="24">
        <v>45986</v>
      </c>
    </row>
    <row r="1034" spans="2:28" x14ac:dyDescent="0.2">
      <c r="B1034" s="23" t="s">
        <v>81</v>
      </c>
      <c r="C1034" s="23">
        <v>1100569967</v>
      </c>
      <c r="H1034" s="24">
        <v>46108</v>
      </c>
      <c r="O1034" s="23">
        <v>947.58</v>
      </c>
      <c r="P1034" s="23" t="s">
        <v>79</v>
      </c>
    </row>
    <row r="1035" spans="2:28" x14ac:dyDescent="0.2">
      <c r="C1035" s="23">
        <v>1100570077</v>
      </c>
      <c r="E1035" s="23">
        <v>10</v>
      </c>
      <c r="F1035" s="23" t="s">
        <v>1121</v>
      </c>
      <c r="G1035" s="23" t="s">
        <v>1122</v>
      </c>
      <c r="H1035" s="24">
        <v>46108</v>
      </c>
      <c r="I1035" s="24">
        <v>46108</v>
      </c>
      <c r="J1035" s="23" t="s">
        <v>1416</v>
      </c>
      <c r="K1035" s="23" t="s">
        <v>1416</v>
      </c>
      <c r="L1035" s="23">
        <v>1</v>
      </c>
      <c r="M1035" s="23" t="s">
        <v>78</v>
      </c>
      <c r="N1035" s="23" t="s">
        <v>78</v>
      </c>
      <c r="O1035" s="23">
        <v>3353</v>
      </c>
      <c r="P1035" s="23" t="s">
        <v>79</v>
      </c>
      <c r="Q1035" s="23" t="s">
        <v>83</v>
      </c>
      <c r="R1035" s="23">
        <v>11100299</v>
      </c>
      <c r="S1035" s="24">
        <v>45685</v>
      </c>
      <c r="T1035" s="24">
        <v>45987</v>
      </c>
      <c r="U1035" s="24">
        <v>46080</v>
      </c>
      <c r="X1035" s="24">
        <v>45987</v>
      </c>
      <c r="Y1035" s="23">
        <v>1111</v>
      </c>
      <c r="Z1035" s="23">
        <v>11400742</v>
      </c>
      <c r="AA1035" s="23">
        <v>5051</v>
      </c>
      <c r="AB1035" s="24">
        <v>45947</v>
      </c>
    </row>
    <row r="1036" spans="2:28" x14ac:dyDescent="0.2">
      <c r="C1036" s="23">
        <v>1100570077</v>
      </c>
      <c r="E1036" s="23">
        <v>20</v>
      </c>
      <c r="F1036" s="23" t="s">
        <v>1057</v>
      </c>
      <c r="G1036" s="23" t="s">
        <v>1058</v>
      </c>
      <c r="H1036" s="24">
        <v>46108</v>
      </c>
      <c r="I1036" s="24">
        <v>46108</v>
      </c>
      <c r="J1036" s="23" t="s">
        <v>1416</v>
      </c>
      <c r="K1036" s="23" t="s">
        <v>1416</v>
      </c>
      <c r="L1036" s="23">
        <v>2</v>
      </c>
      <c r="M1036" s="23" t="s">
        <v>78</v>
      </c>
      <c r="N1036" s="23" t="s">
        <v>78</v>
      </c>
      <c r="O1036" s="23">
        <v>7096.04</v>
      </c>
      <c r="P1036" s="23" t="s">
        <v>79</v>
      </c>
      <c r="Q1036" s="23" t="s">
        <v>83</v>
      </c>
      <c r="R1036" s="23">
        <v>11100299</v>
      </c>
      <c r="S1036" s="24">
        <v>45685</v>
      </c>
      <c r="T1036" s="24">
        <v>45987</v>
      </c>
      <c r="U1036" s="24">
        <v>46080</v>
      </c>
      <c r="X1036" s="24">
        <v>45987</v>
      </c>
      <c r="Y1036" s="23">
        <v>1111</v>
      </c>
      <c r="Z1036" s="23">
        <v>11400742</v>
      </c>
      <c r="AA1036" s="23">
        <v>5051</v>
      </c>
      <c r="AB1036" s="24">
        <v>45947</v>
      </c>
    </row>
    <row r="1037" spans="2:28" x14ac:dyDescent="0.2">
      <c r="C1037" s="23">
        <v>1100570077</v>
      </c>
      <c r="E1037" s="23">
        <v>30</v>
      </c>
      <c r="F1037" s="23" t="s">
        <v>209</v>
      </c>
      <c r="G1037" s="23" t="s">
        <v>210</v>
      </c>
      <c r="H1037" s="24">
        <v>46108</v>
      </c>
      <c r="I1037" s="24">
        <v>46108</v>
      </c>
      <c r="J1037" s="23" t="s">
        <v>1416</v>
      </c>
      <c r="K1037" s="23" t="s">
        <v>1416</v>
      </c>
      <c r="L1037" s="23">
        <v>1</v>
      </c>
      <c r="M1037" s="23" t="s">
        <v>78</v>
      </c>
      <c r="N1037" s="23" t="s">
        <v>78</v>
      </c>
      <c r="O1037" s="23">
        <v>0</v>
      </c>
      <c r="P1037" s="23" t="s">
        <v>79</v>
      </c>
      <c r="Q1037" s="23" t="s">
        <v>83</v>
      </c>
      <c r="R1037" s="23">
        <v>11100299</v>
      </c>
      <c r="S1037" s="24" t="s">
        <v>80</v>
      </c>
      <c r="T1037" s="24">
        <v>45987</v>
      </c>
      <c r="U1037" s="24">
        <v>46080</v>
      </c>
      <c r="X1037" s="24">
        <v>45987</v>
      </c>
      <c r="Y1037" s="23">
        <v>1111</v>
      </c>
      <c r="Z1037" s="23">
        <v>11400742</v>
      </c>
      <c r="AA1037" s="23">
        <v>5051</v>
      </c>
      <c r="AB1037" s="24">
        <v>45947</v>
      </c>
    </row>
    <row r="1038" spans="2:28" x14ac:dyDescent="0.2">
      <c r="B1038" s="23" t="s">
        <v>81</v>
      </c>
      <c r="C1038" s="23">
        <v>1100570077</v>
      </c>
      <c r="H1038" s="24">
        <v>46108</v>
      </c>
      <c r="O1038" s="23">
        <v>10449.040000000001</v>
      </c>
      <c r="P1038" s="23" t="s">
        <v>79</v>
      </c>
    </row>
    <row r="1039" spans="2:28" x14ac:dyDescent="0.2">
      <c r="C1039" s="23">
        <v>1100570401</v>
      </c>
      <c r="E1039" s="23">
        <v>10</v>
      </c>
      <c r="F1039" s="23" t="s">
        <v>2003</v>
      </c>
      <c r="G1039" s="23" t="s">
        <v>2004</v>
      </c>
      <c r="H1039" s="24">
        <v>46108</v>
      </c>
      <c r="I1039" s="24">
        <v>46108</v>
      </c>
      <c r="J1039" s="23" t="s">
        <v>2005</v>
      </c>
      <c r="K1039" s="23" t="s">
        <v>2005</v>
      </c>
      <c r="L1039" s="23">
        <v>1</v>
      </c>
      <c r="M1039" s="23" t="s">
        <v>78</v>
      </c>
      <c r="N1039" s="23" t="s">
        <v>78</v>
      </c>
      <c r="O1039" s="23">
        <v>20140</v>
      </c>
      <c r="P1039" s="23" t="s">
        <v>79</v>
      </c>
      <c r="Q1039" s="23" t="s">
        <v>83</v>
      </c>
      <c r="R1039" s="23">
        <v>11100299</v>
      </c>
      <c r="S1039" s="24">
        <v>46064</v>
      </c>
      <c r="T1039" s="24">
        <v>45994</v>
      </c>
      <c r="U1039" s="24" t="s">
        <v>80</v>
      </c>
      <c r="X1039" s="24">
        <v>45993</v>
      </c>
      <c r="Y1039" s="23">
        <v>1111</v>
      </c>
      <c r="Z1039" s="23">
        <v>11400124</v>
      </c>
      <c r="AA1039" s="23">
        <v>395803</v>
      </c>
      <c r="AB1039" s="24">
        <v>46752</v>
      </c>
    </row>
    <row r="1040" spans="2:28" x14ac:dyDescent="0.2">
      <c r="C1040" s="23">
        <v>1100570401</v>
      </c>
      <c r="E1040" s="23">
        <v>20</v>
      </c>
      <c r="F1040" s="23" t="s">
        <v>84</v>
      </c>
      <c r="G1040" s="23" t="s">
        <v>123</v>
      </c>
      <c r="H1040" s="24">
        <v>46108</v>
      </c>
      <c r="I1040" s="24">
        <v>46108</v>
      </c>
      <c r="J1040" s="23" t="s">
        <v>2005</v>
      </c>
      <c r="K1040" s="23" t="s">
        <v>2005</v>
      </c>
      <c r="L1040" s="23">
        <v>1</v>
      </c>
      <c r="M1040" s="23" t="s">
        <v>78</v>
      </c>
      <c r="N1040" s="23" t="s">
        <v>78</v>
      </c>
      <c r="O1040" s="23">
        <v>0.01</v>
      </c>
      <c r="P1040" s="23" t="s">
        <v>79</v>
      </c>
      <c r="Q1040" s="23" t="s">
        <v>83</v>
      </c>
      <c r="R1040" s="23">
        <v>11100299</v>
      </c>
      <c r="S1040" s="24">
        <v>46064</v>
      </c>
      <c r="T1040" s="24">
        <v>45994</v>
      </c>
      <c r="U1040" s="24" t="s">
        <v>80</v>
      </c>
      <c r="X1040" s="24">
        <v>45993</v>
      </c>
      <c r="Y1040" s="23">
        <v>1111</v>
      </c>
      <c r="Z1040" s="23">
        <v>11400124</v>
      </c>
      <c r="AA1040" s="23">
        <v>395803</v>
      </c>
      <c r="AB1040" s="24">
        <v>46752</v>
      </c>
    </row>
    <row r="1041" spans="2:28" x14ac:dyDescent="0.2">
      <c r="C1041" s="23">
        <v>1100570401</v>
      </c>
      <c r="E1041" s="23">
        <v>30</v>
      </c>
      <c r="F1041" s="23" t="s">
        <v>96</v>
      </c>
      <c r="G1041" s="23" t="s">
        <v>97</v>
      </c>
      <c r="H1041" s="24">
        <v>46108</v>
      </c>
      <c r="I1041" s="24">
        <v>46108</v>
      </c>
      <c r="J1041" s="23" t="s">
        <v>2005</v>
      </c>
      <c r="K1041" s="23" t="s">
        <v>2005</v>
      </c>
      <c r="L1041" s="23">
        <v>1</v>
      </c>
      <c r="M1041" s="23" t="s">
        <v>78</v>
      </c>
      <c r="N1041" s="23" t="s">
        <v>78</v>
      </c>
      <c r="O1041" s="23">
        <v>0.01</v>
      </c>
      <c r="P1041" s="23" t="s">
        <v>79</v>
      </c>
      <c r="Q1041" s="23" t="s">
        <v>83</v>
      </c>
      <c r="R1041" s="23">
        <v>11100299</v>
      </c>
      <c r="S1041" s="24">
        <v>46064</v>
      </c>
      <c r="T1041" s="24">
        <v>45994</v>
      </c>
      <c r="U1041" s="24" t="s">
        <v>80</v>
      </c>
      <c r="X1041" s="24">
        <v>45993</v>
      </c>
      <c r="Y1041" s="23">
        <v>1111</v>
      </c>
      <c r="Z1041" s="23">
        <v>11400124</v>
      </c>
      <c r="AA1041" s="23">
        <v>395803</v>
      </c>
      <c r="AB1041" s="24">
        <v>46752</v>
      </c>
    </row>
    <row r="1042" spans="2:28" x14ac:dyDescent="0.2">
      <c r="C1042" s="23">
        <v>1100570401</v>
      </c>
      <c r="E1042" s="23">
        <v>40</v>
      </c>
      <c r="F1042" s="23" t="s">
        <v>82</v>
      </c>
      <c r="G1042" s="23" t="s">
        <v>139</v>
      </c>
      <c r="H1042" s="24">
        <v>46108</v>
      </c>
      <c r="I1042" s="24">
        <v>46108</v>
      </c>
      <c r="J1042" s="23" t="s">
        <v>2005</v>
      </c>
      <c r="K1042" s="23" t="s">
        <v>2005</v>
      </c>
      <c r="L1042" s="23">
        <v>1</v>
      </c>
      <c r="M1042" s="23" t="s">
        <v>78</v>
      </c>
      <c r="N1042" s="23" t="s">
        <v>78</v>
      </c>
      <c r="O1042" s="23">
        <v>0.01</v>
      </c>
      <c r="P1042" s="23" t="s">
        <v>79</v>
      </c>
      <c r="Q1042" s="23" t="s">
        <v>83</v>
      </c>
      <c r="R1042" s="23">
        <v>11100299</v>
      </c>
      <c r="S1042" s="24">
        <v>46064</v>
      </c>
      <c r="T1042" s="24">
        <v>45994</v>
      </c>
      <c r="U1042" s="24" t="s">
        <v>80</v>
      </c>
      <c r="X1042" s="24">
        <v>45993</v>
      </c>
      <c r="Y1042" s="23">
        <v>1111</v>
      </c>
      <c r="Z1042" s="23">
        <v>11400124</v>
      </c>
      <c r="AA1042" s="23">
        <v>395803</v>
      </c>
      <c r="AB1042" s="24">
        <v>46752</v>
      </c>
    </row>
    <row r="1043" spans="2:28" x14ac:dyDescent="0.2">
      <c r="B1043" s="23" t="s">
        <v>81</v>
      </c>
      <c r="C1043" s="23">
        <v>1100570401</v>
      </c>
      <c r="H1043" s="24">
        <v>46108</v>
      </c>
      <c r="O1043" s="23">
        <v>20140.03</v>
      </c>
      <c r="P1043" s="23" t="s">
        <v>79</v>
      </c>
    </row>
    <row r="1044" spans="2:28" x14ac:dyDescent="0.2">
      <c r="C1044" s="23">
        <v>1100570608</v>
      </c>
      <c r="E1044" s="23">
        <v>10</v>
      </c>
      <c r="F1044" s="23" t="s">
        <v>3166</v>
      </c>
      <c r="G1044" s="23" t="s">
        <v>3167</v>
      </c>
      <c r="H1044" s="24">
        <v>46108</v>
      </c>
      <c r="I1044" s="24">
        <v>46108</v>
      </c>
      <c r="J1044" s="23" t="s">
        <v>643</v>
      </c>
      <c r="K1044" s="23" t="s">
        <v>643</v>
      </c>
      <c r="L1044" s="23">
        <v>2</v>
      </c>
      <c r="M1044" s="23" t="s">
        <v>78</v>
      </c>
      <c r="N1044" s="23" t="s">
        <v>78</v>
      </c>
      <c r="O1044" s="23">
        <v>10080</v>
      </c>
      <c r="P1044" s="23" t="s">
        <v>79</v>
      </c>
      <c r="Q1044" s="23" t="s">
        <v>83</v>
      </c>
      <c r="R1044" s="23">
        <v>11100299</v>
      </c>
      <c r="S1044" s="24">
        <v>46108</v>
      </c>
      <c r="T1044" s="24">
        <v>45996</v>
      </c>
      <c r="U1044" s="24" t="s">
        <v>80</v>
      </c>
      <c r="X1044" s="24">
        <v>45958</v>
      </c>
      <c r="Y1044" s="23">
        <v>1111</v>
      </c>
      <c r="Z1044" s="23">
        <v>11400124</v>
      </c>
      <c r="AA1044" s="23">
        <v>335803</v>
      </c>
      <c r="AB1044" s="24">
        <v>46752</v>
      </c>
    </row>
    <row r="1045" spans="2:28" x14ac:dyDescent="0.2">
      <c r="C1045" s="23">
        <v>1100570608</v>
      </c>
      <c r="E1045" s="23">
        <v>20</v>
      </c>
      <c r="F1045" s="23" t="s">
        <v>3168</v>
      </c>
      <c r="G1045" s="23" t="s">
        <v>3169</v>
      </c>
      <c r="H1045" s="24">
        <v>46108</v>
      </c>
      <c r="I1045" s="24">
        <v>46108</v>
      </c>
      <c r="J1045" s="23" t="s">
        <v>643</v>
      </c>
      <c r="K1045" s="23" t="s">
        <v>643</v>
      </c>
      <c r="L1045" s="23">
        <v>2</v>
      </c>
      <c r="M1045" s="23" t="s">
        <v>78</v>
      </c>
      <c r="N1045" s="23" t="s">
        <v>78</v>
      </c>
      <c r="O1045" s="23">
        <v>5656</v>
      </c>
      <c r="P1045" s="23" t="s">
        <v>79</v>
      </c>
      <c r="Q1045" s="23" t="s">
        <v>83</v>
      </c>
      <c r="R1045" s="23">
        <v>11100299</v>
      </c>
      <c r="S1045" s="24">
        <v>46108</v>
      </c>
      <c r="T1045" s="24">
        <v>45996</v>
      </c>
      <c r="U1045" s="24" t="s">
        <v>80</v>
      </c>
      <c r="X1045" s="24">
        <v>45958</v>
      </c>
      <c r="Y1045" s="23">
        <v>1111</v>
      </c>
      <c r="Z1045" s="23">
        <v>11400124</v>
      </c>
      <c r="AA1045" s="23">
        <v>335803</v>
      </c>
      <c r="AB1045" s="24">
        <v>46752</v>
      </c>
    </row>
    <row r="1046" spans="2:28" x14ac:dyDescent="0.2">
      <c r="C1046" s="23">
        <v>1100570608</v>
      </c>
      <c r="E1046" s="23">
        <v>30</v>
      </c>
      <c r="F1046" s="23" t="s">
        <v>3170</v>
      </c>
      <c r="G1046" s="23" t="s">
        <v>3171</v>
      </c>
      <c r="H1046" s="24">
        <v>46108</v>
      </c>
      <c r="I1046" s="24">
        <v>46108</v>
      </c>
      <c r="J1046" s="23" t="s">
        <v>643</v>
      </c>
      <c r="K1046" s="23" t="s">
        <v>643</v>
      </c>
      <c r="L1046" s="23">
        <v>1</v>
      </c>
      <c r="M1046" s="23" t="s">
        <v>78</v>
      </c>
      <c r="N1046" s="23" t="s">
        <v>78</v>
      </c>
      <c r="O1046" s="23">
        <v>3591</v>
      </c>
      <c r="P1046" s="23" t="s">
        <v>79</v>
      </c>
      <c r="Q1046" s="23" t="s">
        <v>83</v>
      </c>
      <c r="R1046" s="23">
        <v>11100299</v>
      </c>
      <c r="S1046" s="24">
        <v>46108</v>
      </c>
      <c r="T1046" s="24">
        <v>45996</v>
      </c>
      <c r="U1046" s="24" t="s">
        <v>80</v>
      </c>
      <c r="X1046" s="24">
        <v>45958</v>
      </c>
      <c r="Y1046" s="23">
        <v>1111</v>
      </c>
      <c r="Z1046" s="23">
        <v>11400124</v>
      </c>
      <c r="AA1046" s="23">
        <v>335803</v>
      </c>
      <c r="AB1046" s="24">
        <v>46752</v>
      </c>
    </row>
    <row r="1047" spans="2:28" x14ac:dyDescent="0.2">
      <c r="C1047" s="23">
        <v>1100570608</v>
      </c>
      <c r="E1047" s="23">
        <v>40</v>
      </c>
      <c r="F1047" s="23" t="s">
        <v>3172</v>
      </c>
      <c r="G1047" s="23" t="s">
        <v>3173</v>
      </c>
      <c r="H1047" s="24">
        <v>46108</v>
      </c>
      <c r="I1047" s="24">
        <v>46108</v>
      </c>
      <c r="J1047" s="23" t="s">
        <v>643</v>
      </c>
      <c r="K1047" s="23" t="s">
        <v>643</v>
      </c>
      <c r="L1047" s="23">
        <v>1</v>
      </c>
      <c r="M1047" s="23" t="s">
        <v>78</v>
      </c>
      <c r="N1047" s="23" t="s">
        <v>78</v>
      </c>
      <c r="O1047" s="23">
        <v>2611</v>
      </c>
      <c r="P1047" s="23" t="s">
        <v>79</v>
      </c>
      <c r="Q1047" s="23" t="s">
        <v>83</v>
      </c>
      <c r="R1047" s="23">
        <v>11100299</v>
      </c>
      <c r="S1047" s="24">
        <v>46108</v>
      </c>
      <c r="T1047" s="24">
        <v>45996</v>
      </c>
      <c r="U1047" s="24" t="s">
        <v>80</v>
      </c>
      <c r="X1047" s="24">
        <v>45958</v>
      </c>
      <c r="Y1047" s="23">
        <v>1111</v>
      </c>
      <c r="Z1047" s="23">
        <v>11400124</v>
      </c>
      <c r="AA1047" s="23">
        <v>335803</v>
      </c>
      <c r="AB1047" s="24">
        <v>46752</v>
      </c>
    </row>
    <row r="1048" spans="2:28" x14ac:dyDescent="0.2">
      <c r="C1048" s="23">
        <v>1100570608</v>
      </c>
      <c r="E1048" s="23">
        <v>50</v>
      </c>
      <c r="F1048" s="23" t="s">
        <v>84</v>
      </c>
      <c r="G1048" s="23" t="s">
        <v>123</v>
      </c>
      <c r="H1048" s="24">
        <v>46108</v>
      </c>
      <c r="I1048" s="24">
        <v>46108</v>
      </c>
      <c r="J1048" s="23" t="s">
        <v>643</v>
      </c>
      <c r="K1048" s="23" t="s">
        <v>643</v>
      </c>
      <c r="L1048" s="23">
        <v>1</v>
      </c>
      <c r="M1048" s="23" t="s">
        <v>78</v>
      </c>
      <c r="N1048" s="23" t="s">
        <v>78</v>
      </c>
      <c r="O1048" s="23">
        <v>0.01</v>
      </c>
      <c r="P1048" s="23" t="s">
        <v>79</v>
      </c>
      <c r="Q1048" s="23" t="s">
        <v>83</v>
      </c>
      <c r="R1048" s="23">
        <v>11100299</v>
      </c>
      <c r="S1048" s="24">
        <v>46108</v>
      </c>
      <c r="T1048" s="24">
        <v>45996</v>
      </c>
      <c r="U1048" s="24" t="s">
        <v>80</v>
      </c>
      <c r="X1048" s="24">
        <v>45958</v>
      </c>
      <c r="Y1048" s="23">
        <v>1111</v>
      </c>
      <c r="Z1048" s="23">
        <v>11400124</v>
      </c>
      <c r="AA1048" s="23">
        <v>335803</v>
      </c>
      <c r="AB1048" s="24">
        <v>46752</v>
      </c>
    </row>
    <row r="1049" spans="2:28" x14ac:dyDescent="0.2">
      <c r="C1049" s="23">
        <v>1100570608</v>
      </c>
      <c r="E1049" s="23">
        <v>60</v>
      </c>
      <c r="F1049" s="23" t="s">
        <v>96</v>
      </c>
      <c r="G1049" s="23" t="s">
        <v>97</v>
      </c>
      <c r="H1049" s="24">
        <v>46108</v>
      </c>
      <c r="I1049" s="24">
        <v>46108</v>
      </c>
      <c r="J1049" s="23" t="s">
        <v>643</v>
      </c>
      <c r="K1049" s="23" t="s">
        <v>643</v>
      </c>
      <c r="L1049" s="23">
        <v>1</v>
      </c>
      <c r="M1049" s="23" t="s">
        <v>78</v>
      </c>
      <c r="N1049" s="23" t="s">
        <v>78</v>
      </c>
      <c r="O1049" s="23">
        <v>0.01</v>
      </c>
      <c r="P1049" s="23" t="s">
        <v>79</v>
      </c>
      <c r="Q1049" s="23" t="s">
        <v>83</v>
      </c>
      <c r="R1049" s="23">
        <v>11100299</v>
      </c>
      <c r="S1049" s="24">
        <v>46108</v>
      </c>
      <c r="T1049" s="24">
        <v>45996</v>
      </c>
      <c r="U1049" s="24" t="s">
        <v>80</v>
      </c>
      <c r="X1049" s="24">
        <v>45958</v>
      </c>
      <c r="Y1049" s="23">
        <v>1111</v>
      </c>
      <c r="Z1049" s="23">
        <v>11400124</v>
      </c>
      <c r="AA1049" s="23">
        <v>335803</v>
      </c>
      <c r="AB1049" s="24">
        <v>46752</v>
      </c>
    </row>
    <row r="1050" spans="2:28" x14ac:dyDescent="0.2">
      <c r="B1050" s="23" t="s">
        <v>81</v>
      </c>
      <c r="C1050" s="23">
        <v>1100570608</v>
      </c>
      <c r="H1050" s="24">
        <v>46108</v>
      </c>
      <c r="O1050" s="23">
        <v>21938.02</v>
      </c>
      <c r="P1050" s="23" t="s">
        <v>79</v>
      </c>
    </row>
    <row r="1051" spans="2:28" x14ac:dyDescent="0.2">
      <c r="C1051" s="23">
        <v>1100571077</v>
      </c>
      <c r="E1051" s="23">
        <v>10</v>
      </c>
      <c r="F1051" s="23" t="s">
        <v>1806</v>
      </c>
      <c r="G1051" s="23" t="s">
        <v>1807</v>
      </c>
      <c r="H1051" s="24">
        <v>46108</v>
      </c>
      <c r="I1051" s="24">
        <v>46108</v>
      </c>
      <c r="J1051" s="23" t="s">
        <v>561</v>
      </c>
      <c r="K1051" s="23" t="s">
        <v>561</v>
      </c>
      <c r="L1051" s="23">
        <v>5</v>
      </c>
      <c r="M1051" s="23" t="s">
        <v>78</v>
      </c>
      <c r="N1051" s="23" t="s">
        <v>78</v>
      </c>
      <c r="O1051" s="23">
        <v>1343.3</v>
      </c>
      <c r="P1051" s="23" t="s">
        <v>79</v>
      </c>
      <c r="Q1051" s="23" t="s">
        <v>83</v>
      </c>
      <c r="R1051" s="23">
        <v>11100176</v>
      </c>
      <c r="S1051" s="24">
        <v>46043</v>
      </c>
      <c r="T1051" s="24">
        <v>46001</v>
      </c>
      <c r="U1051" s="24" t="s">
        <v>80</v>
      </c>
      <c r="X1051" s="24">
        <v>46000</v>
      </c>
      <c r="Y1051" s="23">
        <v>1111</v>
      </c>
      <c r="Z1051" s="23">
        <v>11600007</v>
      </c>
      <c r="AA1051" s="23">
        <v>335103</v>
      </c>
      <c r="AB1051" s="24">
        <v>46000</v>
      </c>
    </row>
    <row r="1052" spans="2:28" x14ac:dyDescent="0.2">
      <c r="B1052" s="23" t="s">
        <v>81</v>
      </c>
      <c r="C1052" s="23">
        <v>1100571077</v>
      </c>
      <c r="H1052" s="24">
        <v>46108</v>
      </c>
      <c r="O1052" s="23">
        <v>1343.3</v>
      </c>
      <c r="P1052" s="23" t="s">
        <v>79</v>
      </c>
    </row>
    <row r="1053" spans="2:28" x14ac:dyDescent="0.2">
      <c r="C1053" s="23">
        <v>1100571461</v>
      </c>
      <c r="E1053" s="23">
        <v>10</v>
      </c>
      <c r="F1053" s="23" t="s">
        <v>1925</v>
      </c>
      <c r="G1053" s="23" t="s">
        <v>1926</v>
      </c>
      <c r="H1053" s="24">
        <v>46108</v>
      </c>
      <c r="I1053" s="24">
        <v>46108</v>
      </c>
      <c r="J1053" s="23" t="s">
        <v>392</v>
      </c>
      <c r="K1053" s="23" t="s">
        <v>392</v>
      </c>
      <c r="L1053" s="23">
        <v>1</v>
      </c>
      <c r="M1053" s="23" t="s">
        <v>78</v>
      </c>
      <c r="N1053" s="23" t="s">
        <v>78</v>
      </c>
      <c r="O1053" s="23">
        <v>582.25</v>
      </c>
      <c r="P1053" s="23" t="s">
        <v>79</v>
      </c>
      <c r="Q1053" s="23" t="s">
        <v>83</v>
      </c>
      <c r="R1053" s="23">
        <v>11100176</v>
      </c>
      <c r="S1053" s="24">
        <v>46052</v>
      </c>
      <c r="T1053" s="24">
        <v>46006</v>
      </c>
      <c r="U1053" s="24">
        <v>46752</v>
      </c>
      <c r="X1053" s="24">
        <v>46003</v>
      </c>
      <c r="Y1053" s="23">
        <v>1111</v>
      </c>
      <c r="Z1053" s="23">
        <v>11400937</v>
      </c>
      <c r="AA1053" s="23">
        <v>505103</v>
      </c>
      <c r="AB1053" s="24">
        <v>45967</v>
      </c>
    </row>
    <row r="1054" spans="2:28" x14ac:dyDescent="0.2">
      <c r="C1054" s="23">
        <v>1100571461</v>
      </c>
      <c r="E1054" s="23">
        <v>90</v>
      </c>
      <c r="F1054" s="23" t="s">
        <v>1927</v>
      </c>
      <c r="G1054" s="23" t="s">
        <v>1928</v>
      </c>
      <c r="H1054" s="24">
        <v>46108</v>
      </c>
      <c r="I1054" s="24">
        <v>46101</v>
      </c>
      <c r="J1054" s="23" t="s">
        <v>392</v>
      </c>
      <c r="K1054" s="23" t="s">
        <v>392</v>
      </c>
      <c r="L1054" s="23">
        <v>4</v>
      </c>
      <c r="M1054" s="23" t="s">
        <v>78</v>
      </c>
      <c r="N1054" s="23" t="s">
        <v>78</v>
      </c>
      <c r="O1054" s="23">
        <v>1425.44</v>
      </c>
      <c r="P1054" s="23" t="s">
        <v>79</v>
      </c>
      <c r="Q1054" s="23" t="s">
        <v>83</v>
      </c>
      <c r="R1054" s="23">
        <v>11100176</v>
      </c>
      <c r="S1054" s="24">
        <v>46052</v>
      </c>
      <c r="T1054" s="24">
        <v>46006</v>
      </c>
      <c r="U1054" s="24">
        <v>46063</v>
      </c>
      <c r="X1054" s="24">
        <v>46003</v>
      </c>
      <c r="Y1054" s="23">
        <v>1111</v>
      </c>
      <c r="Z1054" s="23">
        <v>11400937</v>
      </c>
      <c r="AA1054" s="23">
        <v>505103</v>
      </c>
      <c r="AB1054" s="24">
        <v>45967</v>
      </c>
    </row>
    <row r="1055" spans="2:28" x14ac:dyDescent="0.2">
      <c r="B1055" s="23" t="s">
        <v>81</v>
      </c>
      <c r="C1055" s="23">
        <v>1100571461</v>
      </c>
      <c r="H1055" s="24">
        <v>46108</v>
      </c>
      <c r="O1055" s="23">
        <v>2007.69</v>
      </c>
      <c r="P1055" s="23" t="s">
        <v>79</v>
      </c>
    </row>
    <row r="1056" spans="2:28" x14ac:dyDescent="0.2">
      <c r="C1056" s="23">
        <v>1100571577</v>
      </c>
      <c r="E1056" s="23">
        <v>10</v>
      </c>
      <c r="F1056" s="23" t="s">
        <v>1903</v>
      </c>
      <c r="G1056" s="23" t="s">
        <v>1904</v>
      </c>
      <c r="H1056" s="24">
        <v>46108</v>
      </c>
      <c r="I1056" s="24">
        <v>46108</v>
      </c>
      <c r="J1056" s="23" t="s">
        <v>561</v>
      </c>
      <c r="K1056" s="23" t="s">
        <v>561</v>
      </c>
      <c r="L1056" s="23">
        <v>3</v>
      </c>
      <c r="M1056" s="23" t="s">
        <v>78</v>
      </c>
      <c r="N1056" s="23" t="s">
        <v>78</v>
      </c>
      <c r="O1056" s="23">
        <v>1051.32</v>
      </c>
      <c r="P1056" s="23" t="s">
        <v>79</v>
      </c>
      <c r="Q1056" s="23" t="s">
        <v>83</v>
      </c>
      <c r="R1056" s="23">
        <v>11100176</v>
      </c>
      <c r="S1056" s="24">
        <v>46042</v>
      </c>
      <c r="T1056" s="24">
        <v>46007</v>
      </c>
      <c r="U1056" s="24" t="s">
        <v>80</v>
      </c>
      <c r="X1056" s="24">
        <v>46003</v>
      </c>
      <c r="Y1056" s="23">
        <v>1111</v>
      </c>
      <c r="Z1056" s="23">
        <v>11600007</v>
      </c>
      <c r="AA1056" s="23">
        <v>335103</v>
      </c>
      <c r="AB1056" s="24">
        <v>46006</v>
      </c>
    </row>
    <row r="1057" spans="2:28" x14ac:dyDescent="0.2">
      <c r="B1057" s="23" t="s">
        <v>81</v>
      </c>
      <c r="C1057" s="23">
        <v>1100571577</v>
      </c>
      <c r="H1057" s="24">
        <v>46108</v>
      </c>
      <c r="O1057" s="23">
        <v>1051.32</v>
      </c>
      <c r="P1057" s="23" t="s">
        <v>79</v>
      </c>
    </row>
    <row r="1058" spans="2:28" x14ac:dyDescent="0.2">
      <c r="C1058" s="23">
        <v>1100572452</v>
      </c>
      <c r="E1058" s="23">
        <v>10</v>
      </c>
      <c r="F1058" s="23" t="s">
        <v>2192</v>
      </c>
      <c r="G1058" s="23" t="s">
        <v>2193</v>
      </c>
      <c r="H1058" s="24">
        <v>46108</v>
      </c>
      <c r="I1058" s="24">
        <v>46108</v>
      </c>
      <c r="J1058" s="23" t="s">
        <v>922</v>
      </c>
      <c r="K1058" s="23" t="s">
        <v>922</v>
      </c>
      <c r="L1058" s="23">
        <v>1</v>
      </c>
      <c r="M1058" s="23" t="s">
        <v>78</v>
      </c>
      <c r="N1058" s="23" t="s">
        <v>78</v>
      </c>
      <c r="O1058" s="23">
        <v>1602.64</v>
      </c>
      <c r="P1058" s="23" t="s">
        <v>79</v>
      </c>
      <c r="Q1058" s="23" t="s">
        <v>83</v>
      </c>
      <c r="R1058" s="23">
        <v>11100299</v>
      </c>
      <c r="S1058" s="24">
        <v>46066</v>
      </c>
      <c r="T1058" s="24">
        <v>46020</v>
      </c>
      <c r="U1058" s="24">
        <v>46752</v>
      </c>
      <c r="X1058" s="24">
        <v>45933</v>
      </c>
      <c r="Y1058" s="23">
        <v>1111</v>
      </c>
      <c r="Z1058" s="23">
        <v>11400704</v>
      </c>
      <c r="AA1058" s="23">
        <v>3351</v>
      </c>
      <c r="AB1058" s="24">
        <v>46009</v>
      </c>
    </row>
    <row r="1059" spans="2:28" x14ac:dyDescent="0.2">
      <c r="C1059" s="23">
        <v>1100572452</v>
      </c>
      <c r="E1059" s="23">
        <v>20</v>
      </c>
      <c r="F1059" s="23" t="s">
        <v>2194</v>
      </c>
      <c r="G1059" s="23" t="s">
        <v>2195</v>
      </c>
      <c r="H1059" s="24">
        <v>46108</v>
      </c>
      <c r="I1059" s="24">
        <v>46108</v>
      </c>
      <c r="J1059" s="23" t="s">
        <v>922</v>
      </c>
      <c r="K1059" s="23" t="s">
        <v>922</v>
      </c>
      <c r="L1059" s="23">
        <v>5</v>
      </c>
      <c r="M1059" s="23" t="s">
        <v>78</v>
      </c>
      <c r="N1059" s="23" t="s">
        <v>78</v>
      </c>
      <c r="O1059" s="23">
        <v>356</v>
      </c>
      <c r="P1059" s="23" t="s">
        <v>79</v>
      </c>
      <c r="Q1059" s="23" t="s">
        <v>83</v>
      </c>
      <c r="R1059" s="23">
        <v>11100299</v>
      </c>
      <c r="S1059" s="24">
        <v>46066</v>
      </c>
      <c r="T1059" s="24">
        <v>46020</v>
      </c>
      <c r="U1059" s="24">
        <v>46752</v>
      </c>
      <c r="X1059" s="24">
        <v>45933</v>
      </c>
      <c r="Y1059" s="23">
        <v>1111</v>
      </c>
      <c r="Z1059" s="23">
        <v>11400704</v>
      </c>
      <c r="AA1059" s="23">
        <v>3351</v>
      </c>
      <c r="AB1059" s="24">
        <v>46009</v>
      </c>
    </row>
    <row r="1060" spans="2:28" x14ac:dyDescent="0.2">
      <c r="C1060" s="23">
        <v>1100572452</v>
      </c>
      <c r="E1060" s="23">
        <v>30</v>
      </c>
      <c r="F1060" s="23" t="s">
        <v>2196</v>
      </c>
      <c r="G1060" s="23" t="s">
        <v>2197</v>
      </c>
      <c r="H1060" s="24">
        <v>46108</v>
      </c>
      <c r="I1060" s="24">
        <v>46108</v>
      </c>
      <c r="J1060" s="23" t="s">
        <v>922</v>
      </c>
      <c r="K1060" s="23" t="s">
        <v>922</v>
      </c>
      <c r="L1060" s="23">
        <v>1</v>
      </c>
      <c r="M1060" s="23" t="s">
        <v>2198</v>
      </c>
      <c r="N1060" s="23" t="s">
        <v>2198</v>
      </c>
      <c r="O1060" s="23">
        <v>341.89</v>
      </c>
      <c r="P1060" s="23" t="s">
        <v>79</v>
      </c>
      <c r="Q1060" s="23" t="s">
        <v>83</v>
      </c>
      <c r="R1060" s="23">
        <v>11100299</v>
      </c>
      <c r="S1060" s="24">
        <v>46066</v>
      </c>
      <c r="T1060" s="24">
        <v>46020</v>
      </c>
      <c r="U1060" s="24">
        <v>46752</v>
      </c>
      <c r="X1060" s="24">
        <v>45933</v>
      </c>
      <c r="Y1060" s="23">
        <v>1111</v>
      </c>
      <c r="Z1060" s="23">
        <v>11400704</v>
      </c>
      <c r="AA1060" s="23">
        <v>3351</v>
      </c>
      <c r="AB1060" s="24">
        <v>46009</v>
      </c>
    </row>
    <row r="1061" spans="2:28" x14ac:dyDescent="0.2">
      <c r="C1061" s="23">
        <v>1100572452</v>
      </c>
      <c r="E1061" s="23">
        <v>40</v>
      </c>
      <c r="F1061" s="23" t="s">
        <v>2196</v>
      </c>
      <c r="G1061" s="23" t="s">
        <v>2197</v>
      </c>
      <c r="H1061" s="24">
        <v>46108</v>
      </c>
      <c r="I1061" s="24">
        <v>46108</v>
      </c>
      <c r="J1061" s="23" t="s">
        <v>922</v>
      </c>
      <c r="K1061" s="23" t="s">
        <v>922</v>
      </c>
      <c r="L1061" s="23">
        <v>1</v>
      </c>
      <c r="M1061" s="23" t="s">
        <v>2198</v>
      </c>
      <c r="N1061" s="23" t="s">
        <v>2198</v>
      </c>
      <c r="O1061" s="23">
        <v>341.89</v>
      </c>
      <c r="P1061" s="23" t="s">
        <v>79</v>
      </c>
      <c r="Q1061" s="23" t="s">
        <v>83</v>
      </c>
      <c r="R1061" s="23">
        <v>11100299</v>
      </c>
      <c r="S1061" s="24">
        <v>46066</v>
      </c>
      <c r="T1061" s="24">
        <v>46020</v>
      </c>
      <c r="U1061" s="24">
        <v>46752</v>
      </c>
      <c r="X1061" s="24">
        <v>45933</v>
      </c>
      <c r="Y1061" s="23">
        <v>1111</v>
      </c>
      <c r="Z1061" s="23">
        <v>11400704</v>
      </c>
      <c r="AA1061" s="23">
        <v>3351</v>
      </c>
      <c r="AB1061" s="24">
        <v>46009</v>
      </c>
    </row>
    <row r="1062" spans="2:28" x14ac:dyDescent="0.2">
      <c r="C1062" s="23">
        <v>1100572452</v>
      </c>
      <c r="E1062" s="23">
        <v>50</v>
      </c>
      <c r="F1062" s="23" t="s">
        <v>209</v>
      </c>
      <c r="G1062" s="23" t="s">
        <v>210</v>
      </c>
      <c r="H1062" s="24">
        <v>46108</v>
      </c>
      <c r="I1062" s="24">
        <v>46108</v>
      </c>
      <c r="J1062" s="23" t="s">
        <v>922</v>
      </c>
      <c r="K1062" s="23" t="s">
        <v>922</v>
      </c>
      <c r="L1062" s="23">
        <v>1</v>
      </c>
      <c r="M1062" s="23" t="s">
        <v>78</v>
      </c>
      <c r="N1062" s="23" t="s">
        <v>78</v>
      </c>
      <c r="O1062" s="23">
        <v>13.47</v>
      </c>
      <c r="P1062" s="23" t="s">
        <v>79</v>
      </c>
      <c r="Q1062" s="23" t="s">
        <v>83</v>
      </c>
      <c r="R1062" s="23">
        <v>11100299</v>
      </c>
      <c r="S1062" s="24" t="s">
        <v>80</v>
      </c>
      <c r="T1062" s="24">
        <v>46020</v>
      </c>
      <c r="U1062" s="24">
        <v>46752</v>
      </c>
      <c r="X1062" s="24">
        <v>45933</v>
      </c>
      <c r="Y1062" s="23">
        <v>1111</v>
      </c>
      <c r="Z1062" s="23">
        <v>11400704</v>
      </c>
      <c r="AA1062" s="23">
        <v>3351</v>
      </c>
      <c r="AB1062" s="24">
        <v>46009</v>
      </c>
    </row>
    <row r="1063" spans="2:28" x14ac:dyDescent="0.2">
      <c r="B1063" s="23" t="s">
        <v>81</v>
      </c>
      <c r="C1063" s="23">
        <v>1100572452</v>
      </c>
      <c r="H1063" s="24">
        <v>46108</v>
      </c>
      <c r="O1063" s="23">
        <v>2655.89</v>
      </c>
      <c r="P1063" s="23" t="s">
        <v>79</v>
      </c>
    </row>
    <row r="1064" spans="2:28" x14ac:dyDescent="0.2">
      <c r="C1064" s="23">
        <v>1100572764</v>
      </c>
      <c r="E1064" s="23">
        <v>10</v>
      </c>
      <c r="F1064" s="23" t="s">
        <v>2104</v>
      </c>
      <c r="G1064" s="23" t="s">
        <v>2105</v>
      </c>
      <c r="H1064" s="24">
        <v>46108</v>
      </c>
      <c r="I1064" s="24">
        <v>46108</v>
      </c>
      <c r="J1064" s="23" t="s">
        <v>2106</v>
      </c>
      <c r="K1064" s="23" t="s">
        <v>2106</v>
      </c>
      <c r="L1064" s="23">
        <v>2</v>
      </c>
      <c r="M1064" s="23" t="s">
        <v>78</v>
      </c>
      <c r="N1064" s="23" t="s">
        <v>78</v>
      </c>
      <c r="O1064" s="23">
        <v>1718.7</v>
      </c>
      <c r="P1064" s="23" t="s">
        <v>79</v>
      </c>
      <c r="Q1064" s="23" t="s">
        <v>83</v>
      </c>
      <c r="R1064" s="23">
        <v>11100176</v>
      </c>
      <c r="S1064" s="24">
        <v>46034</v>
      </c>
      <c r="T1064" s="24">
        <v>46027</v>
      </c>
      <c r="U1064" s="24" t="s">
        <v>80</v>
      </c>
      <c r="X1064" s="24">
        <v>46014</v>
      </c>
      <c r="Y1064" s="23">
        <v>1111</v>
      </c>
      <c r="Z1064" s="23">
        <v>11600007</v>
      </c>
      <c r="AA1064" s="23">
        <v>5251</v>
      </c>
      <c r="AB1064" s="24">
        <v>46017</v>
      </c>
    </row>
    <row r="1065" spans="2:28" x14ac:dyDescent="0.2">
      <c r="C1065" s="23">
        <v>1100572764</v>
      </c>
      <c r="E1065" s="23">
        <v>20</v>
      </c>
      <c r="F1065" s="23" t="s">
        <v>82</v>
      </c>
      <c r="G1065" s="23" t="s">
        <v>139</v>
      </c>
      <c r="H1065" s="24">
        <v>46108</v>
      </c>
      <c r="I1065" s="24">
        <v>46108</v>
      </c>
      <c r="J1065" s="23" t="s">
        <v>2106</v>
      </c>
      <c r="K1065" s="23" t="s">
        <v>2106</v>
      </c>
      <c r="L1065" s="23">
        <v>1</v>
      </c>
      <c r="M1065" s="23" t="s">
        <v>78</v>
      </c>
      <c r="N1065" s="23" t="s">
        <v>78</v>
      </c>
      <c r="O1065" s="23">
        <v>0.01</v>
      </c>
      <c r="P1065" s="23" t="s">
        <v>79</v>
      </c>
      <c r="Q1065" s="23" t="s">
        <v>83</v>
      </c>
      <c r="R1065" s="23">
        <v>11100176</v>
      </c>
      <c r="S1065" s="24" t="s">
        <v>80</v>
      </c>
      <c r="T1065" s="24">
        <v>46027</v>
      </c>
      <c r="U1065" s="24" t="s">
        <v>80</v>
      </c>
      <c r="X1065" s="24">
        <v>46014</v>
      </c>
      <c r="Y1065" s="23">
        <v>1111</v>
      </c>
      <c r="Z1065" s="23">
        <v>11600007</v>
      </c>
      <c r="AA1065" s="23">
        <v>5251</v>
      </c>
      <c r="AB1065" s="24">
        <v>46017</v>
      </c>
    </row>
    <row r="1066" spans="2:28" x14ac:dyDescent="0.2">
      <c r="B1066" s="23" t="s">
        <v>81</v>
      </c>
      <c r="C1066" s="23">
        <v>1100572764</v>
      </c>
      <c r="H1066" s="24">
        <v>46108</v>
      </c>
      <c r="O1066" s="23">
        <v>1718.71</v>
      </c>
      <c r="P1066" s="23" t="s">
        <v>79</v>
      </c>
    </row>
    <row r="1067" spans="2:28" x14ac:dyDescent="0.2">
      <c r="C1067" s="23">
        <v>1100572981</v>
      </c>
      <c r="E1067" s="23">
        <v>10</v>
      </c>
      <c r="F1067" s="23" t="s">
        <v>1903</v>
      </c>
      <c r="G1067" s="23" t="s">
        <v>1904</v>
      </c>
      <c r="H1067" s="24">
        <v>46108</v>
      </c>
      <c r="I1067" s="24">
        <v>46108</v>
      </c>
      <c r="J1067" s="23" t="s">
        <v>815</v>
      </c>
      <c r="K1067" s="23" t="s">
        <v>815</v>
      </c>
      <c r="L1067" s="23">
        <v>2</v>
      </c>
      <c r="M1067" s="23" t="s">
        <v>78</v>
      </c>
      <c r="N1067" s="23" t="s">
        <v>78</v>
      </c>
      <c r="O1067" s="23">
        <v>1380.86</v>
      </c>
      <c r="P1067" s="23" t="s">
        <v>79</v>
      </c>
      <c r="Q1067" s="23" t="s">
        <v>83</v>
      </c>
      <c r="R1067" s="23">
        <v>11100176</v>
      </c>
      <c r="S1067" s="24">
        <v>46058</v>
      </c>
      <c r="T1067" s="24">
        <v>46029</v>
      </c>
      <c r="U1067" s="24" t="s">
        <v>80</v>
      </c>
      <c r="X1067" s="24">
        <v>46024</v>
      </c>
      <c r="Y1067" s="23">
        <v>1111</v>
      </c>
      <c r="Z1067" s="23">
        <v>11100137</v>
      </c>
      <c r="AA1067" s="23">
        <v>335103</v>
      </c>
      <c r="AB1067" s="24">
        <v>46024</v>
      </c>
    </row>
    <row r="1068" spans="2:28" x14ac:dyDescent="0.2">
      <c r="C1068" s="23">
        <v>1100572981</v>
      </c>
      <c r="E1068" s="23">
        <v>20</v>
      </c>
      <c r="F1068" s="23" t="s">
        <v>82</v>
      </c>
      <c r="G1068" s="23" t="s">
        <v>139</v>
      </c>
      <c r="H1068" s="24">
        <v>46108</v>
      </c>
      <c r="I1068" s="24">
        <v>46108</v>
      </c>
      <c r="J1068" s="23" t="s">
        <v>815</v>
      </c>
      <c r="K1068" s="23" t="s">
        <v>815</v>
      </c>
      <c r="L1068" s="23">
        <v>1</v>
      </c>
      <c r="M1068" s="23" t="s">
        <v>78</v>
      </c>
      <c r="N1068" s="23" t="s">
        <v>78</v>
      </c>
      <c r="O1068" s="23">
        <v>0.01</v>
      </c>
      <c r="P1068" s="23" t="s">
        <v>79</v>
      </c>
      <c r="Q1068" s="23" t="s">
        <v>83</v>
      </c>
      <c r="R1068" s="23">
        <v>11100176</v>
      </c>
      <c r="S1068" s="24" t="s">
        <v>80</v>
      </c>
      <c r="T1068" s="24">
        <v>46029</v>
      </c>
      <c r="U1068" s="24" t="s">
        <v>80</v>
      </c>
      <c r="X1068" s="24">
        <v>46024</v>
      </c>
      <c r="Y1068" s="23">
        <v>1111</v>
      </c>
      <c r="Z1068" s="23">
        <v>11100137</v>
      </c>
      <c r="AA1068" s="23">
        <v>335103</v>
      </c>
      <c r="AB1068" s="24">
        <v>46024</v>
      </c>
    </row>
    <row r="1069" spans="2:28" x14ac:dyDescent="0.2">
      <c r="B1069" s="23" t="s">
        <v>81</v>
      </c>
      <c r="C1069" s="23">
        <v>1100572981</v>
      </c>
      <c r="H1069" s="24">
        <v>46108</v>
      </c>
      <c r="O1069" s="23">
        <v>1380.87</v>
      </c>
      <c r="P1069" s="23" t="s">
        <v>79</v>
      </c>
    </row>
    <row r="1070" spans="2:28" x14ac:dyDescent="0.2">
      <c r="C1070" s="23">
        <v>1100573890</v>
      </c>
      <c r="E1070" s="23">
        <v>30</v>
      </c>
      <c r="F1070" s="23" t="s">
        <v>3174</v>
      </c>
      <c r="G1070" s="23" t="s">
        <v>3175</v>
      </c>
      <c r="H1070" s="24">
        <v>46108</v>
      </c>
      <c r="I1070" s="24">
        <v>46108</v>
      </c>
      <c r="J1070" s="23" t="s">
        <v>708</v>
      </c>
      <c r="K1070" s="23" t="s">
        <v>708</v>
      </c>
      <c r="L1070" s="23">
        <v>1</v>
      </c>
      <c r="M1070" s="23" t="s">
        <v>78</v>
      </c>
      <c r="N1070" s="23" t="s">
        <v>78</v>
      </c>
      <c r="O1070" s="23">
        <v>6938.61</v>
      </c>
      <c r="P1070" s="23" t="s">
        <v>79</v>
      </c>
      <c r="Q1070" s="23" t="s">
        <v>83</v>
      </c>
      <c r="R1070" s="23">
        <v>11100176</v>
      </c>
      <c r="S1070" s="24">
        <v>46063</v>
      </c>
      <c r="T1070" s="24">
        <v>46037</v>
      </c>
      <c r="U1070" s="24">
        <v>47116</v>
      </c>
      <c r="X1070" s="24">
        <v>46006</v>
      </c>
      <c r="Y1070" s="23">
        <v>1111</v>
      </c>
      <c r="Z1070" s="23">
        <v>11400704</v>
      </c>
      <c r="AA1070" s="23">
        <v>335103</v>
      </c>
      <c r="AB1070" s="24">
        <v>46008</v>
      </c>
    </row>
    <row r="1071" spans="2:28" x14ac:dyDescent="0.2">
      <c r="C1071" s="23">
        <v>1100573890</v>
      </c>
      <c r="E1071" s="23">
        <v>40</v>
      </c>
      <c r="F1071" s="23" t="s">
        <v>3176</v>
      </c>
      <c r="G1071" s="23" t="s">
        <v>3177</v>
      </c>
      <c r="H1071" s="24">
        <v>46108</v>
      </c>
      <c r="I1071" s="24">
        <v>46139</v>
      </c>
      <c r="J1071" s="23" t="s">
        <v>708</v>
      </c>
      <c r="K1071" s="23" t="s">
        <v>708</v>
      </c>
      <c r="L1071" s="23">
        <v>1</v>
      </c>
      <c r="M1071" s="23" t="s">
        <v>78</v>
      </c>
      <c r="N1071" s="23" t="s">
        <v>78</v>
      </c>
      <c r="O1071" s="23">
        <v>7880.27</v>
      </c>
      <c r="P1071" s="23" t="s">
        <v>79</v>
      </c>
      <c r="Q1071" s="23" t="s">
        <v>83</v>
      </c>
      <c r="R1071" s="23">
        <v>11100176</v>
      </c>
      <c r="S1071" s="24">
        <v>46136</v>
      </c>
      <c r="T1071" s="24">
        <v>46037</v>
      </c>
      <c r="U1071" s="24">
        <v>47116</v>
      </c>
      <c r="X1071" s="24">
        <v>46006</v>
      </c>
      <c r="Y1071" s="23">
        <v>1111</v>
      </c>
      <c r="Z1071" s="23">
        <v>11400704</v>
      </c>
      <c r="AA1071" s="23">
        <v>335103</v>
      </c>
      <c r="AB1071" s="24">
        <v>46008</v>
      </c>
    </row>
    <row r="1072" spans="2:28" x14ac:dyDescent="0.2">
      <c r="C1072" s="23">
        <v>1100573890</v>
      </c>
      <c r="E1072" s="23">
        <v>110</v>
      </c>
      <c r="F1072" s="23" t="s">
        <v>84</v>
      </c>
      <c r="G1072" s="23" t="s">
        <v>123</v>
      </c>
      <c r="H1072" s="24">
        <v>46108</v>
      </c>
      <c r="I1072" s="24">
        <v>47118</v>
      </c>
      <c r="J1072" s="23" t="s">
        <v>708</v>
      </c>
      <c r="K1072" s="23" t="s">
        <v>708</v>
      </c>
      <c r="L1072" s="23">
        <v>1</v>
      </c>
      <c r="M1072" s="23" t="s">
        <v>78</v>
      </c>
      <c r="N1072" s="23" t="s">
        <v>78</v>
      </c>
      <c r="O1072" s="23">
        <v>0.01</v>
      </c>
      <c r="P1072" s="23" t="s">
        <v>79</v>
      </c>
      <c r="Q1072" s="23" t="s">
        <v>83</v>
      </c>
      <c r="R1072" s="23">
        <v>11100176</v>
      </c>
      <c r="S1072" s="24" t="s">
        <v>80</v>
      </c>
      <c r="T1072" s="24">
        <v>46037</v>
      </c>
      <c r="U1072" s="24">
        <v>47116</v>
      </c>
      <c r="X1072" s="24">
        <v>46006</v>
      </c>
      <c r="Y1072" s="23">
        <v>1111</v>
      </c>
      <c r="Z1072" s="23">
        <v>11400704</v>
      </c>
      <c r="AA1072" s="23">
        <v>335103</v>
      </c>
      <c r="AB1072" s="24">
        <v>46008</v>
      </c>
    </row>
    <row r="1073" spans="2:28" x14ac:dyDescent="0.2">
      <c r="B1073" s="23" t="s">
        <v>81</v>
      </c>
      <c r="C1073" s="23">
        <v>1100573890</v>
      </c>
      <c r="H1073" s="24">
        <v>46108</v>
      </c>
      <c r="O1073" s="23">
        <v>14818.89</v>
      </c>
      <c r="P1073" s="23" t="s">
        <v>79</v>
      </c>
    </row>
    <row r="1074" spans="2:28" x14ac:dyDescent="0.2">
      <c r="C1074" s="23">
        <v>1100573951</v>
      </c>
      <c r="E1074" s="23">
        <v>10</v>
      </c>
      <c r="F1074" s="23" t="s">
        <v>833</v>
      </c>
      <c r="G1074" s="23" t="s">
        <v>2079</v>
      </c>
      <c r="H1074" s="24">
        <v>46108</v>
      </c>
      <c r="I1074" s="24">
        <v>46108</v>
      </c>
      <c r="J1074" s="23" t="s">
        <v>3178</v>
      </c>
      <c r="K1074" s="23" t="s">
        <v>3178</v>
      </c>
      <c r="L1074" s="23">
        <v>20</v>
      </c>
      <c r="M1074" s="23" t="s">
        <v>78</v>
      </c>
      <c r="N1074" s="23" t="s">
        <v>78</v>
      </c>
      <c r="O1074" s="23">
        <v>1162.2</v>
      </c>
      <c r="P1074" s="23" t="s">
        <v>79</v>
      </c>
      <c r="Q1074" s="23" t="s">
        <v>83</v>
      </c>
      <c r="R1074" s="23">
        <v>11100176</v>
      </c>
      <c r="S1074" s="24">
        <v>46065</v>
      </c>
      <c r="T1074" s="24">
        <v>46037</v>
      </c>
      <c r="U1074" s="24">
        <v>46080</v>
      </c>
      <c r="X1074" s="24">
        <v>46036</v>
      </c>
      <c r="Y1074" s="23">
        <v>1111</v>
      </c>
      <c r="Z1074" s="23">
        <v>11600003</v>
      </c>
      <c r="AA1074" s="23">
        <v>335103</v>
      </c>
      <c r="AB1074" s="24">
        <v>46036</v>
      </c>
    </row>
    <row r="1075" spans="2:28" x14ac:dyDescent="0.2">
      <c r="C1075" s="23">
        <v>1100573951</v>
      </c>
      <c r="E1075" s="23">
        <v>20</v>
      </c>
      <c r="F1075" s="23" t="s">
        <v>209</v>
      </c>
      <c r="G1075" s="23" t="s">
        <v>210</v>
      </c>
      <c r="H1075" s="24">
        <v>46108</v>
      </c>
      <c r="I1075" s="24">
        <v>46108</v>
      </c>
      <c r="J1075" s="23" t="s">
        <v>3178</v>
      </c>
      <c r="K1075" s="23" t="s">
        <v>3178</v>
      </c>
      <c r="L1075" s="23">
        <v>1</v>
      </c>
      <c r="M1075" s="23" t="s">
        <v>78</v>
      </c>
      <c r="N1075" s="23" t="s">
        <v>78</v>
      </c>
      <c r="O1075" s="23">
        <v>0.01</v>
      </c>
      <c r="P1075" s="23" t="s">
        <v>79</v>
      </c>
      <c r="Q1075" s="23" t="s">
        <v>83</v>
      </c>
      <c r="R1075" s="23">
        <v>11100176</v>
      </c>
      <c r="S1075" s="24">
        <v>46065</v>
      </c>
      <c r="T1075" s="24">
        <v>46037</v>
      </c>
      <c r="U1075" s="24">
        <v>46080</v>
      </c>
      <c r="X1075" s="24">
        <v>46036</v>
      </c>
      <c r="Y1075" s="23">
        <v>1111</v>
      </c>
      <c r="Z1075" s="23">
        <v>11600003</v>
      </c>
      <c r="AA1075" s="23">
        <v>335103</v>
      </c>
      <c r="AB1075" s="24">
        <v>46036</v>
      </c>
    </row>
    <row r="1076" spans="2:28" x14ac:dyDescent="0.2">
      <c r="B1076" s="23" t="s">
        <v>81</v>
      </c>
      <c r="C1076" s="23">
        <v>1100573951</v>
      </c>
      <c r="H1076" s="24">
        <v>46108</v>
      </c>
      <c r="O1076" s="23">
        <v>1162.21</v>
      </c>
      <c r="P1076" s="23" t="s">
        <v>79</v>
      </c>
    </row>
    <row r="1077" spans="2:28" x14ac:dyDescent="0.2">
      <c r="C1077" s="23">
        <v>1100576243</v>
      </c>
      <c r="E1077" s="23">
        <v>10</v>
      </c>
      <c r="F1077" s="23" t="s">
        <v>1957</v>
      </c>
      <c r="G1077" s="23" t="s">
        <v>1958</v>
      </c>
      <c r="H1077" s="24">
        <v>46108</v>
      </c>
      <c r="I1077" s="24">
        <v>46108</v>
      </c>
      <c r="J1077" s="23" t="s">
        <v>494</v>
      </c>
      <c r="K1077" s="23" t="s">
        <v>494</v>
      </c>
      <c r="L1077" s="23">
        <v>1</v>
      </c>
      <c r="M1077" s="23" t="s">
        <v>78</v>
      </c>
      <c r="N1077" s="23" t="s">
        <v>78</v>
      </c>
      <c r="O1077" s="23">
        <v>2956.07</v>
      </c>
      <c r="P1077" s="23" t="s">
        <v>79</v>
      </c>
      <c r="Q1077" s="23" t="s">
        <v>83</v>
      </c>
      <c r="R1077" s="23">
        <v>11100176</v>
      </c>
      <c r="S1077" s="24">
        <v>46108</v>
      </c>
      <c r="T1077" s="24">
        <v>46062</v>
      </c>
      <c r="U1077" s="24" t="s">
        <v>80</v>
      </c>
      <c r="X1077" s="24">
        <v>46059</v>
      </c>
      <c r="Y1077" s="23">
        <v>1111</v>
      </c>
      <c r="Z1077" s="23">
        <v>11100137</v>
      </c>
      <c r="AA1077" s="23">
        <v>3951</v>
      </c>
      <c r="AB1077" s="24">
        <v>46057</v>
      </c>
    </row>
    <row r="1078" spans="2:28" x14ac:dyDescent="0.2">
      <c r="B1078" s="23" t="s">
        <v>81</v>
      </c>
      <c r="C1078" s="23">
        <v>1100576243</v>
      </c>
      <c r="H1078" s="24">
        <v>46108</v>
      </c>
      <c r="O1078" s="23">
        <v>2956.07</v>
      </c>
      <c r="P1078" s="23" t="s">
        <v>79</v>
      </c>
    </row>
    <row r="1079" spans="2:28" x14ac:dyDescent="0.2">
      <c r="C1079" s="23">
        <v>1100576648</v>
      </c>
      <c r="E1079" s="23">
        <v>20</v>
      </c>
      <c r="F1079" s="23" t="s">
        <v>3179</v>
      </c>
      <c r="G1079" s="23" t="s">
        <v>3180</v>
      </c>
      <c r="H1079" s="24">
        <v>46108</v>
      </c>
      <c r="I1079" s="24">
        <v>46108</v>
      </c>
      <c r="J1079" s="23" t="s">
        <v>844</v>
      </c>
      <c r="K1079" s="23" t="s">
        <v>844</v>
      </c>
      <c r="L1079" s="23">
        <v>2</v>
      </c>
      <c r="M1079" s="23" t="s">
        <v>78</v>
      </c>
      <c r="N1079" s="23" t="s">
        <v>78</v>
      </c>
      <c r="O1079" s="23">
        <v>222.02</v>
      </c>
      <c r="P1079" s="23" t="s">
        <v>79</v>
      </c>
      <c r="Q1079" s="23" t="s">
        <v>83</v>
      </c>
      <c r="R1079" s="23">
        <v>11100176</v>
      </c>
      <c r="S1079" s="24">
        <v>46073</v>
      </c>
      <c r="T1079" s="24">
        <v>46065</v>
      </c>
      <c r="U1079" s="24">
        <v>47116</v>
      </c>
      <c r="X1079" s="24">
        <v>46063</v>
      </c>
      <c r="Y1079" s="23">
        <v>1111</v>
      </c>
      <c r="Z1079" s="23">
        <v>11400937</v>
      </c>
      <c r="AA1079" s="23">
        <v>5051</v>
      </c>
      <c r="AB1079" s="24">
        <v>46062</v>
      </c>
    </row>
    <row r="1080" spans="2:28" x14ac:dyDescent="0.2">
      <c r="B1080" s="23" t="s">
        <v>81</v>
      </c>
      <c r="C1080" s="23">
        <v>1100576648</v>
      </c>
      <c r="H1080" s="24">
        <v>46108</v>
      </c>
      <c r="O1080" s="23">
        <v>222.02</v>
      </c>
      <c r="P1080" s="23" t="s">
        <v>79</v>
      </c>
    </row>
    <row r="1081" spans="2:28" x14ac:dyDescent="0.2">
      <c r="C1081" s="23">
        <v>1100576682</v>
      </c>
      <c r="E1081" s="23">
        <v>10</v>
      </c>
      <c r="F1081" s="23" t="s">
        <v>3181</v>
      </c>
      <c r="G1081" s="23" t="s">
        <v>3182</v>
      </c>
      <c r="H1081" s="24">
        <v>46108</v>
      </c>
      <c r="I1081" s="24">
        <v>46108</v>
      </c>
      <c r="J1081" s="23" t="s">
        <v>3183</v>
      </c>
      <c r="K1081" s="23" t="s">
        <v>3183</v>
      </c>
      <c r="L1081" s="23">
        <v>1</v>
      </c>
      <c r="M1081" s="23" t="s">
        <v>78</v>
      </c>
      <c r="N1081" s="23" t="s">
        <v>78</v>
      </c>
      <c r="O1081" s="23">
        <v>996.32</v>
      </c>
      <c r="P1081" s="23" t="s">
        <v>79</v>
      </c>
      <c r="Q1081" s="23" t="s">
        <v>83</v>
      </c>
      <c r="R1081" s="23">
        <v>11100176</v>
      </c>
      <c r="S1081" s="24">
        <v>46114</v>
      </c>
      <c r="T1081" s="24">
        <v>46065</v>
      </c>
      <c r="U1081" s="24" t="s">
        <v>80</v>
      </c>
      <c r="X1081" s="24">
        <v>46065</v>
      </c>
      <c r="Y1081" s="23">
        <v>1111</v>
      </c>
      <c r="Z1081" s="23">
        <v>11600007</v>
      </c>
      <c r="AA1081" s="23">
        <v>3351</v>
      </c>
      <c r="AB1081" s="24">
        <v>46064</v>
      </c>
    </row>
    <row r="1082" spans="2:28" x14ac:dyDescent="0.2">
      <c r="B1082" s="23" t="s">
        <v>81</v>
      </c>
      <c r="C1082" s="23">
        <v>1100576682</v>
      </c>
      <c r="H1082" s="24">
        <v>46108</v>
      </c>
      <c r="O1082" s="23">
        <v>996.32</v>
      </c>
      <c r="P1082" s="23" t="s">
        <v>79</v>
      </c>
    </row>
    <row r="1083" spans="2:28" x14ac:dyDescent="0.2">
      <c r="C1083" s="23">
        <v>1100576731</v>
      </c>
      <c r="E1083" s="23">
        <v>10</v>
      </c>
      <c r="F1083" s="23" t="s">
        <v>3184</v>
      </c>
      <c r="G1083" s="23" t="s">
        <v>3185</v>
      </c>
      <c r="H1083" s="24">
        <v>46108</v>
      </c>
      <c r="I1083" s="24">
        <v>46108</v>
      </c>
      <c r="J1083" s="23" t="s">
        <v>2254</v>
      </c>
      <c r="K1083" s="23" t="s">
        <v>2254</v>
      </c>
      <c r="L1083" s="23">
        <v>1</v>
      </c>
      <c r="M1083" s="23" t="s">
        <v>78</v>
      </c>
      <c r="N1083" s="23" t="s">
        <v>78</v>
      </c>
      <c r="O1083" s="23">
        <v>559.63</v>
      </c>
      <c r="P1083" s="23" t="s">
        <v>79</v>
      </c>
      <c r="Q1083" s="23" t="s">
        <v>83</v>
      </c>
      <c r="R1083" s="23">
        <v>11100176</v>
      </c>
      <c r="S1083" s="24">
        <v>46107</v>
      </c>
      <c r="T1083" s="24">
        <v>46065</v>
      </c>
      <c r="U1083" s="24" t="s">
        <v>80</v>
      </c>
      <c r="X1083" s="24">
        <v>46062</v>
      </c>
      <c r="Y1083" s="23">
        <v>1111</v>
      </c>
      <c r="Z1083" s="23">
        <v>11400745</v>
      </c>
      <c r="AA1083" s="23">
        <v>3951</v>
      </c>
      <c r="AB1083" s="24">
        <v>46056</v>
      </c>
    </row>
    <row r="1084" spans="2:28" x14ac:dyDescent="0.2">
      <c r="C1084" s="23">
        <v>1100576731</v>
      </c>
      <c r="E1084" s="23">
        <v>20</v>
      </c>
      <c r="F1084" s="23" t="s">
        <v>273</v>
      </c>
      <c r="G1084" s="23" t="s">
        <v>274</v>
      </c>
      <c r="H1084" s="24">
        <v>46108</v>
      </c>
      <c r="I1084" s="24">
        <v>46108</v>
      </c>
      <c r="J1084" s="23" t="s">
        <v>2254</v>
      </c>
      <c r="K1084" s="23" t="s">
        <v>2254</v>
      </c>
      <c r="L1084" s="23">
        <v>1</v>
      </c>
      <c r="M1084" s="23" t="s">
        <v>78</v>
      </c>
      <c r="N1084" s="23" t="s">
        <v>78</v>
      </c>
      <c r="O1084" s="23">
        <v>758.63</v>
      </c>
      <c r="P1084" s="23" t="s">
        <v>79</v>
      </c>
      <c r="Q1084" s="23" t="s">
        <v>83</v>
      </c>
      <c r="R1084" s="23">
        <v>11100176</v>
      </c>
      <c r="S1084" s="24">
        <v>46120</v>
      </c>
      <c r="T1084" s="24">
        <v>46065</v>
      </c>
      <c r="U1084" s="24" t="s">
        <v>80</v>
      </c>
      <c r="X1084" s="24">
        <v>46062</v>
      </c>
      <c r="Y1084" s="23">
        <v>1111</v>
      </c>
      <c r="Z1084" s="23">
        <v>11400745</v>
      </c>
      <c r="AA1084" s="23">
        <v>3951</v>
      </c>
      <c r="AB1084" s="24">
        <v>46056</v>
      </c>
    </row>
    <row r="1085" spans="2:28" x14ac:dyDescent="0.2">
      <c r="C1085" s="23">
        <v>1100576731</v>
      </c>
      <c r="E1085" s="23">
        <v>40</v>
      </c>
      <c r="F1085" s="23" t="s">
        <v>3186</v>
      </c>
      <c r="G1085" s="23" t="s">
        <v>3187</v>
      </c>
      <c r="H1085" s="24">
        <v>46108</v>
      </c>
      <c r="I1085" s="24">
        <v>46108</v>
      </c>
      <c r="J1085" s="23" t="s">
        <v>2254</v>
      </c>
      <c r="K1085" s="23" t="s">
        <v>2254</v>
      </c>
      <c r="L1085" s="23">
        <v>1</v>
      </c>
      <c r="M1085" s="23" t="s">
        <v>78</v>
      </c>
      <c r="N1085" s="23" t="s">
        <v>78</v>
      </c>
      <c r="O1085" s="23">
        <v>678.27</v>
      </c>
      <c r="P1085" s="23" t="s">
        <v>79</v>
      </c>
      <c r="Q1085" s="23" t="s">
        <v>83</v>
      </c>
      <c r="R1085" s="23">
        <v>11100176</v>
      </c>
      <c r="S1085" s="24">
        <v>46107</v>
      </c>
      <c r="T1085" s="24">
        <v>46065</v>
      </c>
      <c r="U1085" s="24" t="s">
        <v>80</v>
      </c>
      <c r="X1085" s="24">
        <v>46062</v>
      </c>
      <c r="Y1085" s="23">
        <v>1111</v>
      </c>
      <c r="Z1085" s="23">
        <v>11400745</v>
      </c>
      <c r="AA1085" s="23">
        <v>3951</v>
      </c>
      <c r="AB1085" s="24">
        <v>46056</v>
      </c>
    </row>
    <row r="1086" spans="2:28" x14ac:dyDescent="0.2">
      <c r="C1086" s="23">
        <v>1100576731</v>
      </c>
      <c r="E1086" s="23">
        <v>50</v>
      </c>
      <c r="F1086" s="23" t="s">
        <v>3188</v>
      </c>
      <c r="G1086" s="23" t="s">
        <v>3189</v>
      </c>
      <c r="H1086" s="24">
        <v>46108</v>
      </c>
      <c r="I1086" s="24">
        <v>46108</v>
      </c>
      <c r="J1086" s="23" t="s">
        <v>2254</v>
      </c>
      <c r="K1086" s="23" t="s">
        <v>2254</v>
      </c>
      <c r="L1086" s="23">
        <v>1</v>
      </c>
      <c r="M1086" s="23" t="s">
        <v>78</v>
      </c>
      <c r="N1086" s="23" t="s">
        <v>78</v>
      </c>
      <c r="O1086" s="23">
        <v>563.53</v>
      </c>
      <c r="P1086" s="23" t="s">
        <v>79</v>
      </c>
      <c r="Q1086" s="23" t="s">
        <v>83</v>
      </c>
      <c r="R1086" s="23">
        <v>11100176</v>
      </c>
      <c r="S1086" s="24">
        <v>46107</v>
      </c>
      <c r="T1086" s="24">
        <v>46065</v>
      </c>
      <c r="U1086" s="24" t="s">
        <v>80</v>
      </c>
      <c r="X1086" s="24">
        <v>46062</v>
      </c>
      <c r="Y1086" s="23">
        <v>1111</v>
      </c>
      <c r="Z1086" s="23">
        <v>11400745</v>
      </c>
      <c r="AA1086" s="23">
        <v>3951</v>
      </c>
      <c r="AB1086" s="24">
        <v>46056</v>
      </c>
    </row>
    <row r="1087" spans="2:28" x14ac:dyDescent="0.2">
      <c r="C1087" s="23">
        <v>1100576731</v>
      </c>
      <c r="E1087" s="23">
        <v>60</v>
      </c>
      <c r="F1087" s="23" t="s">
        <v>3190</v>
      </c>
      <c r="G1087" s="23" t="s">
        <v>3191</v>
      </c>
      <c r="H1087" s="24">
        <v>46108</v>
      </c>
      <c r="I1087" s="24">
        <v>46108</v>
      </c>
      <c r="J1087" s="23" t="s">
        <v>2254</v>
      </c>
      <c r="K1087" s="23" t="s">
        <v>2254</v>
      </c>
      <c r="L1087" s="23">
        <v>1</v>
      </c>
      <c r="M1087" s="23" t="s">
        <v>78</v>
      </c>
      <c r="N1087" s="23" t="s">
        <v>78</v>
      </c>
      <c r="O1087" s="23">
        <v>591.77</v>
      </c>
      <c r="P1087" s="23" t="s">
        <v>79</v>
      </c>
      <c r="Q1087" s="23" t="s">
        <v>83</v>
      </c>
      <c r="R1087" s="23">
        <v>11100176</v>
      </c>
      <c r="S1087" s="24">
        <v>46107</v>
      </c>
      <c r="T1087" s="24">
        <v>46065</v>
      </c>
      <c r="U1087" s="24" t="s">
        <v>80</v>
      </c>
      <c r="X1087" s="24">
        <v>46062</v>
      </c>
      <c r="Y1087" s="23">
        <v>1111</v>
      </c>
      <c r="Z1087" s="23">
        <v>11400745</v>
      </c>
      <c r="AA1087" s="23">
        <v>3951</v>
      </c>
      <c r="AB1087" s="24">
        <v>46056</v>
      </c>
    </row>
    <row r="1088" spans="2:28" x14ac:dyDescent="0.2">
      <c r="C1088" s="23">
        <v>1100576731</v>
      </c>
      <c r="E1088" s="23">
        <v>70</v>
      </c>
      <c r="F1088" s="23" t="s">
        <v>82</v>
      </c>
      <c r="G1088" s="23" t="s">
        <v>139</v>
      </c>
      <c r="H1088" s="24">
        <v>46108</v>
      </c>
      <c r="I1088" s="24">
        <v>46108</v>
      </c>
      <c r="J1088" s="23" t="s">
        <v>2254</v>
      </c>
      <c r="K1088" s="23" t="s">
        <v>2254</v>
      </c>
      <c r="L1088" s="23">
        <v>1</v>
      </c>
      <c r="M1088" s="23" t="s">
        <v>78</v>
      </c>
      <c r="N1088" s="23" t="s">
        <v>78</v>
      </c>
      <c r="O1088" s="23">
        <v>0.01</v>
      </c>
      <c r="P1088" s="23" t="s">
        <v>79</v>
      </c>
      <c r="Q1088" s="23" t="s">
        <v>83</v>
      </c>
      <c r="R1088" s="23">
        <v>11100176</v>
      </c>
      <c r="S1088" s="24" t="s">
        <v>80</v>
      </c>
      <c r="T1088" s="24">
        <v>46065</v>
      </c>
      <c r="U1088" s="24" t="s">
        <v>80</v>
      </c>
      <c r="X1088" s="24">
        <v>46062</v>
      </c>
      <c r="Y1088" s="23">
        <v>1111</v>
      </c>
      <c r="Z1088" s="23">
        <v>11400745</v>
      </c>
      <c r="AA1088" s="23">
        <v>3951</v>
      </c>
      <c r="AB1088" s="24">
        <v>46056</v>
      </c>
    </row>
    <row r="1089" spans="2:28" x14ac:dyDescent="0.2">
      <c r="B1089" s="23" t="s">
        <v>81</v>
      </c>
      <c r="C1089" s="23">
        <v>1100576731</v>
      </c>
      <c r="H1089" s="24">
        <v>46108</v>
      </c>
      <c r="O1089" s="23">
        <v>3151.84</v>
      </c>
      <c r="P1089" s="23" t="s">
        <v>79</v>
      </c>
    </row>
    <row r="1090" spans="2:28" x14ac:dyDescent="0.2">
      <c r="C1090" s="23">
        <v>1100577231</v>
      </c>
      <c r="E1090" s="23">
        <v>10</v>
      </c>
      <c r="F1090" s="23" t="s">
        <v>3192</v>
      </c>
      <c r="G1090" s="23" t="s">
        <v>3193</v>
      </c>
      <c r="H1090" s="24">
        <v>46108</v>
      </c>
      <c r="I1090" s="24">
        <v>46108</v>
      </c>
      <c r="J1090" s="23" t="s">
        <v>971</v>
      </c>
      <c r="K1090" s="23" t="s">
        <v>971</v>
      </c>
      <c r="L1090" s="23">
        <v>1</v>
      </c>
      <c r="M1090" s="23" t="s">
        <v>78</v>
      </c>
      <c r="N1090" s="23" t="s">
        <v>78</v>
      </c>
      <c r="O1090" s="23">
        <v>2315.81</v>
      </c>
      <c r="P1090" s="23" t="s">
        <v>79</v>
      </c>
      <c r="Q1090" s="23" t="s">
        <v>83</v>
      </c>
      <c r="R1090" s="23">
        <v>11100176</v>
      </c>
      <c r="S1090" s="24">
        <v>46108</v>
      </c>
      <c r="T1090" s="24">
        <v>46072</v>
      </c>
      <c r="U1090" s="24" t="s">
        <v>80</v>
      </c>
      <c r="X1090" s="24">
        <v>45948</v>
      </c>
      <c r="Y1090" s="23">
        <v>1111</v>
      </c>
      <c r="Z1090" s="23">
        <v>11400704</v>
      </c>
      <c r="AA1090" s="23">
        <v>335103</v>
      </c>
      <c r="AB1090" s="24">
        <v>46070</v>
      </c>
    </row>
    <row r="1091" spans="2:28" x14ac:dyDescent="0.2">
      <c r="B1091" s="23" t="s">
        <v>81</v>
      </c>
      <c r="C1091" s="23">
        <v>1100577231</v>
      </c>
      <c r="H1091" s="24">
        <v>46108</v>
      </c>
      <c r="O1091" s="23">
        <v>2315.81</v>
      </c>
      <c r="P1091" s="23" t="s">
        <v>79</v>
      </c>
    </row>
    <row r="1092" spans="2:28" x14ac:dyDescent="0.2">
      <c r="C1092" s="23">
        <v>1100577455</v>
      </c>
      <c r="E1092" s="23">
        <v>20</v>
      </c>
      <c r="F1092" s="23" t="s">
        <v>3194</v>
      </c>
      <c r="G1092" s="23" t="s">
        <v>3195</v>
      </c>
      <c r="H1092" s="24">
        <v>46108</v>
      </c>
      <c r="I1092" s="24">
        <v>46108</v>
      </c>
      <c r="J1092" s="23" t="s">
        <v>102</v>
      </c>
      <c r="K1092" s="23" t="s">
        <v>102</v>
      </c>
      <c r="L1092" s="23">
        <v>1</v>
      </c>
      <c r="M1092" s="23" t="s">
        <v>78</v>
      </c>
      <c r="N1092" s="23" t="s">
        <v>78</v>
      </c>
      <c r="O1092" s="23">
        <v>46.05</v>
      </c>
      <c r="P1092" s="23" t="s">
        <v>79</v>
      </c>
      <c r="Q1092" s="23" t="s">
        <v>83</v>
      </c>
      <c r="R1092" s="23">
        <v>11100176</v>
      </c>
      <c r="S1092" s="24">
        <v>46097</v>
      </c>
      <c r="T1092" s="24">
        <v>46074</v>
      </c>
      <c r="U1092" s="24">
        <v>47116</v>
      </c>
      <c r="X1092" s="24">
        <v>46065</v>
      </c>
      <c r="Y1092" s="23">
        <v>1111</v>
      </c>
      <c r="Z1092" s="23">
        <v>11400797</v>
      </c>
      <c r="AA1092" s="23">
        <v>515103</v>
      </c>
      <c r="AB1092" s="24">
        <v>46071</v>
      </c>
    </row>
    <row r="1093" spans="2:28" x14ac:dyDescent="0.2">
      <c r="C1093" s="23">
        <v>1100577455</v>
      </c>
      <c r="E1093" s="23">
        <v>40</v>
      </c>
      <c r="F1093" s="23" t="s">
        <v>3196</v>
      </c>
      <c r="G1093" s="23" t="s">
        <v>3197</v>
      </c>
      <c r="H1093" s="24">
        <v>46108</v>
      </c>
      <c r="I1093" s="24">
        <v>46108</v>
      </c>
      <c r="J1093" s="23" t="s">
        <v>102</v>
      </c>
      <c r="K1093" s="23" t="s">
        <v>102</v>
      </c>
      <c r="L1093" s="23">
        <v>2</v>
      </c>
      <c r="M1093" s="23" t="s">
        <v>78</v>
      </c>
      <c r="N1093" s="23" t="s">
        <v>78</v>
      </c>
      <c r="O1093" s="23">
        <v>1642.83</v>
      </c>
      <c r="P1093" s="23" t="s">
        <v>79</v>
      </c>
      <c r="Q1093" s="23" t="s">
        <v>83</v>
      </c>
      <c r="R1093" s="23">
        <v>11100176</v>
      </c>
      <c r="S1093" s="24">
        <v>46097</v>
      </c>
      <c r="T1093" s="24">
        <v>46074</v>
      </c>
      <c r="U1093" s="24">
        <v>47116</v>
      </c>
      <c r="X1093" s="24">
        <v>46065</v>
      </c>
      <c r="Y1093" s="23">
        <v>1111</v>
      </c>
      <c r="Z1093" s="23">
        <v>11400797</v>
      </c>
      <c r="AA1093" s="23">
        <v>515103</v>
      </c>
      <c r="AB1093" s="24">
        <v>46071</v>
      </c>
    </row>
    <row r="1094" spans="2:28" x14ac:dyDescent="0.2">
      <c r="B1094" s="23" t="s">
        <v>81</v>
      </c>
      <c r="C1094" s="23">
        <v>1100577455</v>
      </c>
      <c r="H1094" s="24">
        <v>46108</v>
      </c>
      <c r="O1094" s="23">
        <v>1688.88</v>
      </c>
      <c r="P1094" s="23" t="s">
        <v>79</v>
      </c>
    </row>
    <row r="1095" spans="2:28" x14ac:dyDescent="0.2">
      <c r="C1095" s="23">
        <v>1100577467</v>
      </c>
      <c r="E1095" s="23">
        <v>10</v>
      </c>
      <c r="F1095" s="23" t="s">
        <v>725</v>
      </c>
      <c r="G1095" s="23" t="s">
        <v>726</v>
      </c>
      <c r="H1095" s="24">
        <v>46108</v>
      </c>
      <c r="I1095" s="24">
        <v>46108</v>
      </c>
      <c r="J1095" s="23" t="s">
        <v>734</v>
      </c>
      <c r="K1095" s="23" t="s">
        <v>734</v>
      </c>
      <c r="L1095" s="23">
        <v>1</v>
      </c>
      <c r="M1095" s="23" t="s">
        <v>78</v>
      </c>
      <c r="N1095" s="23" t="s">
        <v>78</v>
      </c>
      <c r="O1095" s="23">
        <v>1494.41</v>
      </c>
      <c r="P1095" s="23" t="s">
        <v>79</v>
      </c>
      <c r="Q1095" s="23" t="s">
        <v>83</v>
      </c>
      <c r="R1095" s="23">
        <v>11100176</v>
      </c>
      <c r="S1095" s="24">
        <v>46108</v>
      </c>
      <c r="T1095" s="24">
        <v>46074</v>
      </c>
      <c r="U1095" s="24" t="s">
        <v>80</v>
      </c>
      <c r="X1095" s="24">
        <v>46035</v>
      </c>
      <c r="Y1095" s="23">
        <v>1111</v>
      </c>
      <c r="Z1095" s="23">
        <v>11600003</v>
      </c>
      <c r="AA1095" s="23">
        <v>3351</v>
      </c>
      <c r="AB1095" s="24">
        <v>46071</v>
      </c>
    </row>
    <row r="1096" spans="2:28" x14ac:dyDescent="0.2">
      <c r="C1096" s="23">
        <v>1100577467</v>
      </c>
      <c r="E1096" s="23">
        <v>20</v>
      </c>
      <c r="F1096" s="23" t="s">
        <v>663</v>
      </c>
      <c r="G1096" s="23" t="s">
        <v>1814</v>
      </c>
      <c r="H1096" s="24">
        <v>46108</v>
      </c>
      <c r="I1096" s="24">
        <v>46108</v>
      </c>
      <c r="J1096" s="23" t="s">
        <v>734</v>
      </c>
      <c r="K1096" s="23" t="s">
        <v>734</v>
      </c>
      <c r="L1096" s="23">
        <v>2</v>
      </c>
      <c r="M1096" s="23" t="s">
        <v>78</v>
      </c>
      <c r="N1096" s="23" t="s">
        <v>78</v>
      </c>
      <c r="O1096" s="23">
        <v>103.2</v>
      </c>
      <c r="P1096" s="23" t="s">
        <v>79</v>
      </c>
      <c r="Q1096" s="23" t="s">
        <v>83</v>
      </c>
      <c r="R1096" s="23">
        <v>11100176</v>
      </c>
      <c r="S1096" s="24">
        <v>46108</v>
      </c>
      <c r="T1096" s="24">
        <v>46074</v>
      </c>
      <c r="U1096" s="24" t="s">
        <v>80</v>
      </c>
      <c r="X1096" s="24">
        <v>46035</v>
      </c>
      <c r="Y1096" s="23">
        <v>1111</v>
      </c>
      <c r="Z1096" s="23">
        <v>11600003</v>
      </c>
      <c r="AA1096" s="23">
        <v>3351</v>
      </c>
      <c r="AB1096" s="24">
        <v>46071</v>
      </c>
    </row>
    <row r="1097" spans="2:28" x14ac:dyDescent="0.2">
      <c r="C1097" s="23">
        <v>1100577467</v>
      </c>
      <c r="E1097" s="23">
        <v>30</v>
      </c>
      <c r="F1097" s="23" t="s">
        <v>82</v>
      </c>
      <c r="G1097" s="23" t="s">
        <v>139</v>
      </c>
      <c r="H1097" s="24">
        <v>46108</v>
      </c>
      <c r="I1097" s="24">
        <v>46108</v>
      </c>
      <c r="J1097" s="23" t="s">
        <v>734</v>
      </c>
      <c r="K1097" s="23" t="s">
        <v>734</v>
      </c>
      <c r="L1097" s="23">
        <v>1</v>
      </c>
      <c r="M1097" s="23" t="s">
        <v>78</v>
      </c>
      <c r="N1097" s="23" t="s">
        <v>78</v>
      </c>
      <c r="O1097" s="23">
        <v>0.01</v>
      </c>
      <c r="P1097" s="23" t="s">
        <v>79</v>
      </c>
      <c r="Q1097" s="23" t="s">
        <v>83</v>
      </c>
      <c r="R1097" s="23">
        <v>11100176</v>
      </c>
      <c r="S1097" s="24">
        <v>46108</v>
      </c>
      <c r="T1097" s="24">
        <v>46074</v>
      </c>
      <c r="U1097" s="24" t="s">
        <v>80</v>
      </c>
      <c r="X1097" s="24">
        <v>46035</v>
      </c>
      <c r="Y1097" s="23">
        <v>1111</v>
      </c>
      <c r="Z1097" s="23">
        <v>11600003</v>
      </c>
      <c r="AA1097" s="23">
        <v>3351</v>
      </c>
      <c r="AB1097" s="24">
        <v>46071</v>
      </c>
    </row>
    <row r="1098" spans="2:28" x14ac:dyDescent="0.2">
      <c r="B1098" s="23" t="s">
        <v>81</v>
      </c>
      <c r="C1098" s="23">
        <v>1100577467</v>
      </c>
      <c r="H1098" s="24">
        <v>46108</v>
      </c>
      <c r="O1098" s="23">
        <v>1597.62</v>
      </c>
      <c r="P1098" s="23" t="s">
        <v>79</v>
      </c>
    </row>
    <row r="1099" spans="2:28" x14ac:dyDescent="0.2">
      <c r="C1099" s="23">
        <v>1100578003</v>
      </c>
      <c r="E1099" s="23">
        <v>10</v>
      </c>
      <c r="F1099" s="23" t="s">
        <v>3125</v>
      </c>
      <c r="G1099" s="23" t="s">
        <v>3126</v>
      </c>
      <c r="H1099" s="24">
        <v>46108</v>
      </c>
      <c r="I1099" s="24">
        <v>46108</v>
      </c>
      <c r="J1099" s="23" t="s">
        <v>242</v>
      </c>
      <c r="K1099" s="23" t="s">
        <v>242</v>
      </c>
      <c r="L1099" s="23">
        <v>20</v>
      </c>
      <c r="M1099" s="23" t="s">
        <v>78</v>
      </c>
      <c r="N1099" s="23" t="s">
        <v>78</v>
      </c>
      <c r="O1099" s="23">
        <v>1543.6</v>
      </c>
      <c r="P1099" s="23" t="s">
        <v>79</v>
      </c>
      <c r="Q1099" s="23" t="s">
        <v>83</v>
      </c>
      <c r="R1099" s="23">
        <v>11100176</v>
      </c>
      <c r="S1099" s="24">
        <v>46100</v>
      </c>
      <c r="T1099" s="24">
        <v>46078</v>
      </c>
      <c r="U1099" s="24" t="s">
        <v>80</v>
      </c>
      <c r="X1099" s="24">
        <v>46076</v>
      </c>
      <c r="Y1099" s="23">
        <v>1111</v>
      </c>
      <c r="Z1099" s="23">
        <v>11100320</v>
      </c>
      <c r="AA1099" s="23">
        <v>5051</v>
      </c>
      <c r="AB1099" s="24">
        <v>46078</v>
      </c>
    </row>
    <row r="1100" spans="2:28" x14ac:dyDescent="0.2">
      <c r="C1100" s="23">
        <v>1100578003</v>
      </c>
      <c r="E1100" s="23">
        <v>20</v>
      </c>
      <c r="F1100" s="23" t="s">
        <v>82</v>
      </c>
      <c r="G1100" s="23" t="s">
        <v>139</v>
      </c>
      <c r="H1100" s="24">
        <v>46108</v>
      </c>
      <c r="I1100" s="24">
        <v>46108</v>
      </c>
      <c r="J1100" s="23" t="s">
        <v>242</v>
      </c>
      <c r="K1100" s="23" t="s">
        <v>242</v>
      </c>
      <c r="L1100" s="23">
        <v>1</v>
      </c>
      <c r="M1100" s="23" t="s">
        <v>78</v>
      </c>
      <c r="N1100" s="23" t="s">
        <v>78</v>
      </c>
      <c r="O1100" s="23">
        <v>0.01</v>
      </c>
      <c r="P1100" s="23" t="s">
        <v>79</v>
      </c>
      <c r="Q1100" s="23" t="s">
        <v>83</v>
      </c>
      <c r="R1100" s="23">
        <v>11100176</v>
      </c>
      <c r="S1100" s="24">
        <v>46100</v>
      </c>
      <c r="T1100" s="24">
        <v>46078</v>
      </c>
      <c r="U1100" s="24" t="s">
        <v>80</v>
      </c>
      <c r="X1100" s="24">
        <v>46076</v>
      </c>
      <c r="Y1100" s="23">
        <v>1111</v>
      </c>
      <c r="Z1100" s="23">
        <v>11100320</v>
      </c>
      <c r="AA1100" s="23">
        <v>5051</v>
      </c>
      <c r="AB1100" s="24">
        <v>46078</v>
      </c>
    </row>
    <row r="1101" spans="2:28" x14ac:dyDescent="0.2">
      <c r="B1101" s="23" t="s">
        <v>81</v>
      </c>
      <c r="C1101" s="23">
        <v>1100578003</v>
      </c>
      <c r="H1101" s="24">
        <v>46108</v>
      </c>
      <c r="O1101" s="23">
        <v>1543.61</v>
      </c>
      <c r="P1101" s="23" t="s">
        <v>79</v>
      </c>
    </row>
    <row r="1102" spans="2:28" x14ac:dyDescent="0.2">
      <c r="C1102" s="23">
        <v>1100578243</v>
      </c>
      <c r="E1102" s="23">
        <v>10</v>
      </c>
      <c r="F1102" s="23" t="s">
        <v>3198</v>
      </c>
      <c r="G1102" s="23" t="s">
        <v>3199</v>
      </c>
      <c r="H1102" s="24">
        <v>46108</v>
      </c>
      <c r="I1102" s="24">
        <v>46108</v>
      </c>
      <c r="J1102" s="23" t="s">
        <v>682</v>
      </c>
      <c r="K1102" s="23" t="s">
        <v>682</v>
      </c>
      <c r="L1102" s="23">
        <v>2</v>
      </c>
      <c r="M1102" s="23" t="s">
        <v>78</v>
      </c>
      <c r="N1102" s="23" t="s">
        <v>78</v>
      </c>
      <c r="O1102" s="23">
        <v>1638.18</v>
      </c>
      <c r="P1102" s="23" t="s">
        <v>79</v>
      </c>
      <c r="Q1102" s="23" t="s">
        <v>83</v>
      </c>
      <c r="R1102" s="23">
        <v>11100176</v>
      </c>
      <c r="S1102" s="24">
        <v>46108</v>
      </c>
      <c r="T1102" s="24">
        <v>46080</v>
      </c>
      <c r="U1102" s="24" t="s">
        <v>80</v>
      </c>
      <c r="X1102" s="24">
        <v>46073</v>
      </c>
      <c r="Y1102" s="23">
        <v>1111</v>
      </c>
      <c r="Z1102" s="23">
        <v>11400704</v>
      </c>
      <c r="AA1102" s="23">
        <v>335103</v>
      </c>
      <c r="AB1102" s="24">
        <v>46079</v>
      </c>
    </row>
    <row r="1103" spans="2:28" x14ac:dyDescent="0.2">
      <c r="B1103" s="23" t="s">
        <v>81</v>
      </c>
      <c r="C1103" s="23">
        <v>1100578243</v>
      </c>
      <c r="H1103" s="24">
        <v>46108</v>
      </c>
      <c r="O1103" s="23">
        <v>1638.18</v>
      </c>
      <c r="P1103" s="23" t="s">
        <v>79</v>
      </c>
    </row>
    <row r="1104" spans="2:28" x14ac:dyDescent="0.2">
      <c r="C1104" s="23">
        <v>1100578276</v>
      </c>
      <c r="E1104" s="23">
        <v>10</v>
      </c>
      <c r="F1104" s="23" t="s">
        <v>680</v>
      </c>
      <c r="G1104" s="23" t="s">
        <v>681</v>
      </c>
      <c r="H1104" s="24">
        <v>46108</v>
      </c>
      <c r="I1104" s="24">
        <v>46108</v>
      </c>
      <c r="J1104" s="23" t="s">
        <v>3200</v>
      </c>
      <c r="K1104" s="23" t="s">
        <v>3200</v>
      </c>
      <c r="L1104" s="23">
        <v>6</v>
      </c>
      <c r="M1104" s="23" t="s">
        <v>78</v>
      </c>
      <c r="N1104" s="23" t="s">
        <v>78</v>
      </c>
      <c r="O1104" s="23">
        <v>6065.82</v>
      </c>
      <c r="P1104" s="23" t="s">
        <v>79</v>
      </c>
      <c r="Q1104" s="23" t="s">
        <v>83</v>
      </c>
      <c r="R1104" s="23">
        <v>11100176</v>
      </c>
      <c r="S1104" s="24">
        <v>46101</v>
      </c>
      <c r="T1104" s="24">
        <v>46080</v>
      </c>
      <c r="U1104" s="24" t="s">
        <v>80</v>
      </c>
      <c r="X1104" s="24">
        <v>46078</v>
      </c>
      <c r="Y1104" s="23">
        <v>1111</v>
      </c>
      <c r="Z1104" s="23">
        <v>11600003</v>
      </c>
      <c r="AA1104" s="23">
        <v>505103</v>
      </c>
      <c r="AB1104" s="24">
        <v>46079</v>
      </c>
    </row>
    <row r="1105" spans="2:28" x14ac:dyDescent="0.2">
      <c r="C1105" s="23">
        <v>1100578276</v>
      </c>
      <c r="E1105" s="23">
        <v>20</v>
      </c>
      <c r="F1105" s="23" t="s">
        <v>82</v>
      </c>
      <c r="G1105" s="23" t="s">
        <v>139</v>
      </c>
      <c r="H1105" s="24">
        <v>46108</v>
      </c>
      <c r="I1105" s="24">
        <v>46108</v>
      </c>
      <c r="J1105" s="23" t="s">
        <v>3200</v>
      </c>
      <c r="K1105" s="23" t="s">
        <v>3200</v>
      </c>
      <c r="L1105" s="23">
        <v>1</v>
      </c>
      <c r="M1105" s="23" t="s">
        <v>78</v>
      </c>
      <c r="N1105" s="23" t="s">
        <v>78</v>
      </c>
      <c r="O1105" s="23">
        <v>0.01</v>
      </c>
      <c r="P1105" s="23" t="s">
        <v>79</v>
      </c>
      <c r="Q1105" s="23" t="s">
        <v>83</v>
      </c>
      <c r="R1105" s="23">
        <v>11100176</v>
      </c>
      <c r="S1105" s="24">
        <v>46101</v>
      </c>
      <c r="T1105" s="24">
        <v>46080</v>
      </c>
      <c r="U1105" s="24" t="s">
        <v>80</v>
      </c>
      <c r="X1105" s="24">
        <v>46078</v>
      </c>
      <c r="Y1105" s="23">
        <v>1111</v>
      </c>
      <c r="Z1105" s="23">
        <v>11600003</v>
      </c>
      <c r="AA1105" s="23">
        <v>505103</v>
      </c>
      <c r="AB1105" s="24">
        <v>46079</v>
      </c>
    </row>
    <row r="1106" spans="2:28" x14ac:dyDescent="0.2">
      <c r="B1106" s="23" t="s">
        <v>81</v>
      </c>
      <c r="C1106" s="23">
        <v>1100578276</v>
      </c>
      <c r="H1106" s="24">
        <v>46108</v>
      </c>
      <c r="O1106" s="23">
        <v>6065.83</v>
      </c>
      <c r="P1106" s="23" t="s">
        <v>79</v>
      </c>
    </row>
    <row r="1107" spans="2:28" x14ac:dyDescent="0.2">
      <c r="C1107" s="23">
        <v>1100578315</v>
      </c>
      <c r="E1107" s="23">
        <v>10</v>
      </c>
      <c r="F1107" s="23" t="s">
        <v>124</v>
      </c>
      <c r="G1107" s="23" t="s">
        <v>125</v>
      </c>
      <c r="H1107" s="24">
        <v>46108</v>
      </c>
      <c r="I1107" s="24">
        <v>46108</v>
      </c>
      <c r="J1107" s="23" t="s">
        <v>91</v>
      </c>
      <c r="K1107" s="23" t="s">
        <v>91</v>
      </c>
      <c r="L1107" s="23">
        <v>2</v>
      </c>
      <c r="M1107" s="23" t="s">
        <v>78</v>
      </c>
      <c r="N1107" s="23" t="s">
        <v>78</v>
      </c>
      <c r="O1107" s="23">
        <v>2467.5</v>
      </c>
      <c r="P1107" s="23" t="s">
        <v>79</v>
      </c>
      <c r="Q1107" s="23" t="s">
        <v>83</v>
      </c>
      <c r="R1107" s="23">
        <v>11100176</v>
      </c>
      <c r="S1107" s="24">
        <v>46108</v>
      </c>
      <c r="T1107" s="24">
        <v>46080</v>
      </c>
      <c r="U1107" s="24" t="s">
        <v>80</v>
      </c>
      <c r="X1107" s="24">
        <v>46079</v>
      </c>
      <c r="Y1107" s="23">
        <v>1111</v>
      </c>
      <c r="Z1107" s="23">
        <v>11600003</v>
      </c>
      <c r="AA1107" s="23">
        <v>5051</v>
      </c>
      <c r="AB1107" s="24">
        <v>46078</v>
      </c>
    </row>
    <row r="1108" spans="2:28" x14ac:dyDescent="0.2">
      <c r="B1108" s="23" t="s">
        <v>81</v>
      </c>
      <c r="C1108" s="23">
        <v>1100578315</v>
      </c>
      <c r="H1108" s="24">
        <v>46108</v>
      </c>
      <c r="O1108" s="23">
        <v>2467.5</v>
      </c>
      <c r="P1108" s="23" t="s">
        <v>79</v>
      </c>
    </row>
    <row r="1109" spans="2:28" x14ac:dyDescent="0.2">
      <c r="C1109" s="23">
        <v>1100578396</v>
      </c>
      <c r="E1109" s="23">
        <v>10</v>
      </c>
      <c r="F1109" s="23" t="s">
        <v>841</v>
      </c>
      <c r="G1109" s="23" t="s">
        <v>842</v>
      </c>
      <c r="H1109" s="24">
        <v>46108</v>
      </c>
      <c r="I1109" s="24">
        <v>46108</v>
      </c>
      <c r="J1109" s="23" t="s">
        <v>102</v>
      </c>
      <c r="K1109" s="23" t="s">
        <v>102</v>
      </c>
      <c r="L1109" s="23">
        <v>1</v>
      </c>
      <c r="M1109" s="23" t="s">
        <v>78</v>
      </c>
      <c r="N1109" s="23" t="s">
        <v>78</v>
      </c>
      <c r="O1109" s="23">
        <v>843.21</v>
      </c>
      <c r="P1109" s="23" t="s">
        <v>79</v>
      </c>
      <c r="Q1109" s="23" t="s">
        <v>83</v>
      </c>
      <c r="R1109" s="23">
        <v>11100176</v>
      </c>
      <c r="S1109" s="24">
        <v>46137</v>
      </c>
      <c r="T1109" s="24">
        <v>46081</v>
      </c>
      <c r="U1109" s="24">
        <v>47116</v>
      </c>
      <c r="X1109" s="24">
        <v>46080</v>
      </c>
      <c r="Y1109" s="23">
        <v>1111</v>
      </c>
      <c r="Z1109" s="23">
        <v>11400811</v>
      </c>
      <c r="AA1109" s="23">
        <v>5151</v>
      </c>
      <c r="AB1109" s="24">
        <v>46080</v>
      </c>
    </row>
    <row r="1110" spans="2:28" x14ac:dyDescent="0.2">
      <c r="C1110" s="23">
        <v>1100578396</v>
      </c>
      <c r="E1110" s="23">
        <v>30</v>
      </c>
      <c r="F1110" s="23" t="s">
        <v>82</v>
      </c>
      <c r="G1110" s="23" t="s">
        <v>139</v>
      </c>
      <c r="H1110" s="24">
        <v>46108</v>
      </c>
      <c r="I1110" s="24">
        <v>46108</v>
      </c>
      <c r="J1110" s="23" t="s">
        <v>102</v>
      </c>
      <c r="K1110" s="23" t="s">
        <v>102</v>
      </c>
      <c r="L1110" s="23">
        <v>1</v>
      </c>
      <c r="M1110" s="23" t="s">
        <v>78</v>
      </c>
      <c r="N1110" s="23" t="s">
        <v>78</v>
      </c>
      <c r="O1110" s="23">
        <v>0.01</v>
      </c>
      <c r="P1110" s="23" t="s">
        <v>79</v>
      </c>
      <c r="Q1110" s="23" t="s">
        <v>83</v>
      </c>
      <c r="R1110" s="23">
        <v>11100176</v>
      </c>
      <c r="S1110" s="24" t="s">
        <v>80</v>
      </c>
      <c r="T1110" s="24">
        <v>46081</v>
      </c>
      <c r="U1110" s="24">
        <v>46090</v>
      </c>
      <c r="X1110" s="24">
        <v>46080</v>
      </c>
      <c r="Y1110" s="23">
        <v>1111</v>
      </c>
      <c r="Z1110" s="23">
        <v>11400811</v>
      </c>
      <c r="AA1110" s="23">
        <v>5151</v>
      </c>
      <c r="AB1110" s="24">
        <v>46080</v>
      </c>
    </row>
    <row r="1111" spans="2:28" x14ac:dyDescent="0.2">
      <c r="B1111" s="23" t="s">
        <v>81</v>
      </c>
      <c r="C1111" s="23">
        <v>1100578396</v>
      </c>
      <c r="H1111" s="24">
        <v>46108</v>
      </c>
      <c r="O1111" s="23">
        <v>843.22</v>
      </c>
      <c r="P1111" s="23" t="s">
        <v>79</v>
      </c>
    </row>
    <row r="1112" spans="2:28" x14ac:dyDescent="0.2">
      <c r="C1112" s="23">
        <v>1100569291</v>
      </c>
      <c r="E1112" s="23">
        <v>30</v>
      </c>
      <c r="F1112" s="23" t="s">
        <v>1903</v>
      </c>
      <c r="G1112" s="23" t="s">
        <v>1904</v>
      </c>
      <c r="H1112" s="24">
        <v>46111</v>
      </c>
      <c r="I1112" s="24">
        <v>46111</v>
      </c>
      <c r="J1112" s="23" t="s">
        <v>815</v>
      </c>
      <c r="K1112" s="23" t="s">
        <v>815</v>
      </c>
      <c r="L1112" s="23">
        <v>2</v>
      </c>
      <c r="M1112" s="23" t="s">
        <v>78</v>
      </c>
      <c r="N1112" s="23" t="s">
        <v>78</v>
      </c>
      <c r="O1112" s="23">
        <v>1380.86</v>
      </c>
      <c r="P1112" s="23" t="s">
        <v>79</v>
      </c>
      <c r="Q1112" s="23" t="s">
        <v>83</v>
      </c>
      <c r="R1112" s="23">
        <v>11100189</v>
      </c>
      <c r="S1112" s="24">
        <v>46020</v>
      </c>
      <c r="T1112" s="24">
        <v>45980</v>
      </c>
      <c r="U1112" s="24">
        <v>46752</v>
      </c>
      <c r="X1112" s="24">
        <v>45978</v>
      </c>
      <c r="Y1112" s="23">
        <v>1111</v>
      </c>
      <c r="Z1112" s="23">
        <v>11400811</v>
      </c>
      <c r="AA1112" s="23">
        <v>335103</v>
      </c>
      <c r="AB1112" s="24">
        <v>45978</v>
      </c>
    </row>
    <row r="1113" spans="2:28" x14ac:dyDescent="0.2">
      <c r="B1113" s="23" t="s">
        <v>81</v>
      </c>
      <c r="C1113" s="23">
        <v>1100569291</v>
      </c>
      <c r="H1113" s="24">
        <v>46111</v>
      </c>
      <c r="O1113" s="23">
        <v>1380.86</v>
      </c>
      <c r="P1113" s="23" t="s">
        <v>79</v>
      </c>
    </row>
    <row r="1114" spans="2:28" x14ac:dyDescent="0.2">
      <c r="C1114" s="23">
        <v>1100570753</v>
      </c>
      <c r="E1114" s="23">
        <v>10</v>
      </c>
      <c r="F1114" s="23" t="s">
        <v>2049</v>
      </c>
      <c r="G1114" s="23" t="s">
        <v>2050</v>
      </c>
      <c r="H1114" s="24">
        <v>46111</v>
      </c>
      <c r="I1114" s="24">
        <v>46111</v>
      </c>
      <c r="J1114" s="23" t="s">
        <v>219</v>
      </c>
      <c r="K1114" s="23" t="s">
        <v>219</v>
      </c>
      <c r="L1114" s="23">
        <v>2</v>
      </c>
      <c r="M1114" s="23" t="s">
        <v>78</v>
      </c>
      <c r="N1114" s="23" t="s">
        <v>78</v>
      </c>
      <c r="O1114" s="23">
        <v>42567.38</v>
      </c>
      <c r="P1114" s="23" t="s">
        <v>79</v>
      </c>
      <c r="Q1114" s="23" t="s">
        <v>83</v>
      </c>
      <c r="R1114" s="23">
        <v>11100176</v>
      </c>
      <c r="S1114" s="24">
        <v>46111</v>
      </c>
      <c r="T1114" s="24">
        <v>45999</v>
      </c>
      <c r="U1114" s="24">
        <v>46156</v>
      </c>
      <c r="X1114" s="24">
        <v>45995</v>
      </c>
      <c r="Y1114" s="23">
        <v>1111</v>
      </c>
      <c r="Z1114" s="23">
        <v>11600003</v>
      </c>
      <c r="AA1114" s="23">
        <v>3951</v>
      </c>
      <c r="AB1114" s="24">
        <v>45957</v>
      </c>
    </row>
    <row r="1115" spans="2:28" x14ac:dyDescent="0.2">
      <c r="C1115" s="23">
        <v>1100570753</v>
      </c>
      <c r="E1115" s="23">
        <v>20</v>
      </c>
      <c r="F1115" s="23" t="s">
        <v>2051</v>
      </c>
      <c r="G1115" s="23" t="s">
        <v>2052</v>
      </c>
      <c r="H1115" s="24">
        <v>46111</v>
      </c>
      <c r="I1115" s="24">
        <v>46111</v>
      </c>
      <c r="J1115" s="23" t="s">
        <v>219</v>
      </c>
      <c r="K1115" s="23" t="s">
        <v>219</v>
      </c>
      <c r="L1115" s="23">
        <v>2</v>
      </c>
      <c r="M1115" s="23" t="s">
        <v>78</v>
      </c>
      <c r="N1115" s="23" t="s">
        <v>78</v>
      </c>
      <c r="O1115" s="23">
        <v>57266.879999999997</v>
      </c>
      <c r="P1115" s="23" t="s">
        <v>79</v>
      </c>
      <c r="Q1115" s="23" t="s">
        <v>83</v>
      </c>
      <c r="R1115" s="23">
        <v>11100176</v>
      </c>
      <c r="S1115" s="24">
        <v>46111</v>
      </c>
      <c r="T1115" s="24">
        <v>45999</v>
      </c>
      <c r="U1115" s="24">
        <v>46156</v>
      </c>
      <c r="X1115" s="24">
        <v>45995</v>
      </c>
      <c r="Y1115" s="23">
        <v>1111</v>
      </c>
      <c r="Z1115" s="23">
        <v>11600003</v>
      </c>
      <c r="AA1115" s="23">
        <v>3951</v>
      </c>
      <c r="AB1115" s="24">
        <v>45957</v>
      </c>
    </row>
    <row r="1116" spans="2:28" x14ac:dyDescent="0.2">
      <c r="C1116" s="23">
        <v>1100570753</v>
      </c>
      <c r="E1116" s="23">
        <v>40</v>
      </c>
      <c r="F1116" s="23" t="s">
        <v>892</v>
      </c>
      <c r="G1116" s="23" t="s">
        <v>893</v>
      </c>
      <c r="H1116" s="24">
        <v>46111</v>
      </c>
      <c r="I1116" s="24">
        <v>46111</v>
      </c>
      <c r="J1116" s="23" t="s">
        <v>219</v>
      </c>
      <c r="K1116" s="23" t="s">
        <v>219</v>
      </c>
      <c r="L1116" s="23">
        <v>1</v>
      </c>
      <c r="M1116" s="23" t="s">
        <v>78</v>
      </c>
      <c r="N1116" s="23" t="s">
        <v>78</v>
      </c>
      <c r="O1116" s="23">
        <v>13952.49</v>
      </c>
      <c r="P1116" s="23" t="s">
        <v>79</v>
      </c>
      <c r="Q1116" s="23" t="s">
        <v>83</v>
      </c>
      <c r="R1116" s="23">
        <v>11100176</v>
      </c>
      <c r="S1116" s="24">
        <v>46111</v>
      </c>
      <c r="T1116" s="24">
        <v>45999</v>
      </c>
      <c r="U1116" s="24">
        <v>46156</v>
      </c>
      <c r="X1116" s="24">
        <v>45995</v>
      </c>
      <c r="Y1116" s="23">
        <v>1111</v>
      </c>
      <c r="Z1116" s="23">
        <v>11600003</v>
      </c>
      <c r="AA1116" s="23">
        <v>3951</v>
      </c>
      <c r="AB1116" s="24">
        <v>45957</v>
      </c>
    </row>
    <row r="1117" spans="2:28" x14ac:dyDescent="0.2">
      <c r="C1117" s="23">
        <v>1100570753</v>
      </c>
      <c r="E1117" s="23">
        <v>50</v>
      </c>
      <c r="F1117" s="23" t="s">
        <v>1970</v>
      </c>
      <c r="G1117" s="23" t="s">
        <v>1971</v>
      </c>
      <c r="H1117" s="24">
        <v>46111</v>
      </c>
      <c r="I1117" s="24">
        <v>46111</v>
      </c>
      <c r="J1117" s="23" t="s">
        <v>219</v>
      </c>
      <c r="K1117" s="23" t="s">
        <v>219</v>
      </c>
      <c r="L1117" s="23">
        <v>4</v>
      </c>
      <c r="M1117" s="23" t="s">
        <v>78</v>
      </c>
      <c r="N1117" s="23" t="s">
        <v>78</v>
      </c>
      <c r="O1117" s="23">
        <v>4883.4799999999996</v>
      </c>
      <c r="P1117" s="23" t="s">
        <v>79</v>
      </c>
      <c r="Q1117" s="23" t="s">
        <v>83</v>
      </c>
      <c r="R1117" s="23">
        <v>11100176</v>
      </c>
      <c r="S1117" s="24">
        <v>46111</v>
      </c>
      <c r="T1117" s="24">
        <v>45999</v>
      </c>
      <c r="U1117" s="24">
        <v>46156</v>
      </c>
      <c r="X1117" s="24">
        <v>45995</v>
      </c>
      <c r="Y1117" s="23">
        <v>1111</v>
      </c>
      <c r="Z1117" s="23">
        <v>11600003</v>
      </c>
      <c r="AA1117" s="23">
        <v>3951</v>
      </c>
      <c r="AB1117" s="24">
        <v>45957</v>
      </c>
    </row>
    <row r="1118" spans="2:28" x14ac:dyDescent="0.2">
      <c r="C1118" s="23">
        <v>1100570753</v>
      </c>
      <c r="E1118" s="23">
        <v>60</v>
      </c>
      <c r="F1118" s="23" t="s">
        <v>82</v>
      </c>
      <c r="G1118" s="23" t="s">
        <v>139</v>
      </c>
      <c r="H1118" s="24">
        <v>46111</v>
      </c>
      <c r="I1118" s="24">
        <v>46111</v>
      </c>
      <c r="J1118" s="23" t="s">
        <v>219</v>
      </c>
      <c r="K1118" s="23" t="s">
        <v>219</v>
      </c>
      <c r="L1118" s="23">
        <v>1</v>
      </c>
      <c r="M1118" s="23" t="s">
        <v>78</v>
      </c>
      <c r="N1118" s="23" t="s">
        <v>78</v>
      </c>
      <c r="O1118" s="23">
        <v>0.01</v>
      </c>
      <c r="P1118" s="23" t="s">
        <v>79</v>
      </c>
      <c r="Q1118" s="23" t="s">
        <v>83</v>
      </c>
      <c r="R1118" s="23">
        <v>11100176</v>
      </c>
      <c r="S1118" s="24">
        <v>46111</v>
      </c>
      <c r="T1118" s="24">
        <v>45999</v>
      </c>
      <c r="U1118" s="24">
        <v>46156</v>
      </c>
      <c r="X1118" s="24">
        <v>45995</v>
      </c>
      <c r="Y1118" s="23">
        <v>1111</v>
      </c>
      <c r="Z1118" s="23">
        <v>11600003</v>
      </c>
      <c r="AA1118" s="23">
        <v>3951</v>
      </c>
      <c r="AB1118" s="24">
        <v>45957</v>
      </c>
    </row>
    <row r="1119" spans="2:28" x14ac:dyDescent="0.2">
      <c r="B1119" s="23" t="s">
        <v>81</v>
      </c>
      <c r="C1119" s="23">
        <v>1100570753</v>
      </c>
      <c r="H1119" s="24">
        <v>46111</v>
      </c>
      <c r="O1119" s="23">
        <v>118670.24</v>
      </c>
      <c r="P1119" s="23" t="s">
        <v>79</v>
      </c>
    </row>
    <row r="1120" spans="2:28" x14ac:dyDescent="0.2">
      <c r="C1120" s="23">
        <v>1100571435</v>
      </c>
      <c r="E1120" s="23">
        <v>10</v>
      </c>
      <c r="F1120" s="23" t="s">
        <v>784</v>
      </c>
      <c r="G1120" s="23" t="s">
        <v>1881</v>
      </c>
      <c r="H1120" s="24">
        <v>46111</v>
      </c>
      <c r="I1120" s="24">
        <v>46111</v>
      </c>
      <c r="J1120" s="23" t="s">
        <v>1882</v>
      </c>
      <c r="K1120" s="23" t="s">
        <v>1882</v>
      </c>
      <c r="L1120" s="23">
        <v>1</v>
      </c>
      <c r="M1120" s="23" t="s">
        <v>78</v>
      </c>
      <c r="N1120" s="23" t="s">
        <v>78</v>
      </c>
      <c r="O1120" s="23">
        <v>1699.32</v>
      </c>
      <c r="P1120" s="23" t="s">
        <v>79</v>
      </c>
      <c r="Q1120" s="23" t="s">
        <v>83</v>
      </c>
      <c r="R1120" s="23">
        <v>11100176</v>
      </c>
      <c r="S1120" s="24">
        <v>46048</v>
      </c>
      <c r="T1120" s="24">
        <v>46006</v>
      </c>
      <c r="U1120" s="24" t="s">
        <v>80</v>
      </c>
      <c r="X1120" s="24">
        <v>45999</v>
      </c>
      <c r="Y1120" s="23">
        <v>1111</v>
      </c>
      <c r="Z1120" s="23">
        <v>11600007</v>
      </c>
      <c r="AA1120" s="23">
        <v>3351</v>
      </c>
      <c r="AB1120" s="24">
        <v>45999</v>
      </c>
    </row>
    <row r="1121" spans="2:28" x14ac:dyDescent="0.2">
      <c r="C1121" s="23">
        <v>1100571435</v>
      </c>
      <c r="E1121" s="23">
        <v>20</v>
      </c>
      <c r="F1121" s="23" t="s">
        <v>82</v>
      </c>
      <c r="G1121" s="23" t="s">
        <v>139</v>
      </c>
      <c r="H1121" s="24">
        <v>46111</v>
      </c>
      <c r="I1121" s="24">
        <v>46111</v>
      </c>
      <c r="J1121" s="23" t="s">
        <v>1882</v>
      </c>
      <c r="K1121" s="23" t="s">
        <v>1882</v>
      </c>
      <c r="L1121" s="23">
        <v>1</v>
      </c>
      <c r="M1121" s="23" t="s">
        <v>78</v>
      </c>
      <c r="N1121" s="23" t="s">
        <v>78</v>
      </c>
      <c r="O1121" s="23">
        <v>0.01</v>
      </c>
      <c r="P1121" s="23" t="s">
        <v>79</v>
      </c>
      <c r="Q1121" s="23" t="s">
        <v>83</v>
      </c>
      <c r="R1121" s="23">
        <v>11100176</v>
      </c>
      <c r="S1121" s="24" t="s">
        <v>80</v>
      </c>
      <c r="T1121" s="24">
        <v>46006</v>
      </c>
      <c r="U1121" s="24" t="s">
        <v>80</v>
      </c>
      <c r="X1121" s="24">
        <v>45999</v>
      </c>
      <c r="Y1121" s="23">
        <v>1111</v>
      </c>
      <c r="Z1121" s="23">
        <v>11600007</v>
      </c>
      <c r="AA1121" s="23">
        <v>3351</v>
      </c>
      <c r="AB1121" s="24">
        <v>45999</v>
      </c>
    </row>
    <row r="1122" spans="2:28" x14ac:dyDescent="0.2">
      <c r="B1122" s="23" t="s">
        <v>81</v>
      </c>
      <c r="C1122" s="23">
        <v>1100571435</v>
      </c>
      <c r="H1122" s="24">
        <v>46111</v>
      </c>
      <c r="O1122" s="23">
        <v>1699.33</v>
      </c>
      <c r="P1122" s="23" t="s">
        <v>79</v>
      </c>
    </row>
    <row r="1123" spans="2:28" x14ac:dyDescent="0.2">
      <c r="C1123" s="23">
        <v>1100572071</v>
      </c>
      <c r="E1123" s="23">
        <v>10</v>
      </c>
      <c r="F1123" s="23" t="s">
        <v>1997</v>
      </c>
      <c r="G1123" s="23" t="s">
        <v>1998</v>
      </c>
      <c r="H1123" s="24">
        <v>46111</v>
      </c>
      <c r="I1123" s="24">
        <v>46111</v>
      </c>
      <c r="J1123" s="23" t="s">
        <v>682</v>
      </c>
      <c r="K1123" s="23" t="s">
        <v>682</v>
      </c>
      <c r="L1123" s="23">
        <v>2</v>
      </c>
      <c r="M1123" s="23" t="s">
        <v>78</v>
      </c>
      <c r="N1123" s="23" t="s">
        <v>78</v>
      </c>
      <c r="O1123" s="23">
        <v>2837.74</v>
      </c>
      <c r="P1123" s="23" t="s">
        <v>79</v>
      </c>
      <c r="Q1123" s="23" t="s">
        <v>83</v>
      </c>
      <c r="R1123" s="23">
        <v>11100176</v>
      </c>
      <c r="S1123" s="24">
        <v>46045</v>
      </c>
      <c r="T1123" s="24">
        <v>46010</v>
      </c>
      <c r="U1123" s="24" t="s">
        <v>80</v>
      </c>
      <c r="X1123" s="24">
        <v>46008</v>
      </c>
      <c r="Y1123" s="23">
        <v>1111</v>
      </c>
      <c r="Z1123" s="23">
        <v>11400704</v>
      </c>
      <c r="AA1123" s="23">
        <v>335103</v>
      </c>
      <c r="AB1123" s="24">
        <v>46009</v>
      </c>
    </row>
    <row r="1124" spans="2:28" x14ac:dyDescent="0.2">
      <c r="B1124" s="23" t="s">
        <v>81</v>
      </c>
      <c r="C1124" s="23">
        <v>1100572071</v>
      </c>
      <c r="H1124" s="24">
        <v>46111</v>
      </c>
      <c r="O1124" s="23">
        <v>2837.74</v>
      </c>
      <c r="P1124" s="23" t="s">
        <v>79</v>
      </c>
    </row>
    <row r="1125" spans="2:28" x14ac:dyDescent="0.2">
      <c r="C1125" s="23">
        <v>1100572182</v>
      </c>
      <c r="E1125" s="23">
        <v>10</v>
      </c>
      <c r="F1125" s="23" t="s">
        <v>536</v>
      </c>
      <c r="G1125" s="23" t="s">
        <v>537</v>
      </c>
      <c r="H1125" s="24">
        <v>46111</v>
      </c>
      <c r="I1125" s="24">
        <v>46111</v>
      </c>
      <c r="J1125" s="23" t="s">
        <v>802</v>
      </c>
      <c r="K1125" s="23" t="s">
        <v>802</v>
      </c>
      <c r="L1125" s="23">
        <v>2</v>
      </c>
      <c r="M1125" s="23" t="s">
        <v>78</v>
      </c>
      <c r="N1125" s="23" t="s">
        <v>78</v>
      </c>
      <c r="O1125" s="23">
        <v>11173.34</v>
      </c>
      <c r="P1125" s="23" t="s">
        <v>79</v>
      </c>
      <c r="Q1125" s="23" t="s">
        <v>83</v>
      </c>
      <c r="R1125" s="23">
        <v>11100176</v>
      </c>
      <c r="S1125" s="24">
        <v>46042</v>
      </c>
      <c r="T1125" s="24">
        <v>46013</v>
      </c>
      <c r="U1125" s="24" t="s">
        <v>80</v>
      </c>
      <c r="X1125" s="24">
        <v>46010</v>
      </c>
      <c r="Y1125" s="23">
        <v>1111</v>
      </c>
      <c r="Z1125" s="23">
        <v>11400742</v>
      </c>
      <c r="AA1125" s="23">
        <v>395103</v>
      </c>
      <c r="AB1125" s="24">
        <v>46010</v>
      </c>
    </row>
    <row r="1126" spans="2:28" x14ac:dyDescent="0.2">
      <c r="B1126" s="23" t="s">
        <v>81</v>
      </c>
      <c r="C1126" s="23">
        <v>1100572182</v>
      </c>
      <c r="H1126" s="24">
        <v>46111</v>
      </c>
      <c r="O1126" s="23">
        <v>11173.34</v>
      </c>
      <c r="P1126" s="23" t="s">
        <v>79</v>
      </c>
    </row>
    <row r="1127" spans="2:28" x14ac:dyDescent="0.2">
      <c r="C1127" s="23">
        <v>1100573005</v>
      </c>
      <c r="E1127" s="23">
        <v>20</v>
      </c>
      <c r="F1127" s="23" t="s">
        <v>536</v>
      </c>
      <c r="G1127" s="23" t="s">
        <v>537</v>
      </c>
      <c r="H1127" s="24">
        <v>46111</v>
      </c>
      <c r="I1127" s="24">
        <v>46111</v>
      </c>
      <c r="J1127" s="23" t="s">
        <v>168</v>
      </c>
      <c r="K1127" s="23" t="s">
        <v>168</v>
      </c>
      <c r="L1127" s="23">
        <v>2</v>
      </c>
      <c r="M1127" s="23" t="s">
        <v>78</v>
      </c>
      <c r="N1127" s="23" t="s">
        <v>78</v>
      </c>
      <c r="O1127" s="23">
        <v>11173.34</v>
      </c>
      <c r="P1127" s="23" t="s">
        <v>79</v>
      </c>
      <c r="Q1127" s="23" t="s">
        <v>83</v>
      </c>
      <c r="R1127" s="23">
        <v>11100176</v>
      </c>
      <c r="S1127" s="24">
        <v>46038</v>
      </c>
      <c r="T1127" s="24">
        <v>46029</v>
      </c>
      <c r="U1127" s="24">
        <v>46073</v>
      </c>
      <c r="X1127" s="24">
        <v>46020</v>
      </c>
      <c r="Y1127" s="23">
        <v>1111</v>
      </c>
      <c r="Z1127" s="23">
        <v>11400704</v>
      </c>
      <c r="AA1127" s="23">
        <v>525103</v>
      </c>
      <c r="AB1127" s="24">
        <v>46017</v>
      </c>
    </row>
    <row r="1128" spans="2:28" x14ac:dyDescent="0.2">
      <c r="B1128" s="23" t="s">
        <v>81</v>
      </c>
      <c r="C1128" s="23">
        <v>1100573005</v>
      </c>
      <c r="H1128" s="24">
        <v>46111</v>
      </c>
      <c r="O1128" s="23">
        <v>11173.34</v>
      </c>
      <c r="P1128" s="23" t="s">
        <v>79</v>
      </c>
    </row>
    <row r="1129" spans="2:28" x14ac:dyDescent="0.2">
      <c r="C1129" s="23">
        <v>1100573537</v>
      </c>
      <c r="E1129" s="23">
        <v>10</v>
      </c>
      <c r="F1129" s="23" t="s">
        <v>3201</v>
      </c>
      <c r="G1129" s="23" t="s">
        <v>3202</v>
      </c>
      <c r="H1129" s="24">
        <v>46111</v>
      </c>
      <c r="I1129" s="24">
        <v>46111</v>
      </c>
      <c r="J1129" s="23" t="s">
        <v>968</v>
      </c>
      <c r="K1129" s="23" t="s">
        <v>968</v>
      </c>
      <c r="L1129" s="23">
        <v>2</v>
      </c>
      <c r="M1129" s="23" t="s">
        <v>78</v>
      </c>
      <c r="N1129" s="23" t="s">
        <v>78</v>
      </c>
      <c r="O1129" s="23">
        <v>8831.65</v>
      </c>
      <c r="P1129" s="23" t="s">
        <v>79</v>
      </c>
      <c r="Q1129" s="23" t="s">
        <v>83</v>
      </c>
      <c r="R1129" s="23">
        <v>11100176</v>
      </c>
      <c r="S1129" s="24">
        <v>46073</v>
      </c>
      <c r="T1129" s="24">
        <v>46034</v>
      </c>
      <c r="U1129" s="24">
        <v>47116</v>
      </c>
      <c r="X1129" s="24">
        <v>46021</v>
      </c>
      <c r="Y1129" s="23">
        <v>1111</v>
      </c>
      <c r="Z1129" s="23">
        <v>11400937</v>
      </c>
      <c r="AA1129" s="23">
        <v>335103</v>
      </c>
      <c r="AB1129" s="24">
        <v>46031</v>
      </c>
    </row>
    <row r="1130" spans="2:28" x14ac:dyDescent="0.2">
      <c r="C1130" s="23">
        <v>1100573537</v>
      </c>
      <c r="E1130" s="23">
        <v>60</v>
      </c>
      <c r="F1130" s="23" t="s">
        <v>757</v>
      </c>
      <c r="G1130" s="23" t="s">
        <v>758</v>
      </c>
      <c r="H1130" s="24">
        <v>46111</v>
      </c>
      <c r="I1130" s="24">
        <v>46111</v>
      </c>
      <c r="J1130" s="23" t="s">
        <v>968</v>
      </c>
      <c r="K1130" s="23" t="s">
        <v>968</v>
      </c>
      <c r="L1130" s="23">
        <v>1</v>
      </c>
      <c r="M1130" s="23" t="s">
        <v>78</v>
      </c>
      <c r="N1130" s="23" t="s">
        <v>78</v>
      </c>
      <c r="O1130" s="23">
        <v>714.04</v>
      </c>
      <c r="P1130" s="23" t="s">
        <v>79</v>
      </c>
      <c r="Q1130" s="23" t="s">
        <v>83</v>
      </c>
      <c r="R1130" s="23">
        <v>11100176</v>
      </c>
      <c r="S1130" s="24">
        <v>46073</v>
      </c>
      <c r="T1130" s="24">
        <v>46034</v>
      </c>
      <c r="U1130" s="24">
        <v>47116</v>
      </c>
      <c r="X1130" s="24">
        <v>46021</v>
      </c>
      <c r="Y1130" s="23">
        <v>1111</v>
      </c>
      <c r="Z1130" s="23">
        <v>11400937</v>
      </c>
      <c r="AA1130" s="23">
        <v>335103</v>
      </c>
      <c r="AB1130" s="24">
        <v>46031</v>
      </c>
    </row>
    <row r="1131" spans="2:28" x14ac:dyDescent="0.2">
      <c r="B1131" s="23" t="s">
        <v>81</v>
      </c>
      <c r="C1131" s="23">
        <v>1100573537</v>
      </c>
      <c r="H1131" s="24">
        <v>46111</v>
      </c>
      <c r="O1131" s="23">
        <v>9545.69</v>
      </c>
      <c r="P1131" s="23" t="s">
        <v>79</v>
      </c>
    </row>
    <row r="1132" spans="2:28" x14ac:dyDescent="0.2">
      <c r="C1132" s="23">
        <v>1100574584</v>
      </c>
      <c r="E1132" s="23">
        <v>10</v>
      </c>
      <c r="F1132" s="23" t="s">
        <v>3203</v>
      </c>
      <c r="G1132" s="23" t="s">
        <v>3204</v>
      </c>
      <c r="H1132" s="24">
        <v>46111</v>
      </c>
      <c r="I1132" s="24">
        <v>46111</v>
      </c>
      <c r="J1132" s="23" t="s">
        <v>555</v>
      </c>
      <c r="K1132" s="23" t="s">
        <v>555</v>
      </c>
      <c r="L1132" s="23">
        <v>1</v>
      </c>
      <c r="M1132" s="23" t="s">
        <v>78</v>
      </c>
      <c r="N1132" s="23" t="s">
        <v>78</v>
      </c>
      <c r="O1132" s="23">
        <v>1319.88</v>
      </c>
      <c r="P1132" s="23" t="s">
        <v>79</v>
      </c>
      <c r="Q1132" s="23" t="s">
        <v>83</v>
      </c>
      <c r="R1132" s="23">
        <v>11100176</v>
      </c>
      <c r="S1132" s="24">
        <v>46101</v>
      </c>
      <c r="T1132" s="24">
        <v>46045</v>
      </c>
      <c r="U1132" s="24">
        <v>47116</v>
      </c>
      <c r="X1132" s="24">
        <v>46043</v>
      </c>
      <c r="Y1132" s="23">
        <v>1111</v>
      </c>
      <c r="Z1132" s="23">
        <v>11400937</v>
      </c>
      <c r="AA1132" s="23">
        <v>335103</v>
      </c>
      <c r="AB1132" s="24">
        <v>46043</v>
      </c>
    </row>
    <row r="1133" spans="2:28" x14ac:dyDescent="0.2">
      <c r="B1133" s="23" t="s">
        <v>81</v>
      </c>
      <c r="C1133" s="23">
        <v>1100574584</v>
      </c>
      <c r="H1133" s="24">
        <v>46111</v>
      </c>
      <c r="O1133" s="23">
        <v>1319.88</v>
      </c>
      <c r="P1133" s="23" t="s">
        <v>79</v>
      </c>
    </row>
    <row r="1134" spans="2:28" x14ac:dyDescent="0.2">
      <c r="C1134" s="23">
        <v>1100574617</v>
      </c>
      <c r="E1134" s="23">
        <v>20</v>
      </c>
      <c r="F1134" s="23" t="s">
        <v>1997</v>
      </c>
      <c r="G1134" s="23" t="s">
        <v>1998</v>
      </c>
      <c r="H1134" s="24">
        <v>46111</v>
      </c>
      <c r="I1134" s="24">
        <v>46111</v>
      </c>
      <c r="J1134" s="23" t="s">
        <v>3205</v>
      </c>
      <c r="K1134" s="23" t="s">
        <v>3205</v>
      </c>
      <c r="L1134" s="23">
        <v>1</v>
      </c>
      <c r="M1134" s="23" t="s">
        <v>78</v>
      </c>
      <c r="N1134" s="23" t="s">
        <v>78</v>
      </c>
      <c r="O1134" s="23">
        <v>1418.87</v>
      </c>
      <c r="P1134" s="23" t="s">
        <v>79</v>
      </c>
      <c r="Q1134" s="23" t="s">
        <v>83</v>
      </c>
      <c r="R1134" s="23">
        <v>11100176</v>
      </c>
      <c r="S1134" s="24">
        <v>46087</v>
      </c>
      <c r="T1134" s="24">
        <v>46045</v>
      </c>
      <c r="U1134" s="24">
        <v>47116</v>
      </c>
      <c r="X1134" s="24">
        <v>46045</v>
      </c>
      <c r="Y1134" s="23">
        <v>1111</v>
      </c>
      <c r="Z1134" s="23">
        <v>11400811</v>
      </c>
      <c r="AA1134" s="23">
        <v>335103</v>
      </c>
      <c r="AB1134" s="24">
        <v>46045</v>
      </c>
    </row>
    <row r="1135" spans="2:28" x14ac:dyDescent="0.2">
      <c r="C1135" s="23">
        <v>1100574617</v>
      </c>
      <c r="E1135" s="23">
        <v>40</v>
      </c>
      <c r="F1135" s="23" t="s">
        <v>1076</v>
      </c>
      <c r="G1135" s="23" t="s">
        <v>1077</v>
      </c>
      <c r="H1135" s="24">
        <v>46111</v>
      </c>
      <c r="I1135" s="24">
        <v>46111</v>
      </c>
      <c r="J1135" s="23" t="s">
        <v>3205</v>
      </c>
      <c r="K1135" s="23" t="s">
        <v>3205</v>
      </c>
      <c r="L1135" s="23">
        <v>1</v>
      </c>
      <c r="M1135" s="23" t="s">
        <v>78</v>
      </c>
      <c r="N1135" s="23" t="s">
        <v>78</v>
      </c>
      <c r="O1135" s="23">
        <v>200</v>
      </c>
      <c r="P1135" s="23" t="s">
        <v>79</v>
      </c>
      <c r="Q1135" s="23" t="s">
        <v>83</v>
      </c>
      <c r="R1135" s="23">
        <v>11100176</v>
      </c>
      <c r="S1135" s="24" t="s">
        <v>80</v>
      </c>
      <c r="T1135" s="24">
        <v>46045</v>
      </c>
      <c r="U1135" s="24">
        <v>47116</v>
      </c>
      <c r="X1135" s="24">
        <v>46045</v>
      </c>
      <c r="Y1135" s="23">
        <v>1111</v>
      </c>
      <c r="Z1135" s="23">
        <v>11400811</v>
      </c>
      <c r="AA1135" s="23">
        <v>335103</v>
      </c>
      <c r="AB1135" s="24">
        <v>46045</v>
      </c>
    </row>
    <row r="1136" spans="2:28" x14ac:dyDescent="0.2">
      <c r="C1136" s="23">
        <v>1100574617</v>
      </c>
      <c r="E1136" s="23">
        <v>50</v>
      </c>
      <c r="F1136" s="23" t="s">
        <v>1952</v>
      </c>
      <c r="G1136" s="23" t="s">
        <v>1953</v>
      </c>
      <c r="H1136" s="24">
        <v>46111</v>
      </c>
      <c r="I1136" s="24">
        <v>46203</v>
      </c>
      <c r="J1136" s="23" t="s">
        <v>3205</v>
      </c>
      <c r="K1136" s="23" t="s">
        <v>3205</v>
      </c>
      <c r="L1136" s="23">
        <v>1</v>
      </c>
      <c r="M1136" s="23" t="s">
        <v>78</v>
      </c>
      <c r="N1136" s="23" t="s">
        <v>78</v>
      </c>
      <c r="O1136" s="23">
        <v>2007.94</v>
      </c>
      <c r="P1136" s="23" t="s">
        <v>79</v>
      </c>
      <c r="Q1136" s="23" t="s">
        <v>83</v>
      </c>
      <c r="R1136" s="23">
        <v>11100176</v>
      </c>
      <c r="S1136" s="24">
        <v>46045</v>
      </c>
      <c r="T1136" s="24">
        <v>46045</v>
      </c>
      <c r="U1136" s="24">
        <v>47116</v>
      </c>
      <c r="X1136" s="24">
        <v>46045</v>
      </c>
      <c r="Y1136" s="23">
        <v>1111</v>
      </c>
      <c r="Z1136" s="23">
        <v>11400811</v>
      </c>
      <c r="AA1136" s="23">
        <v>335103</v>
      </c>
      <c r="AB1136" s="24">
        <v>46045</v>
      </c>
    </row>
    <row r="1137" spans="2:28" x14ac:dyDescent="0.2">
      <c r="B1137" s="23" t="s">
        <v>81</v>
      </c>
      <c r="C1137" s="23">
        <v>1100574617</v>
      </c>
      <c r="H1137" s="24">
        <v>46111</v>
      </c>
      <c r="O1137" s="23">
        <v>3626.81</v>
      </c>
      <c r="P1137" s="23" t="s">
        <v>79</v>
      </c>
    </row>
    <row r="1138" spans="2:28" x14ac:dyDescent="0.2">
      <c r="C1138" s="23">
        <v>1100574827</v>
      </c>
      <c r="E1138" s="23">
        <v>10</v>
      </c>
      <c r="F1138" s="23" t="s">
        <v>3206</v>
      </c>
      <c r="G1138" s="23" t="s">
        <v>3207</v>
      </c>
      <c r="H1138" s="24">
        <v>46111</v>
      </c>
      <c r="I1138" s="24">
        <v>46111</v>
      </c>
      <c r="J1138" s="23" t="s">
        <v>1163</v>
      </c>
      <c r="K1138" s="23" t="s">
        <v>1163</v>
      </c>
      <c r="L1138" s="23">
        <v>2</v>
      </c>
      <c r="M1138" s="23" t="s">
        <v>78</v>
      </c>
      <c r="N1138" s="23" t="s">
        <v>78</v>
      </c>
      <c r="O1138" s="23">
        <v>2736.86</v>
      </c>
      <c r="P1138" s="23" t="s">
        <v>79</v>
      </c>
      <c r="Q1138" s="23" t="s">
        <v>83</v>
      </c>
      <c r="R1138" s="23">
        <v>11100176</v>
      </c>
      <c r="S1138" s="24">
        <v>46094</v>
      </c>
      <c r="T1138" s="24">
        <v>46048</v>
      </c>
      <c r="U1138" s="24" t="s">
        <v>80</v>
      </c>
      <c r="X1138" s="24">
        <v>46043</v>
      </c>
      <c r="Y1138" s="23">
        <v>1111</v>
      </c>
      <c r="Z1138" s="23">
        <v>11600003</v>
      </c>
      <c r="AA1138" s="23">
        <v>335103</v>
      </c>
      <c r="AB1138" s="24">
        <v>46045</v>
      </c>
    </row>
    <row r="1139" spans="2:28" x14ac:dyDescent="0.2">
      <c r="C1139" s="23">
        <v>1100574827</v>
      </c>
      <c r="E1139" s="23">
        <v>20</v>
      </c>
      <c r="F1139" s="23" t="s">
        <v>82</v>
      </c>
      <c r="G1139" s="23" t="s">
        <v>139</v>
      </c>
      <c r="H1139" s="24">
        <v>46111</v>
      </c>
      <c r="I1139" s="24">
        <v>46111</v>
      </c>
      <c r="J1139" s="23" t="s">
        <v>1163</v>
      </c>
      <c r="K1139" s="23" t="s">
        <v>1163</v>
      </c>
      <c r="L1139" s="23">
        <v>1</v>
      </c>
      <c r="M1139" s="23" t="s">
        <v>78</v>
      </c>
      <c r="N1139" s="23" t="s">
        <v>78</v>
      </c>
      <c r="O1139" s="23">
        <v>0.01</v>
      </c>
      <c r="P1139" s="23" t="s">
        <v>79</v>
      </c>
      <c r="Q1139" s="23" t="s">
        <v>83</v>
      </c>
      <c r="R1139" s="23">
        <v>11100176</v>
      </c>
      <c r="S1139" s="24">
        <v>46094</v>
      </c>
      <c r="T1139" s="24">
        <v>46048</v>
      </c>
      <c r="U1139" s="24" t="s">
        <v>80</v>
      </c>
      <c r="X1139" s="24">
        <v>46043</v>
      </c>
      <c r="Y1139" s="23">
        <v>1111</v>
      </c>
      <c r="Z1139" s="23">
        <v>11600003</v>
      </c>
      <c r="AA1139" s="23">
        <v>335103</v>
      </c>
      <c r="AB1139" s="24">
        <v>46045</v>
      </c>
    </row>
    <row r="1140" spans="2:28" x14ac:dyDescent="0.2">
      <c r="B1140" s="23" t="s">
        <v>81</v>
      </c>
      <c r="C1140" s="23">
        <v>1100574827</v>
      </c>
      <c r="H1140" s="24">
        <v>46111</v>
      </c>
      <c r="O1140" s="23">
        <v>2736.87</v>
      </c>
      <c r="P1140" s="23" t="s">
        <v>79</v>
      </c>
    </row>
    <row r="1141" spans="2:28" x14ac:dyDescent="0.2">
      <c r="C1141" s="23">
        <v>1100575133</v>
      </c>
      <c r="E1141" s="23">
        <v>10</v>
      </c>
      <c r="F1141" s="23" t="s">
        <v>1997</v>
      </c>
      <c r="G1141" s="23" t="s">
        <v>1998</v>
      </c>
      <c r="H1141" s="24">
        <v>46111</v>
      </c>
      <c r="I1141" s="24">
        <v>46111</v>
      </c>
      <c r="J1141" s="23" t="s">
        <v>736</v>
      </c>
      <c r="K1141" s="23" t="s">
        <v>736</v>
      </c>
      <c r="L1141" s="23">
        <v>1</v>
      </c>
      <c r="M1141" s="23" t="s">
        <v>78</v>
      </c>
      <c r="N1141" s="23" t="s">
        <v>78</v>
      </c>
      <c r="O1141" s="23">
        <v>1418.87</v>
      </c>
      <c r="P1141" s="23" t="s">
        <v>79</v>
      </c>
      <c r="Q1141" s="23" t="s">
        <v>83</v>
      </c>
      <c r="R1141" s="23">
        <v>11100176</v>
      </c>
      <c r="S1141" s="24">
        <v>46092</v>
      </c>
      <c r="T1141" s="24">
        <v>46050</v>
      </c>
      <c r="U1141" s="24">
        <v>46111</v>
      </c>
      <c r="X1141" s="24">
        <v>46041</v>
      </c>
      <c r="Y1141" s="23">
        <v>1111</v>
      </c>
      <c r="Z1141" s="23">
        <v>11400797</v>
      </c>
      <c r="AA1141" s="23">
        <v>395103</v>
      </c>
      <c r="AB1141" s="24">
        <v>46043</v>
      </c>
    </row>
    <row r="1142" spans="2:28" x14ac:dyDescent="0.2">
      <c r="B1142" s="23" t="s">
        <v>81</v>
      </c>
      <c r="C1142" s="23">
        <v>1100575133</v>
      </c>
      <c r="H1142" s="24">
        <v>46111</v>
      </c>
      <c r="O1142" s="23">
        <v>1418.87</v>
      </c>
      <c r="P1142" s="23" t="s">
        <v>79</v>
      </c>
    </row>
    <row r="1143" spans="2:28" x14ac:dyDescent="0.2">
      <c r="C1143" s="23">
        <v>1100575567</v>
      </c>
      <c r="E1143" s="23">
        <v>10</v>
      </c>
      <c r="F1143" s="23" t="s">
        <v>3208</v>
      </c>
      <c r="G1143" s="23" t="s">
        <v>3209</v>
      </c>
      <c r="H1143" s="24">
        <v>46111</v>
      </c>
      <c r="I1143" s="24">
        <v>46111</v>
      </c>
      <c r="J1143" s="23" t="s">
        <v>421</v>
      </c>
      <c r="K1143" s="23" t="s">
        <v>421</v>
      </c>
      <c r="L1143" s="23">
        <v>8</v>
      </c>
      <c r="M1143" s="23" t="s">
        <v>78</v>
      </c>
      <c r="N1143" s="23" t="s">
        <v>78</v>
      </c>
      <c r="O1143" s="23">
        <v>2086.08</v>
      </c>
      <c r="P1143" s="23" t="s">
        <v>79</v>
      </c>
      <c r="Q1143" s="23" t="s">
        <v>83</v>
      </c>
      <c r="R1143" s="23">
        <v>11100176</v>
      </c>
      <c r="S1143" s="24">
        <v>46111</v>
      </c>
      <c r="T1143" s="24">
        <v>46052</v>
      </c>
      <c r="U1143" s="24">
        <v>47116</v>
      </c>
      <c r="X1143" s="24">
        <v>46044</v>
      </c>
      <c r="Y1143" s="23">
        <v>1111</v>
      </c>
      <c r="Z1143" s="23">
        <v>11400797</v>
      </c>
      <c r="AA1143" s="23">
        <v>335103</v>
      </c>
      <c r="AB1143" s="24">
        <v>46044</v>
      </c>
    </row>
    <row r="1144" spans="2:28" x14ac:dyDescent="0.2">
      <c r="C1144" s="23">
        <v>1100575567</v>
      </c>
      <c r="E1144" s="23">
        <v>30</v>
      </c>
      <c r="F1144" s="23" t="s">
        <v>3210</v>
      </c>
      <c r="G1144" s="23" t="s">
        <v>3211</v>
      </c>
      <c r="H1144" s="24">
        <v>46111</v>
      </c>
      <c r="I1144" s="24">
        <v>46111</v>
      </c>
      <c r="J1144" s="23" t="s">
        <v>421</v>
      </c>
      <c r="K1144" s="23" t="s">
        <v>421</v>
      </c>
      <c r="L1144" s="23">
        <v>8</v>
      </c>
      <c r="M1144" s="23" t="s">
        <v>78</v>
      </c>
      <c r="N1144" s="23" t="s">
        <v>78</v>
      </c>
      <c r="O1144" s="23">
        <v>1096.48</v>
      </c>
      <c r="P1144" s="23" t="s">
        <v>79</v>
      </c>
      <c r="Q1144" s="23" t="s">
        <v>83</v>
      </c>
      <c r="R1144" s="23">
        <v>11100176</v>
      </c>
      <c r="S1144" s="24">
        <v>46111</v>
      </c>
      <c r="T1144" s="24">
        <v>46052</v>
      </c>
      <c r="U1144" s="24">
        <v>47116</v>
      </c>
      <c r="X1144" s="24">
        <v>46044</v>
      </c>
      <c r="Y1144" s="23">
        <v>1111</v>
      </c>
      <c r="Z1144" s="23">
        <v>11400797</v>
      </c>
      <c r="AA1144" s="23">
        <v>335103</v>
      </c>
      <c r="AB1144" s="24">
        <v>46044</v>
      </c>
    </row>
    <row r="1145" spans="2:28" x14ac:dyDescent="0.2">
      <c r="C1145" s="23">
        <v>1100575567</v>
      </c>
      <c r="E1145" s="23">
        <v>40</v>
      </c>
      <c r="F1145" s="23" t="s">
        <v>2270</v>
      </c>
      <c r="G1145" s="23" t="s">
        <v>3212</v>
      </c>
      <c r="H1145" s="24">
        <v>46111</v>
      </c>
      <c r="I1145" s="24">
        <v>46111</v>
      </c>
      <c r="J1145" s="23" t="s">
        <v>421</v>
      </c>
      <c r="K1145" s="23" t="s">
        <v>421</v>
      </c>
      <c r="L1145" s="23">
        <v>8</v>
      </c>
      <c r="M1145" s="23" t="s">
        <v>78</v>
      </c>
      <c r="N1145" s="23" t="s">
        <v>78</v>
      </c>
      <c r="O1145" s="23">
        <v>3447.36</v>
      </c>
      <c r="P1145" s="23" t="s">
        <v>79</v>
      </c>
      <c r="Q1145" s="23" t="s">
        <v>83</v>
      </c>
      <c r="R1145" s="23">
        <v>11100176</v>
      </c>
      <c r="S1145" s="24">
        <v>46111</v>
      </c>
      <c r="T1145" s="24">
        <v>46052</v>
      </c>
      <c r="U1145" s="24">
        <v>47116</v>
      </c>
      <c r="X1145" s="24">
        <v>46044</v>
      </c>
      <c r="Y1145" s="23">
        <v>1111</v>
      </c>
      <c r="Z1145" s="23">
        <v>11400797</v>
      </c>
      <c r="AA1145" s="23">
        <v>335103</v>
      </c>
      <c r="AB1145" s="24">
        <v>46044</v>
      </c>
    </row>
    <row r="1146" spans="2:28" x14ac:dyDescent="0.2">
      <c r="C1146" s="23">
        <v>1100575567</v>
      </c>
      <c r="E1146" s="23">
        <v>50</v>
      </c>
      <c r="F1146" s="23" t="s">
        <v>3213</v>
      </c>
      <c r="G1146" s="23" t="s">
        <v>3214</v>
      </c>
      <c r="H1146" s="24">
        <v>46111</v>
      </c>
      <c r="I1146" s="24">
        <v>46111</v>
      </c>
      <c r="J1146" s="23" t="s">
        <v>421</v>
      </c>
      <c r="K1146" s="23" t="s">
        <v>421</v>
      </c>
      <c r="L1146" s="23">
        <v>12</v>
      </c>
      <c r="M1146" s="23" t="s">
        <v>78</v>
      </c>
      <c r="N1146" s="23" t="s">
        <v>78</v>
      </c>
      <c r="O1146" s="23">
        <v>1065.8399999999999</v>
      </c>
      <c r="P1146" s="23" t="s">
        <v>79</v>
      </c>
      <c r="Q1146" s="23" t="s">
        <v>83</v>
      </c>
      <c r="R1146" s="23">
        <v>11100176</v>
      </c>
      <c r="S1146" s="24">
        <v>46111</v>
      </c>
      <c r="T1146" s="24">
        <v>46052</v>
      </c>
      <c r="U1146" s="24">
        <v>47116</v>
      </c>
      <c r="X1146" s="24">
        <v>46044</v>
      </c>
      <c r="Y1146" s="23">
        <v>1111</v>
      </c>
      <c r="Z1146" s="23">
        <v>11400797</v>
      </c>
      <c r="AA1146" s="23">
        <v>335103</v>
      </c>
      <c r="AB1146" s="24">
        <v>46044</v>
      </c>
    </row>
    <row r="1147" spans="2:28" x14ac:dyDescent="0.2">
      <c r="B1147" s="23" t="s">
        <v>81</v>
      </c>
      <c r="C1147" s="23">
        <v>1100575567</v>
      </c>
      <c r="H1147" s="24">
        <v>46111</v>
      </c>
      <c r="O1147" s="23">
        <v>7695.76</v>
      </c>
      <c r="P1147" s="23" t="s">
        <v>79</v>
      </c>
    </row>
    <row r="1148" spans="2:28" x14ac:dyDescent="0.2">
      <c r="C1148" s="23">
        <v>1100575938</v>
      </c>
      <c r="E1148" s="23">
        <v>10</v>
      </c>
      <c r="F1148" s="23" t="s">
        <v>663</v>
      </c>
      <c r="G1148" s="23" t="s">
        <v>1814</v>
      </c>
      <c r="H1148" s="24">
        <v>46111</v>
      </c>
      <c r="I1148" s="24">
        <v>46111</v>
      </c>
      <c r="J1148" s="23" t="s">
        <v>168</v>
      </c>
      <c r="K1148" s="23" t="s">
        <v>168</v>
      </c>
      <c r="L1148" s="23">
        <v>2</v>
      </c>
      <c r="M1148" s="23" t="s">
        <v>78</v>
      </c>
      <c r="N1148" s="23" t="s">
        <v>78</v>
      </c>
      <c r="O1148" s="23">
        <v>92.88</v>
      </c>
      <c r="P1148" s="23" t="s">
        <v>79</v>
      </c>
      <c r="Q1148" s="23" t="s">
        <v>83</v>
      </c>
      <c r="R1148" s="23">
        <v>11100176</v>
      </c>
      <c r="S1148" s="24">
        <v>46066</v>
      </c>
      <c r="T1148" s="24">
        <v>46057</v>
      </c>
      <c r="U1148" s="24">
        <v>47116</v>
      </c>
      <c r="X1148" s="24">
        <v>46055</v>
      </c>
      <c r="Y1148" s="23">
        <v>1111</v>
      </c>
      <c r="Z1148" s="23">
        <v>11400606</v>
      </c>
      <c r="AA1148" s="23">
        <v>525103</v>
      </c>
      <c r="AB1148" s="24">
        <v>46044</v>
      </c>
    </row>
    <row r="1149" spans="2:28" x14ac:dyDescent="0.2">
      <c r="C1149" s="23">
        <v>1100575938</v>
      </c>
      <c r="E1149" s="23">
        <v>20</v>
      </c>
      <c r="F1149" s="23" t="s">
        <v>783</v>
      </c>
      <c r="G1149" s="23" t="s">
        <v>1951</v>
      </c>
      <c r="H1149" s="24">
        <v>46111</v>
      </c>
      <c r="I1149" s="24">
        <v>46111</v>
      </c>
      <c r="J1149" s="23" t="s">
        <v>168</v>
      </c>
      <c r="K1149" s="23" t="s">
        <v>168</v>
      </c>
      <c r="L1149" s="23">
        <v>16</v>
      </c>
      <c r="M1149" s="23" t="s">
        <v>78</v>
      </c>
      <c r="N1149" s="23" t="s">
        <v>78</v>
      </c>
      <c r="O1149" s="23">
        <v>615.75</v>
      </c>
      <c r="P1149" s="23" t="s">
        <v>79</v>
      </c>
      <c r="Q1149" s="23" t="s">
        <v>83</v>
      </c>
      <c r="R1149" s="23">
        <v>11100176</v>
      </c>
      <c r="S1149" s="24">
        <v>46066</v>
      </c>
      <c r="T1149" s="24">
        <v>46057</v>
      </c>
      <c r="U1149" s="24">
        <v>47116</v>
      </c>
      <c r="X1149" s="24">
        <v>46055</v>
      </c>
      <c r="Y1149" s="23">
        <v>1111</v>
      </c>
      <c r="Z1149" s="23">
        <v>11400606</v>
      </c>
      <c r="AA1149" s="23">
        <v>525103</v>
      </c>
      <c r="AB1149" s="24">
        <v>46044</v>
      </c>
    </row>
    <row r="1150" spans="2:28" x14ac:dyDescent="0.2">
      <c r="C1150" s="23">
        <v>1100575938</v>
      </c>
      <c r="E1150" s="23">
        <v>60</v>
      </c>
      <c r="F1150" s="23" t="s">
        <v>3215</v>
      </c>
      <c r="G1150" s="23" t="s">
        <v>3216</v>
      </c>
      <c r="H1150" s="24">
        <v>46111</v>
      </c>
      <c r="I1150" s="24">
        <v>46111</v>
      </c>
      <c r="J1150" s="23" t="s">
        <v>168</v>
      </c>
      <c r="K1150" s="23" t="s">
        <v>168</v>
      </c>
      <c r="L1150" s="23">
        <v>2</v>
      </c>
      <c r="M1150" s="23" t="s">
        <v>78</v>
      </c>
      <c r="N1150" s="23" t="s">
        <v>78</v>
      </c>
      <c r="O1150" s="23">
        <v>73.03</v>
      </c>
      <c r="P1150" s="23" t="s">
        <v>79</v>
      </c>
      <c r="Q1150" s="23" t="s">
        <v>83</v>
      </c>
      <c r="R1150" s="23">
        <v>11100176</v>
      </c>
      <c r="S1150" s="24">
        <v>46066</v>
      </c>
      <c r="T1150" s="24">
        <v>46057</v>
      </c>
      <c r="U1150" s="24">
        <v>47116</v>
      </c>
      <c r="X1150" s="24">
        <v>46055</v>
      </c>
      <c r="Y1150" s="23">
        <v>1111</v>
      </c>
      <c r="Z1150" s="23">
        <v>11400606</v>
      </c>
      <c r="AA1150" s="23">
        <v>525103</v>
      </c>
      <c r="AB1150" s="24">
        <v>46044</v>
      </c>
    </row>
    <row r="1151" spans="2:28" x14ac:dyDescent="0.2">
      <c r="C1151" s="23">
        <v>1100575938</v>
      </c>
      <c r="E1151" s="23">
        <v>140</v>
      </c>
      <c r="F1151" s="23" t="s">
        <v>3217</v>
      </c>
      <c r="G1151" s="23" t="s">
        <v>3218</v>
      </c>
      <c r="H1151" s="24">
        <v>46111</v>
      </c>
      <c r="I1151" s="24">
        <v>46111</v>
      </c>
      <c r="J1151" s="23" t="s">
        <v>168</v>
      </c>
      <c r="K1151" s="23" t="s">
        <v>168</v>
      </c>
      <c r="L1151" s="23">
        <v>2</v>
      </c>
      <c r="M1151" s="23" t="s">
        <v>78</v>
      </c>
      <c r="N1151" s="23" t="s">
        <v>78</v>
      </c>
      <c r="O1151" s="23">
        <v>3671.09</v>
      </c>
      <c r="P1151" s="23" t="s">
        <v>79</v>
      </c>
      <c r="Q1151" s="23" t="s">
        <v>83</v>
      </c>
      <c r="R1151" s="23">
        <v>11100176</v>
      </c>
      <c r="S1151" s="24">
        <v>46066</v>
      </c>
      <c r="T1151" s="24">
        <v>46057</v>
      </c>
      <c r="U1151" s="24">
        <v>47116</v>
      </c>
      <c r="X1151" s="24">
        <v>46055</v>
      </c>
      <c r="Y1151" s="23">
        <v>1111</v>
      </c>
      <c r="Z1151" s="23">
        <v>11400606</v>
      </c>
      <c r="AA1151" s="23">
        <v>525103</v>
      </c>
      <c r="AB1151" s="24">
        <v>46044</v>
      </c>
    </row>
    <row r="1152" spans="2:28" x14ac:dyDescent="0.2">
      <c r="C1152" s="23">
        <v>1100575938</v>
      </c>
      <c r="E1152" s="23">
        <v>170</v>
      </c>
      <c r="F1152" s="23" t="s">
        <v>3219</v>
      </c>
      <c r="G1152" s="23" t="s">
        <v>3220</v>
      </c>
      <c r="H1152" s="24">
        <v>46111</v>
      </c>
      <c r="I1152" s="24">
        <v>46120</v>
      </c>
      <c r="J1152" s="23" t="s">
        <v>168</v>
      </c>
      <c r="K1152" s="23" t="s">
        <v>168</v>
      </c>
      <c r="L1152" s="23">
        <v>2</v>
      </c>
      <c r="M1152" s="23" t="s">
        <v>78</v>
      </c>
      <c r="N1152" s="23" t="s">
        <v>78</v>
      </c>
      <c r="O1152" s="23">
        <v>3284.25</v>
      </c>
      <c r="P1152" s="23" t="s">
        <v>79</v>
      </c>
      <c r="Q1152" s="23" t="s">
        <v>83</v>
      </c>
      <c r="R1152" s="23">
        <v>11100176</v>
      </c>
      <c r="S1152" s="24">
        <v>46066</v>
      </c>
      <c r="T1152" s="24">
        <v>46057</v>
      </c>
      <c r="U1152" s="24">
        <v>47116</v>
      </c>
      <c r="X1152" s="24">
        <v>46055</v>
      </c>
      <c r="Y1152" s="23">
        <v>1111</v>
      </c>
      <c r="Z1152" s="23">
        <v>11400606</v>
      </c>
      <c r="AA1152" s="23">
        <v>525103</v>
      </c>
      <c r="AB1152" s="24">
        <v>46044</v>
      </c>
    </row>
    <row r="1153" spans="2:28" x14ac:dyDescent="0.2">
      <c r="C1153" s="23">
        <v>1100575938</v>
      </c>
      <c r="E1153" s="23">
        <v>190</v>
      </c>
      <c r="F1153" s="23" t="s">
        <v>721</v>
      </c>
      <c r="G1153" s="23" t="s">
        <v>1920</v>
      </c>
      <c r="H1153" s="24">
        <v>46111</v>
      </c>
      <c r="I1153" s="24">
        <v>46111</v>
      </c>
      <c r="J1153" s="23" t="s">
        <v>168</v>
      </c>
      <c r="K1153" s="23" t="s">
        <v>168</v>
      </c>
      <c r="L1153" s="23">
        <v>4</v>
      </c>
      <c r="M1153" s="23" t="s">
        <v>78</v>
      </c>
      <c r="N1153" s="23" t="s">
        <v>78</v>
      </c>
      <c r="O1153" s="23">
        <v>927.65</v>
      </c>
      <c r="P1153" s="23" t="s">
        <v>79</v>
      </c>
      <c r="Q1153" s="23" t="s">
        <v>83</v>
      </c>
      <c r="R1153" s="23">
        <v>11100176</v>
      </c>
      <c r="S1153" s="24">
        <v>46066</v>
      </c>
      <c r="T1153" s="24">
        <v>46057</v>
      </c>
      <c r="U1153" s="24">
        <v>47116</v>
      </c>
      <c r="X1153" s="24">
        <v>46055</v>
      </c>
      <c r="Y1153" s="23">
        <v>1111</v>
      </c>
      <c r="Z1153" s="23">
        <v>11400606</v>
      </c>
      <c r="AA1153" s="23">
        <v>525103</v>
      </c>
      <c r="AB1153" s="24">
        <v>46044</v>
      </c>
    </row>
    <row r="1154" spans="2:28" x14ac:dyDescent="0.2">
      <c r="C1154" s="23">
        <v>1100575938</v>
      </c>
      <c r="E1154" s="23">
        <v>200</v>
      </c>
      <c r="F1154" s="23" t="s">
        <v>3221</v>
      </c>
      <c r="G1154" s="23" t="s">
        <v>3222</v>
      </c>
      <c r="H1154" s="24">
        <v>46111</v>
      </c>
      <c r="I1154" s="24">
        <v>46111</v>
      </c>
      <c r="J1154" s="23" t="s">
        <v>168</v>
      </c>
      <c r="K1154" s="23" t="s">
        <v>168</v>
      </c>
      <c r="L1154" s="23">
        <v>2</v>
      </c>
      <c r="M1154" s="23" t="s">
        <v>78</v>
      </c>
      <c r="N1154" s="23" t="s">
        <v>78</v>
      </c>
      <c r="O1154" s="23">
        <v>14546.18</v>
      </c>
      <c r="P1154" s="23" t="s">
        <v>79</v>
      </c>
      <c r="Q1154" s="23" t="s">
        <v>83</v>
      </c>
      <c r="R1154" s="23">
        <v>11100176</v>
      </c>
      <c r="S1154" s="24">
        <v>46066</v>
      </c>
      <c r="T1154" s="24">
        <v>46057</v>
      </c>
      <c r="U1154" s="24">
        <v>47116</v>
      </c>
      <c r="X1154" s="24">
        <v>46055</v>
      </c>
      <c r="Y1154" s="23">
        <v>1111</v>
      </c>
      <c r="Z1154" s="23">
        <v>11400606</v>
      </c>
      <c r="AA1154" s="23">
        <v>525103</v>
      </c>
      <c r="AB1154" s="24">
        <v>46044</v>
      </c>
    </row>
    <row r="1155" spans="2:28" x14ac:dyDescent="0.2">
      <c r="B1155" s="23" t="s">
        <v>81</v>
      </c>
      <c r="C1155" s="23">
        <v>1100575938</v>
      </c>
      <c r="H1155" s="24">
        <v>46111</v>
      </c>
      <c r="O1155" s="23">
        <v>23210.83</v>
      </c>
      <c r="P1155" s="23" t="s">
        <v>79</v>
      </c>
    </row>
    <row r="1156" spans="2:28" x14ac:dyDescent="0.2">
      <c r="C1156" s="23">
        <v>1100576227</v>
      </c>
      <c r="E1156" s="23">
        <v>10</v>
      </c>
      <c r="F1156" s="23" t="s">
        <v>3223</v>
      </c>
      <c r="G1156" s="23" t="s">
        <v>3224</v>
      </c>
      <c r="H1156" s="24">
        <v>46111</v>
      </c>
      <c r="I1156" s="24">
        <v>46111</v>
      </c>
      <c r="J1156" s="23" t="s">
        <v>3225</v>
      </c>
      <c r="K1156" s="23" t="s">
        <v>3225</v>
      </c>
      <c r="L1156" s="23">
        <v>1</v>
      </c>
      <c r="M1156" s="23" t="s">
        <v>78</v>
      </c>
      <c r="N1156" s="23" t="s">
        <v>78</v>
      </c>
      <c r="O1156" s="23">
        <v>7567</v>
      </c>
      <c r="P1156" s="23" t="s">
        <v>79</v>
      </c>
      <c r="Q1156" s="23" t="s">
        <v>83</v>
      </c>
      <c r="R1156" s="23">
        <v>11100176</v>
      </c>
      <c r="S1156" s="24">
        <v>46136</v>
      </c>
      <c r="T1156" s="24">
        <v>46062</v>
      </c>
      <c r="U1156" s="24" t="s">
        <v>80</v>
      </c>
      <c r="X1156" s="24">
        <v>46058</v>
      </c>
      <c r="Y1156" s="23">
        <v>1111</v>
      </c>
      <c r="Z1156" s="23">
        <v>11400124</v>
      </c>
      <c r="AA1156" s="23">
        <v>335803</v>
      </c>
      <c r="AB1156" s="24">
        <v>47118</v>
      </c>
    </row>
    <row r="1157" spans="2:28" x14ac:dyDescent="0.2">
      <c r="C1157" s="23">
        <v>1100576227</v>
      </c>
      <c r="E1157" s="23">
        <v>20</v>
      </c>
      <c r="F1157" s="23" t="s">
        <v>84</v>
      </c>
      <c r="G1157" s="23" t="s">
        <v>123</v>
      </c>
      <c r="H1157" s="24">
        <v>46111</v>
      </c>
      <c r="I1157" s="24">
        <v>46111</v>
      </c>
      <c r="J1157" s="23" t="s">
        <v>3225</v>
      </c>
      <c r="K1157" s="23" t="s">
        <v>3225</v>
      </c>
      <c r="L1157" s="23">
        <v>1</v>
      </c>
      <c r="M1157" s="23" t="s">
        <v>78</v>
      </c>
      <c r="N1157" s="23" t="s">
        <v>78</v>
      </c>
      <c r="O1157" s="23">
        <v>0.01</v>
      </c>
      <c r="P1157" s="23" t="s">
        <v>79</v>
      </c>
      <c r="Q1157" s="23" t="s">
        <v>83</v>
      </c>
      <c r="R1157" s="23">
        <v>11100176</v>
      </c>
      <c r="S1157" s="24">
        <v>46136</v>
      </c>
      <c r="T1157" s="24">
        <v>46062</v>
      </c>
      <c r="U1157" s="24" t="s">
        <v>80</v>
      </c>
      <c r="X1157" s="24">
        <v>46058</v>
      </c>
      <c r="Y1157" s="23">
        <v>1111</v>
      </c>
      <c r="Z1157" s="23">
        <v>11400124</v>
      </c>
      <c r="AA1157" s="23">
        <v>335803</v>
      </c>
      <c r="AB1157" s="24">
        <v>47118</v>
      </c>
    </row>
    <row r="1158" spans="2:28" x14ac:dyDescent="0.2">
      <c r="C1158" s="23">
        <v>1100576227</v>
      </c>
      <c r="E1158" s="23">
        <v>30</v>
      </c>
      <c r="F1158" s="23" t="s">
        <v>96</v>
      </c>
      <c r="G1158" s="23" t="s">
        <v>97</v>
      </c>
      <c r="H1158" s="24">
        <v>46111</v>
      </c>
      <c r="I1158" s="24">
        <v>46111</v>
      </c>
      <c r="J1158" s="23" t="s">
        <v>3225</v>
      </c>
      <c r="K1158" s="23" t="s">
        <v>3225</v>
      </c>
      <c r="L1158" s="23">
        <v>1</v>
      </c>
      <c r="M1158" s="23" t="s">
        <v>78</v>
      </c>
      <c r="N1158" s="23" t="s">
        <v>78</v>
      </c>
      <c r="O1158" s="23">
        <v>0.01</v>
      </c>
      <c r="P1158" s="23" t="s">
        <v>79</v>
      </c>
      <c r="Q1158" s="23" t="s">
        <v>83</v>
      </c>
      <c r="R1158" s="23">
        <v>11100176</v>
      </c>
      <c r="S1158" s="24">
        <v>46136</v>
      </c>
      <c r="T1158" s="24">
        <v>46062</v>
      </c>
      <c r="U1158" s="24" t="s">
        <v>80</v>
      </c>
      <c r="X1158" s="24">
        <v>46058</v>
      </c>
      <c r="Y1158" s="23">
        <v>1111</v>
      </c>
      <c r="Z1158" s="23">
        <v>11400124</v>
      </c>
      <c r="AA1158" s="23">
        <v>335803</v>
      </c>
      <c r="AB1158" s="24">
        <v>47118</v>
      </c>
    </row>
    <row r="1159" spans="2:28" x14ac:dyDescent="0.2">
      <c r="B1159" s="23" t="s">
        <v>81</v>
      </c>
      <c r="C1159" s="23">
        <v>1100576227</v>
      </c>
      <c r="H1159" s="24">
        <v>46111</v>
      </c>
      <c r="O1159" s="23">
        <v>7567.02</v>
      </c>
      <c r="P1159" s="23" t="s">
        <v>79</v>
      </c>
    </row>
    <row r="1160" spans="2:28" x14ac:dyDescent="0.2">
      <c r="C1160" s="23">
        <v>1100576920</v>
      </c>
      <c r="E1160" s="23">
        <v>20</v>
      </c>
      <c r="F1160" s="23" t="s">
        <v>2023</v>
      </c>
      <c r="G1160" s="23" t="s">
        <v>2024</v>
      </c>
      <c r="H1160" s="24">
        <v>46111</v>
      </c>
      <c r="I1160" s="24">
        <v>46111</v>
      </c>
      <c r="J1160" s="23" t="s">
        <v>102</v>
      </c>
      <c r="K1160" s="23" t="s">
        <v>102</v>
      </c>
      <c r="L1160" s="23">
        <v>18</v>
      </c>
      <c r="M1160" s="23" t="s">
        <v>78</v>
      </c>
      <c r="N1160" s="23" t="s">
        <v>78</v>
      </c>
      <c r="O1160" s="23">
        <v>4697.46</v>
      </c>
      <c r="P1160" s="23" t="s">
        <v>79</v>
      </c>
      <c r="Q1160" s="23" t="s">
        <v>83</v>
      </c>
      <c r="R1160" s="23">
        <v>11100008</v>
      </c>
      <c r="S1160" s="24">
        <v>46111</v>
      </c>
      <c r="T1160" s="24">
        <v>46069</v>
      </c>
      <c r="U1160" s="24">
        <v>47116</v>
      </c>
      <c r="X1160" s="24">
        <v>46069</v>
      </c>
      <c r="Y1160" s="23">
        <v>1111</v>
      </c>
      <c r="Z1160" s="23">
        <v>11400789</v>
      </c>
      <c r="AA1160" s="23">
        <v>515103</v>
      </c>
      <c r="AB1160" s="24">
        <v>45939</v>
      </c>
    </row>
    <row r="1161" spans="2:28" x14ac:dyDescent="0.2">
      <c r="B1161" s="23" t="s">
        <v>81</v>
      </c>
      <c r="C1161" s="23">
        <v>1100576920</v>
      </c>
      <c r="H1161" s="24">
        <v>46111</v>
      </c>
      <c r="O1161" s="23">
        <v>4697.46</v>
      </c>
      <c r="P1161" s="23" t="s">
        <v>79</v>
      </c>
    </row>
    <row r="1162" spans="2:28" x14ac:dyDescent="0.2">
      <c r="C1162" s="23">
        <v>1100577212</v>
      </c>
      <c r="E1162" s="23">
        <v>10</v>
      </c>
      <c r="F1162" s="23" t="s">
        <v>3206</v>
      </c>
      <c r="G1162" s="23" t="s">
        <v>3207</v>
      </c>
      <c r="H1162" s="24">
        <v>46111</v>
      </c>
      <c r="I1162" s="24">
        <v>46111</v>
      </c>
      <c r="J1162" s="23" t="s">
        <v>1163</v>
      </c>
      <c r="K1162" s="23" t="s">
        <v>1163</v>
      </c>
      <c r="L1162" s="23">
        <v>1</v>
      </c>
      <c r="M1162" s="23" t="s">
        <v>78</v>
      </c>
      <c r="N1162" s="23" t="s">
        <v>78</v>
      </c>
      <c r="O1162" s="23">
        <v>1368.43</v>
      </c>
      <c r="P1162" s="23" t="s">
        <v>79</v>
      </c>
      <c r="Q1162" s="23" t="s">
        <v>83</v>
      </c>
      <c r="R1162" s="23">
        <v>11100176</v>
      </c>
      <c r="S1162" s="24">
        <v>46107</v>
      </c>
      <c r="T1162" s="24">
        <v>46072</v>
      </c>
      <c r="U1162" s="24" t="s">
        <v>80</v>
      </c>
      <c r="X1162" s="24">
        <v>46070</v>
      </c>
      <c r="Y1162" s="23">
        <v>1111</v>
      </c>
      <c r="Z1162" s="23">
        <v>11400811</v>
      </c>
      <c r="AA1162" s="23">
        <v>335103</v>
      </c>
      <c r="AB1162" s="24">
        <v>46070</v>
      </c>
    </row>
    <row r="1163" spans="2:28" x14ac:dyDescent="0.2">
      <c r="C1163" s="23">
        <v>1100577212</v>
      </c>
      <c r="E1163" s="23">
        <v>20</v>
      </c>
      <c r="F1163" s="23" t="s">
        <v>82</v>
      </c>
      <c r="G1163" s="23" t="s">
        <v>139</v>
      </c>
      <c r="H1163" s="24">
        <v>46111</v>
      </c>
      <c r="I1163" s="24">
        <v>46111</v>
      </c>
      <c r="J1163" s="23" t="s">
        <v>1163</v>
      </c>
      <c r="K1163" s="23" t="s">
        <v>1163</v>
      </c>
      <c r="L1163" s="23">
        <v>1</v>
      </c>
      <c r="M1163" s="23" t="s">
        <v>78</v>
      </c>
      <c r="N1163" s="23" t="s">
        <v>78</v>
      </c>
      <c r="O1163" s="23">
        <v>0.01</v>
      </c>
      <c r="P1163" s="23" t="s">
        <v>79</v>
      </c>
      <c r="Q1163" s="23" t="s">
        <v>83</v>
      </c>
      <c r="R1163" s="23">
        <v>11100176</v>
      </c>
      <c r="S1163" s="24" t="s">
        <v>80</v>
      </c>
      <c r="T1163" s="24">
        <v>46072</v>
      </c>
      <c r="U1163" s="24" t="s">
        <v>80</v>
      </c>
      <c r="X1163" s="24">
        <v>46070</v>
      </c>
      <c r="Y1163" s="23">
        <v>1111</v>
      </c>
      <c r="Z1163" s="23">
        <v>11400811</v>
      </c>
      <c r="AA1163" s="23">
        <v>335103</v>
      </c>
      <c r="AB1163" s="24">
        <v>46070</v>
      </c>
    </row>
    <row r="1164" spans="2:28" x14ac:dyDescent="0.2">
      <c r="B1164" s="23" t="s">
        <v>81</v>
      </c>
      <c r="C1164" s="23">
        <v>1100577212</v>
      </c>
      <c r="H1164" s="24">
        <v>46111</v>
      </c>
      <c r="O1164" s="23">
        <v>1368.44</v>
      </c>
      <c r="P1164" s="23" t="s">
        <v>79</v>
      </c>
    </row>
    <row r="1165" spans="2:28" x14ac:dyDescent="0.2">
      <c r="C1165" s="23">
        <v>1100577431</v>
      </c>
      <c r="E1165" s="23">
        <v>10</v>
      </c>
      <c r="F1165" s="23" t="s">
        <v>3226</v>
      </c>
      <c r="G1165" s="23" t="s">
        <v>3227</v>
      </c>
      <c r="H1165" s="24">
        <v>46111</v>
      </c>
      <c r="I1165" s="24">
        <v>46111</v>
      </c>
      <c r="J1165" s="23" t="s">
        <v>256</v>
      </c>
      <c r="K1165" s="23" t="s">
        <v>256</v>
      </c>
      <c r="L1165" s="23">
        <v>1</v>
      </c>
      <c r="M1165" s="23" t="s">
        <v>78</v>
      </c>
      <c r="N1165" s="23" t="s">
        <v>78</v>
      </c>
      <c r="O1165" s="23">
        <v>1961</v>
      </c>
      <c r="P1165" s="23" t="s">
        <v>79</v>
      </c>
      <c r="Q1165" s="23" t="s">
        <v>83</v>
      </c>
      <c r="R1165" s="23">
        <v>11100008</v>
      </c>
      <c r="S1165" s="24">
        <v>46101</v>
      </c>
      <c r="T1165" s="24">
        <v>46073</v>
      </c>
      <c r="U1165" s="24" t="s">
        <v>80</v>
      </c>
      <c r="X1165" s="24">
        <v>46070</v>
      </c>
      <c r="Y1165" s="23">
        <v>1111</v>
      </c>
      <c r="Z1165" s="23">
        <v>11100320</v>
      </c>
      <c r="AA1165" s="23">
        <v>5151</v>
      </c>
      <c r="AB1165" s="24">
        <v>46066</v>
      </c>
    </row>
    <row r="1166" spans="2:28" x14ac:dyDescent="0.2">
      <c r="B1166" s="23" t="s">
        <v>81</v>
      </c>
      <c r="C1166" s="23">
        <v>1100577431</v>
      </c>
      <c r="H1166" s="24">
        <v>46111</v>
      </c>
      <c r="O1166" s="23">
        <v>1961</v>
      </c>
      <c r="P1166" s="23" t="s">
        <v>79</v>
      </c>
    </row>
    <row r="1167" spans="2:28" x14ac:dyDescent="0.2">
      <c r="C1167" s="23">
        <v>1100577526</v>
      </c>
      <c r="E1167" s="23">
        <v>10</v>
      </c>
      <c r="F1167" s="23" t="s">
        <v>847</v>
      </c>
      <c r="G1167" s="23" t="s">
        <v>848</v>
      </c>
      <c r="H1167" s="24">
        <v>46111</v>
      </c>
      <c r="I1167" s="24">
        <v>46111</v>
      </c>
      <c r="J1167" s="23" t="s">
        <v>744</v>
      </c>
      <c r="K1167" s="23" t="s">
        <v>744</v>
      </c>
      <c r="L1167" s="23">
        <v>5</v>
      </c>
      <c r="M1167" s="23" t="s">
        <v>78</v>
      </c>
      <c r="N1167" s="23" t="s">
        <v>78</v>
      </c>
      <c r="O1167" s="23">
        <v>3644.25</v>
      </c>
      <c r="P1167" s="23" t="s">
        <v>79</v>
      </c>
      <c r="Q1167" s="23" t="s">
        <v>83</v>
      </c>
      <c r="R1167" s="23">
        <v>11100176</v>
      </c>
      <c r="S1167" s="24">
        <v>46097</v>
      </c>
      <c r="T1167" s="24">
        <v>46074</v>
      </c>
      <c r="U1167" s="24" t="s">
        <v>80</v>
      </c>
      <c r="X1167" s="24">
        <v>46070</v>
      </c>
      <c r="Y1167" s="23">
        <v>1111</v>
      </c>
      <c r="Z1167" s="23">
        <v>11400606</v>
      </c>
      <c r="AA1167" s="23">
        <v>3351</v>
      </c>
      <c r="AB1167" s="24">
        <v>46072</v>
      </c>
    </row>
    <row r="1168" spans="2:28" x14ac:dyDescent="0.2">
      <c r="C1168" s="23">
        <v>1100577526</v>
      </c>
      <c r="E1168" s="23">
        <v>20</v>
      </c>
      <c r="F1168" s="23" t="s">
        <v>82</v>
      </c>
      <c r="G1168" s="23" t="s">
        <v>139</v>
      </c>
      <c r="H1168" s="24">
        <v>46111</v>
      </c>
      <c r="I1168" s="24">
        <v>46111</v>
      </c>
      <c r="J1168" s="23" t="s">
        <v>744</v>
      </c>
      <c r="K1168" s="23" t="s">
        <v>744</v>
      </c>
      <c r="L1168" s="23">
        <v>1</v>
      </c>
      <c r="M1168" s="23" t="s">
        <v>78</v>
      </c>
      <c r="N1168" s="23" t="s">
        <v>78</v>
      </c>
      <c r="O1168" s="23">
        <v>0.01</v>
      </c>
      <c r="P1168" s="23" t="s">
        <v>79</v>
      </c>
      <c r="Q1168" s="23" t="s">
        <v>83</v>
      </c>
      <c r="R1168" s="23">
        <v>11100176</v>
      </c>
      <c r="S1168" s="24" t="s">
        <v>80</v>
      </c>
      <c r="T1168" s="24">
        <v>46074</v>
      </c>
      <c r="U1168" s="24" t="s">
        <v>80</v>
      </c>
      <c r="X1168" s="24">
        <v>46070</v>
      </c>
      <c r="Y1168" s="23">
        <v>1111</v>
      </c>
      <c r="Z1168" s="23">
        <v>11400606</v>
      </c>
      <c r="AA1168" s="23">
        <v>3351</v>
      </c>
      <c r="AB1168" s="24">
        <v>46072</v>
      </c>
    </row>
    <row r="1169" spans="2:28" x14ac:dyDescent="0.2">
      <c r="B1169" s="23" t="s">
        <v>81</v>
      </c>
      <c r="C1169" s="23">
        <v>1100577526</v>
      </c>
      <c r="H1169" s="24">
        <v>46111</v>
      </c>
      <c r="O1169" s="23">
        <v>3644.26</v>
      </c>
      <c r="P1169" s="23" t="s">
        <v>79</v>
      </c>
    </row>
    <row r="1170" spans="2:28" x14ac:dyDescent="0.2">
      <c r="C1170" s="23">
        <v>1100577529</v>
      </c>
      <c r="E1170" s="23">
        <v>10</v>
      </c>
      <c r="F1170" s="23" t="s">
        <v>3228</v>
      </c>
      <c r="G1170" s="23" t="s">
        <v>3229</v>
      </c>
      <c r="H1170" s="24">
        <v>46111</v>
      </c>
      <c r="I1170" s="24">
        <v>46111</v>
      </c>
      <c r="J1170" s="23" t="s">
        <v>3053</v>
      </c>
      <c r="K1170" s="23" t="s">
        <v>3053</v>
      </c>
      <c r="L1170" s="23">
        <v>2</v>
      </c>
      <c r="M1170" s="23" t="s">
        <v>78</v>
      </c>
      <c r="N1170" s="23" t="s">
        <v>78</v>
      </c>
      <c r="O1170" s="23">
        <v>809.48</v>
      </c>
      <c r="P1170" s="23" t="s">
        <v>79</v>
      </c>
      <c r="Q1170" s="23" t="s">
        <v>83</v>
      </c>
      <c r="R1170" s="23">
        <v>11100176</v>
      </c>
      <c r="S1170" s="24">
        <v>46111</v>
      </c>
      <c r="T1170" s="24">
        <v>46074</v>
      </c>
      <c r="U1170" s="24" t="s">
        <v>80</v>
      </c>
      <c r="X1170" s="24">
        <v>46027</v>
      </c>
      <c r="Y1170" s="23">
        <v>1111</v>
      </c>
      <c r="Z1170" s="23">
        <v>11400797</v>
      </c>
      <c r="AA1170" s="23">
        <v>3951</v>
      </c>
      <c r="AB1170" s="24">
        <v>46028</v>
      </c>
    </row>
    <row r="1171" spans="2:28" x14ac:dyDescent="0.2">
      <c r="C1171" s="23">
        <v>1100577529</v>
      </c>
      <c r="E1171" s="23">
        <v>20</v>
      </c>
      <c r="F1171" s="23" t="s">
        <v>3230</v>
      </c>
      <c r="G1171" s="23" t="s">
        <v>3231</v>
      </c>
      <c r="H1171" s="24">
        <v>46111</v>
      </c>
      <c r="I1171" s="24">
        <v>46111</v>
      </c>
      <c r="J1171" s="23" t="s">
        <v>3053</v>
      </c>
      <c r="K1171" s="23" t="s">
        <v>3053</v>
      </c>
      <c r="L1171" s="23">
        <v>4</v>
      </c>
      <c r="M1171" s="23" t="s">
        <v>78</v>
      </c>
      <c r="N1171" s="23" t="s">
        <v>78</v>
      </c>
      <c r="O1171" s="23">
        <v>4846.96</v>
      </c>
      <c r="P1171" s="23" t="s">
        <v>79</v>
      </c>
      <c r="Q1171" s="23" t="s">
        <v>83</v>
      </c>
      <c r="R1171" s="23">
        <v>11100176</v>
      </c>
      <c r="S1171" s="24">
        <v>46111</v>
      </c>
      <c r="T1171" s="24">
        <v>46074</v>
      </c>
      <c r="U1171" s="24" t="s">
        <v>80</v>
      </c>
      <c r="X1171" s="24">
        <v>46027</v>
      </c>
      <c r="Y1171" s="23">
        <v>1111</v>
      </c>
      <c r="Z1171" s="23">
        <v>11400797</v>
      </c>
      <c r="AA1171" s="23">
        <v>3951</v>
      </c>
      <c r="AB1171" s="24">
        <v>46028</v>
      </c>
    </row>
    <row r="1172" spans="2:28" x14ac:dyDescent="0.2">
      <c r="C1172" s="23">
        <v>1100577529</v>
      </c>
      <c r="E1172" s="23">
        <v>30</v>
      </c>
      <c r="F1172" s="23" t="s">
        <v>82</v>
      </c>
      <c r="G1172" s="23" t="s">
        <v>139</v>
      </c>
      <c r="H1172" s="24">
        <v>46111</v>
      </c>
      <c r="I1172" s="24">
        <v>46111</v>
      </c>
      <c r="J1172" s="23" t="s">
        <v>3053</v>
      </c>
      <c r="K1172" s="23" t="s">
        <v>3053</v>
      </c>
      <c r="L1172" s="23">
        <v>1</v>
      </c>
      <c r="M1172" s="23" t="s">
        <v>78</v>
      </c>
      <c r="N1172" s="23" t="s">
        <v>78</v>
      </c>
      <c r="O1172" s="23">
        <v>0.01</v>
      </c>
      <c r="P1172" s="23" t="s">
        <v>79</v>
      </c>
      <c r="Q1172" s="23" t="s">
        <v>83</v>
      </c>
      <c r="R1172" s="23">
        <v>11100176</v>
      </c>
      <c r="S1172" s="24" t="s">
        <v>80</v>
      </c>
      <c r="T1172" s="24">
        <v>46074</v>
      </c>
      <c r="U1172" s="24" t="s">
        <v>80</v>
      </c>
      <c r="X1172" s="24">
        <v>46027</v>
      </c>
      <c r="Y1172" s="23">
        <v>1111</v>
      </c>
      <c r="Z1172" s="23">
        <v>11400797</v>
      </c>
      <c r="AA1172" s="23">
        <v>3951</v>
      </c>
      <c r="AB1172" s="24">
        <v>46028</v>
      </c>
    </row>
    <row r="1173" spans="2:28" x14ac:dyDescent="0.2">
      <c r="B1173" s="23" t="s">
        <v>81</v>
      </c>
      <c r="C1173" s="23">
        <v>1100577529</v>
      </c>
      <c r="H1173" s="24">
        <v>46111</v>
      </c>
      <c r="O1173" s="23">
        <v>5656.45</v>
      </c>
      <c r="P1173" s="23" t="s">
        <v>79</v>
      </c>
    </row>
    <row r="1174" spans="2:28" x14ac:dyDescent="0.2">
      <c r="C1174" s="23">
        <v>1100577561</v>
      </c>
      <c r="E1174" s="23">
        <v>10</v>
      </c>
      <c r="F1174" s="23" t="s">
        <v>3232</v>
      </c>
      <c r="G1174" s="23" t="s">
        <v>3233</v>
      </c>
      <c r="H1174" s="24">
        <v>46111</v>
      </c>
      <c r="I1174" s="24">
        <v>46111</v>
      </c>
      <c r="J1174" s="23" t="s">
        <v>428</v>
      </c>
      <c r="K1174" s="23" t="s">
        <v>428</v>
      </c>
      <c r="L1174" s="23">
        <v>1</v>
      </c>
      <c r="M1174" s="23" t="s">
        <v>78</v>
      </c>
      <c r="N1174" s="23" t="s">
        <v>78</v>
      </c>
      <c r="O1174" s="23">
        <v>260.91000000000003</v>
      </c>
      <c r="P1174" s="23" t="s">
        <v>79</v>
      </c>
      <c r="Q1174" s="23" t="s">
        <v>83</v>
      </c>
      <c r="R1174" s="23">
        <v>11100008</v>
      </c>
      <c r="S1174" s="24">
        <v>46094</v>
      </c>
      <c r="T1174" s="24">
        <v>46075</v>
      </c>
      <c r="U1174" s="24" t="s">
        <v>80</v>
      </c>
      <c r="X1174" s="24">
        <v>46070</v>
      </c>
      <c r="Y1174" s="23">
        <v>1111</v>
      </c>
      <c r="Z1174" s="23">
        <v>11400937</v>
      </c>
      <c r="AA1174" s="23">
        <v>5051</v>
      </c>
      <c r="AB1174" s="24">
        <v>46071</v>
      </c>
    </row>
    <row r="1175" spans="2:28" x14ac:dyDescent="0.2">
      <c r="C1175" s="23">
        <v>1100577561</v>
      </c>
      <c r="E1175" s="23">
        <v>20</v>
      </c>
      <c r="F1175" s="23" t="s">
        <v>82</v>
      </c>
      <c r="G1175" s="23" t="s">
        <v>139</v>
      </c>
      <c r="H1175" s="24">
        <v>46111</v>
      </c>
      <c r="I1175" s="24">
        <v>46111</v>
      </c>
      <c r="J1175" s="23" t="s">
        <v>428</v>
      </c>
      <c r="K1175" s="23" t="s">
        <v>428</v>
      </c>
      <c r="L1175" s="23">
        <v>1</v>
      </c>
      <c r="M1175" s="23" t="s">
        <v>78</v>
      </c>
      <c r="N1175" s="23" t="s">
        <v>78</v>
      </c>
      <c r="O1175" s="23">
        <v>0.01</v>
      </c>
      <c r="P1175" s="23" t="s">
        <v>79</v>
      </c>
      <c r="Q1175" s="23" t="s">
        <v>83</v>
      </c>
      <c r="R1175" s="23">
        <v>11100008</v>
      </c>
      <c r="S1175" s="24" t="s">
        <v>80</v>
      </c>
      <c r="T1175" s="24">
        <v>46075</v>
      </c>
      <c r="U1175" s="24" t="s">
        <v>80</v>
      </c>
      <c r="X1175" s="24">
        <v>46070</v>
      </c>
      <c r="Y1175" s="23">
        <v>1111</v>
      </c>
      <c r="Z1175" s="23">
        <v>11400937</v>
      </c>
      <c r="AA1175" s="23">
        <v>5051</v>
      </c>
      <c r="AB1175" s="24">
        <v>46071</v>
      </c>
    </row>
    <row r="1176" spans="2:28" x14ac:dyDescent="0.2">
      <c r="B1176" s="23" t="s">
        <v>81</v>
      </c>
      <c r="C1176" s="23">
        <v>1100577561</v>
      </c>
      <c r="H1176" s="24">
        <v>46111</v>
      </c>
      <c r="O1176" s="23">
        <v>260.92</v>
      </c>
      <c r="P1176" s="23" t="s">
        <v>79</v>
      </c>
    </row>
    <row r="1177" spans="2:28" x14ac:dyDescent="0.2">
      <c r="C1177" s="23">
        <v>1100577578</v>
      </c>
      <c r="E1177" s="23">
        <v>10</v>
      </c>
      <c r="F1177" s="23" t="s">
        <v>847</v>
      </c>
      <c r="G1177" s="23" t="s">
        <v>848</v>
      </c>
      <c r="H1177" s="24">
        <v>46111</v>
      </c>
      <c r="I1177" s="24">
        <v>46111</v>
      </c>
      <c r="J1177" s="23" t="s">
        <v>3200</v>
      </c>
      <c r="K1177" s="23" t="s">
        <v>3200</v>
      </c>
      <c r="L1177" s="23">
        <v>5</v>
      </c>
      <c r="M1177" s="23" t="s">
        <v>78</v>
      </c>
      <c r="N1177" s="23" t="s">
        <v>78</v>
      </c>
      <c r="O1177" s="23">
        <v>3644.25</v>
      </c>
      <c r="P1177" s="23" t="s">
        <v>79</v>
      </c>
      <c r="Q1177" s="23" t="s">
        <v>83</v>
      </c>
      <c r="R1177" s="23">
        <v>11100008</v>
      </c>
      <c r="S1177" s="24">
        <v>46111</v>
      </c>
      <c r="T1177" s="24">
        <v>46075</v>
      </c>
      <c r="U1177" s="24">
        <v>46387</v>
      </c>
      <c r="X1177" s="24">
        <v>46072</v>
      </c>
      <c r="Y1177" s="23">
        <v>1111</v>
      </c>
      <c r="Z1177" s="23">
        <v>11400797</v>
      </c>
      <c r="AA1177" s="23">
        <v>505103</v>
      </c>
      <c r="AB1177" s="24">
        <v>46073</v>
      </c>
    </row>
    <row r="1178" spans="2:28" x14ac:dyDescent="0.2">
      <c r="B1178" s="23" t="s">
        <v>81</v>
      </c>
      <c r="C1178" s="23">
        <v>1100577578</v>
      </c>
      <c r="H1178" s="24">
        <v>46111</v>
      </c>
      <c r="O1178" s="23">
        <v>3644.25</v>
      </c>
      <c r="P1178" s="23" t="s">
        <v>79</v>
      </c>
    </row>
    <row r="1179" spans="2:28" x14ac:dyDescent="0.2">
      <c r="C1179" s="23">
        <v>1100578228</v>
      </c>
      <c r="E1179" s="23">
        <v>10</v>
      </c>
      <c r="F1179" s="23" t="s">
        <v>861</v>
      </c>
      <c r="G1179" s="23" t="s">
        <v>862</v>
      </c>
      <c r="H1179" s="24">
        <v>46111</v>
      </c>
      <c r="I1179" s="24">
        <v>46111</v>
      </c>
      <c r="J1179" s="23" t="s">
        <v>863</v>
      </c>
      <c r="K1179" s="23" t="s">
        <v>863</v>
      </c>
      <c r="L1179" s="23">
        <v>1</v>
      </c>
      <c r="M1179" s="23" t="s">
        <v>78</v>
      </c>
      <c r="N1179" s="23" t="s">
        <v>78</v>
      </c>
      <c r="O1179" s="23">
        <v>1888</v>
      </c>
      <c r="P1179" s="23" t="s">
        <v>79</v>
      </c>
      <c r="Q1179" s="23" t="s">
        <v>83</v>
      </c>
      <c r="R1179" s="23">
        <v>11100176</v>
      </c>
      <c r="S1179" s="24">
        <v>46108</v>
      </c>
      <c r="T1179" s="24">
        <v>46080</v>
      </c>
      <c r="U1179" s="24" t="s">
        <v>80</v>
      </c>
      <c r="X1179" s="24">
        <v>46079</v>
      </c>
      <c r="Y1179" s="23">
        <v>1111</v>
      </c>
      <c r="Z1179" s="23">
        <v>11100137</v>
      </c>
      <c r="AA1179" s="23">
        <v>525103</v>
      </c>
      <c r="AB1179" s="24">
        <v>46079</v>
      </c>
    </row>
    <row r="1180" spans="2:28" x14ac:dyDescent="0.2">
      <c r="C1180" s="23">
        <v>1100578228</v>
      </c>
      <c r="E1180" s="23">
        <v>20</v>
      </c>
      <c r="F1180" s="23" t="s">
        <v>82</v>
      </c>
      <c r="G1180" s="23" t="s">
        <v>139</v>
      </c>
      <c r="H1180" s="24">
        <v>46111</v>
      </c>
      <c r="I1180" s="24">
        <v>46111</v>
      </c>
      <c r="J1180" s="23" t="s">
        <v>863</v>
      </c>
      <c r="K1180" s="23" t="s">
        <v>863</v>
      </c>
      <c r="L1180" s="23">
        <v>1</v>
      </c>
      <c r="M1180" s="23" t="s">
        <v>78</v>
      </c>
      <c r="N1180" s="23" t="s">
        <v>78</v>
      </c>
      <c r="O1180" s="23">
        <v>0.01</v>
      </c>
      <c r="P1180" s="23" t="s">
        <v>79</v>
      </c>
      <c r="Q1180" s="23" t="s">
        <v>83</v>
      </c>
      <c r="R1180" s="23">
        <v>11100176</v>
      </c>
      <c r="S1180" s="24" t="s">
        <v>80</v>
      </c>
      <c r="T1180" s="24">
        <v>46080</v>
      </c>
      <c r="U1180" s="24" t="s">
        <v>80</v>
      </c>
      <c r="X1180" s="24">
        <v>46079</v>
      </c>
      <c r="Y1180" s="23">
        <v>1111</v>
      </c>
      <c r="Z1180" s="23">
        <v>11100137</v>
      </c>
      <c r="AA1180" s="23">
        <v>525103</v>
      </c>
      <c r="AB1180" s="24">
        <v>46079</v>
      </c>
    </row>
    <row r="1181" spans="2:28" x14ac:dyDescent="0.2">
      <c r="B1181" s="23" t="s">
        <v>81</v>
      </c>
      <c r="C1181" s="23">
        <v>1100578228</v>
      </c>
      <c r="H1181" s="24">
        <v>46111</v>
      </c>
      <c r="O1181" s="23">
        <v>1888.01</v>
      </c>
      <c r="P1181" s="23" t="s">
        <v>79</v>
      </c>
    </row>
    <row r="1182" spans="2:28" x14ac:dyDescent="0.2">
      <c r="C1182" s="23">
        <v>1100578366</v>
      </c>
      <c r="E1182" s="23">
        <v>10</v>
      </c>
      <c r="F1182" s="23" t="s">
        <v>2777</v>
      </c>
      <c r="G1182" s="23" t="s">
        <v>2778</v>
      </c>
      <c r="H1182" s="24">
        <v>46111</v>
      </c>
      <c r="I1182" s="24">
        <v>46111</v>
      </c>
      <c r="J1182" s="23" t="s">
        <v>2038</v>
      </c>
      <c r="K1182" s="23" t="s">
        <v>2038</v>
      </c>
      <c r="L1182" s="23">
        <v>2</v>
      </c>
      <c r="M1182" s="23" t="s">
        <v>78</v>
      </c>
      <c r="N1182" s="23" t="s">
        <v>78</v>
      </c>
      <c r="O1182" s="23">
        <v>4367.72</v>
      </c>
      <c r="P1182" s="23" t="s">
        <v>79</v>
      </c>
      <c r="Q1182" s="23" t="s">
        <v>83</v>
      </c>
      <c r="R1182" s="23">
        <v>11100176</v>
      </c>
      <c r="S1182" s="24">
        <v>46108</v>
      </c>
      <c r="T1182" s="24">
        <v>46081</v>
      </c>
      <c r="U1182" s="24" t="s">
        <v>80</v>
      </c>
      <c r="X1182" s="24">
        <v>46079</v>
      </c>
      <c r="Y1182" s="23">
        <v>1111</v>
      </c>
      <c r="Z1182" s="23">
        <v>11600003</v>
      </c>
      <c r="AA1182" s="23">
        <v>3151</v>
      </c>
      <c r="AB1182" s="24">
        <v>46072</v>
      </c>
    </row>
    <row r="1183" spans="2:28" x14ac:dyDescent="0.2">
      <c r="C1183" s="23">
        <v>1100578366</v>
      </c>
      <c r="E1183" s="23">
        <v>20</v>
      </c>
      <c r="F1183" s="23" t="s">
        <v>82</v>
      </c>
      <c r="G1183" s="23" t="s">
        <v>139</v>
      </c>
      <c r="H1183" s="24">
        <v>46111</v>
      </c>
      <c r="I1183" s="24">
        <v>46111</v>
      </c>
      <c r="J1183" s="23" t="s">
        <v>2038</v>
      </c>
      <c r="K1183" s="23" t="s">
        <v>2038</v>
      </c>
      <c r="L1183" s="23">
        <v>1</v>
      </c>
      <c r="M1183" s="23" t="s">
        <v>78</v>
      </c>
      <c r="N1183" s="23" t="s">
        <v>78</v>
      </c>
      <c r="O1183" s="23">
        <v>0.01</v>
      </c>
      <c r="P1183" s="23" t="s">
        <v>79</v>
      </c>
      <c r="Q1183" s="23" t="s">
        <v>83</v>
      </c>
      <c r="R1183" s="23">
        <v>11100176</v>
      </c>
      <c r="S1183" s="24">
        <v>46108</v>
      </c>
      <c r="T1183" s="24">
        <v>46081</v>
      </c>
      <c r="U1183" s="24" t="s">
        <v>80</v>
      </c>
      <c r="X1183" s="24">
        <v>46079</v>
      </c>
      <c r="Y1183" s="23">
        <v>1111</v>
      </c>
      <c r="Z1183" s="23">
        <v>11600003</v>
      </c>
      <c r="AA1183" s="23">
        <v>3151</v>
      </c>
      <c r="AB1183" s="24">
        <v>46072</v>
      </c>
    </row>
    <row r="1184" spans="2:28" x14ac:dyDescent="0.2">
      <c r="B1184" s="23" t="s">
        <v>81</v>
      </c>
      <c r="C1184" s="23">
        <v>1100578366</v>
      </c>
      <c r="H1184" s="24">
        <v>46111</v>
      </c>
      <c r="O1184" s="23">
        <v>4367.7299999999996</v>
      </c>
      <c r="P1184" s="23" t="s">
        <v>79</v>
      </c>
    </row>
    <row r="1185" spans="2:28" x14ac:dyDescent="0.2">
      <c r="C1185" s="23">
        <v>1100578439</v>
      </c>
      <c r="E1185" s="23">
        <v>10</v>
      </c>
      <c r="F1185" s="23" t="s">
        <v>2801</v>
      </c>
      <c r="G1185" s="23" t="s">
        <v>2802</v>
      </c>
      <c r="H1185" s="24">
        <v>46111</v>
      </c>
      <c r="I1185" s="24">
        <v>46111</v>
      </c>
      <c r="J1185" s="23" t="s">
        <v>561</v>
      </c>
      <c r="K1185" s="23" t="s">
        <v>561</v>
      </c>
      <c r="L1185" s="23">
        <v>5</v>
      </c>
      <c r="M1185" s="23" t="s">
        <v>78</v>
      </c>
      <c r="N1185" s="23" t="s">
        <v>78</v>
      </c>
      <c r="O1185" s="23">
        <v>208.75</v>
      </c>
      <c r="P1185" s="23" t="s">
        <v>79</v>
      </c>
      <c r="Q1185" s="23" t="s">
        <v>83</v>
      </c>
      <c r="R1185" s="23">
        <v>11100176</v>
      </c>
      <c r="S1185" s="24">
        <v>46101</v>
      </c>
      <c r="T1185" s="24">
        <v>46083</v>
      </c>
      <c r="U1185" s="24" t="s">
        <v>80</v>
      </c>
      <c r="X1185" s="24">
        <v>46080</v>
      </c>
      <c r="Y1185" s="23">
        <v>1111</v>
      </c>
      <c r="Z1185" s="23">
        <v>11600003</v>
      </c>
      <c r="AA1185" s="23">
        <v>335103</v>
      </c>
      <c r="AB1185" s="24">
        <v>46080</v>
      </c>
    </row>
    <row r="1186" spans="2:28" x14ac:dyDescent="0.2">
      <c r="B1186" s="23" t="s">
        <v>81</v>
      </c>
      <c r="C1186" s="23">
        <v>1100578439</v>
      </c>
      <c r="H1186" s="24">
        <v>46111</v>
      </c>
      <c r="O1186" s="23">
        <v>208.75</v>
      </c>
      <c r="P1186" s="23" t="s">
        <v>79</v>
      </c>
    </row>
    <row r="1187" spans="2:28" x14ac:dyDescent="0.2">
      <c r="C1187" s="23">
        <v>1100578706</v>
      </c>
      <c r="E1187" s="23">
        <v>10</v>
      </c>
      <c r="F1187" s="23" t="s">
        <v>680</v>
      </c>
      <c r="G1187" s="23" t="s">
        <v>681</v>
      </c>
      <c r="H1187" s="24">
        <v>46111</v>
      </c>
      <c r="I1187" s="24">
        <v>46111</v>
      </c>
      <c r="J1187" s="23" t="s">
        <v>3225</v>
      </c>
      <c r="K1187" s="23" t="s">
        <v>3225</v>
      </c>
      <c r="L1187" s="23">
        <v>3</v>
      </c>
      <c r="M1187" s="23" t="s">
        <v>78</v>
      </c>
      <c r="N1187" s="23" t="s">
        <v>78</v>
      </c>
      <c r="O1187" s="23">
        <v>3032.91</v>
      </c>
      <c r="P1187" s="23" t="s">
        <v>79</v>
      </c>
      <c r="Q1187" s="23" t="s">
        <v>83</v>
      </c>
      <c r="R1187" s="23">
        <v>11100176</v>
      </c>
      <c r="S1187" s="24">
        <v>46094</v>
      </c>
      <c r="T1187" s="24">
        <v>46086</v>
      </c>
      <c r="U1187" s="24" t="s">
        <v>80</v>
      </c>
      <c r="X1187" s="24">
        <v>46079</v>
      </c>
      <c r="Y1187" s="23">
        <v>1111</v>
      </c>
      <c r="Z1187" s="23">
        <v>11400606</v>
      </c>
      <c r="AA1187" s="23">
        <v>335103</v>
      </c>
      <c r="AB1187" s="24">
        <v>46071</v>
      </c>
    </row>
    <row r="1188" spans="2:28" x14ac:dyDescent="0.2">
      <c r="B1188" s="23" t="s">
        <v>81</v>
      </c>
      <c r="C1188" s="23">
        <v>1100578706</v>
      </c>
      <c r="H1188" s="24">
        <v>46111</v>
      </c>
      <c r="O1188" s="23">
        <v>3032.91</v>
      </c>
      <c r="P1188" s="23" t="s">
        <v>79</v>
      </c>
    </row>
    <row r="1189" spans="2:28" x14ac:dyDescent="0.2">
      <c r="C1189" s="23">
        <v>1100570632</v>
      </c>
      <c r="E1189" s="23">
        <v>80</v>
      </c>
      <c r="F1189" s="23" t="s">
        <v>720</v>
      </c>
      <c r="G1189" s="23" t="s">
        <v>1837</v>
      </c>
      <c r="H1189" s="24">
        <v>46112</v>
      </c>
      <c r="I1189" s="24">
        <v>46112</v>
      </c>
      <c r="J1189" s="23" t="s">
        <v>1184</v>
      </c>
      <c r="K1189" s="23" t="s">
        <v>1184</v>
      </c>
      <c r="L1189" s="23">
        <v>2</v>
      </c>
      <c r="M1189" s="23" t="s">
        <v>78</v>
      </c>
      <c r="N1189" s="23" t="s">
        <v>78</v>
      </c>
      <c r="O1189" s="23">
        <v>236.84</v>
      </c>
      <c r="P1189" s="23" t="s">
        <v>79</v>
      </c>
      <c r="Q1189" s="23" t="s">
        <v>119</v>
      </c>
      <c r="R1189" s="23">
        <v>11100176</v>
      </c>
      <c r="S1189" s="24">
        <v>46059</v>
      </c>
      <c r="T1189" s="24">
        <v>45996</v>
      </c>
      <c r="U1189" s="24">
        <v>46071</v>
      </c>
      <c r="X1189" s="24">
        <v>45996</v>
      </c>
      <c r="Y1189" s="23">
        <v>1111</v>
      </c>
      <c r="Z1189" s="23">
        <v>11400742</v>
      </c>
      <c r="AA1189" s="23">
        <v>505103</v>
      </c>
      <c r="AB1189" s="24">
        <v>45972</v>
      </c>
    </row>
    <row r="1190" spans="2:28" x14ac:dyDescent="0.2">
      <c r="B1190" s="23" t="s">
        <v>81</v>
      </c>
      <c r="C1190" s="23">
        <v>1100570632</v>
      </c>
      <c r="H1190" s="24">
        <v>46112</v>
      </c>
      <c r="O1190" s="23">
        <v>236.84</v>
      </c>
      <c r="P1190" s="23" t="s">
        <v>79</v>
      </c>
    </row>
    <row r="1191" spans="2:28" x14ac:dyDescent="0.2">
      <c r="C1191" s="23">
        <v>1100573242</v>
      </c>
      <c r="E1191" s="23">
        <v>20</v>
      </c>
      <c r="F1191" s="23" t="s">
        <v>3236</v>
      </c>
      <c r="G1191" s="23" t="s">
        <v>3237</v>
      </c>
      <c r="H1191" s="24">
        <v>46112</v>
      </c>
      <c r="I1191" s="24">
        <v>46112</v>
      </c>
      <c r="J1191" s="23" t="s">
        <v>742</v>
      </c>
      <c r="K1191" s="23" t="s">
        <v>742</v>
      </c>
      <c r="L1191" s="23">
        <v>2</v>
      </c>
      <c r="M1191" s="23" t="s">
        <v>78</v>
      </c>
      <c r="N1191" s="23" t="s">
        <v>78</v>
      </c>
      <c r="O1191" s="23">
        <v>5309.3</v>
      </c>
      <c r="P1191" s="23" t="s">
        <v>79</v>
      </c>
      <c r="Q1191" s="23" t="s">
        <v>83</v>
      </c>
      <c r="R1191" s="23">
        <v>11100176</v>
      </c>
      <c r="S1191" s="24">
        <v>46066</v>
      </c>
      <c r="T1191" s="24">
        <v>46031</v>
      </c>
      <c r="U1191" s="24" t="s">
        <v>80</v>
      </c>
      <c r="X1191" s="24">
        <v>46027</v>
      </c>
      <c r="Y1191" s="23">
        <v>1111</v>
      </c>
      <c r="Z1191" s="23">
        <v>11100137</v>
      </c>
      <c r="AA1191" s="23">
        <v>3951</v>
      </c>
      <c r="AB1191" s="24">
        <v>45960</v>
      </c>
    </row>
    <row r="1192" spans="2:28" x14ac:dyDescent="0.2">
      <c r="C1192" s="23">
        <v>1100573242</v>
      </c>
      <c r="E1192" s="23">
        <v>30</v>
      </c>
      <c r="F1192" s="23" t="s">
        <v>1076</v>
      </c>
      <c r="G1192" s="23" t="s">
        <v>1077</v>
      </c>
      <c r="H1192" s="24">
        <v>46112</v>
      </c>
      <c r="I1192" s="24">
        <v>46112</v>
      </c>
      <c r="J1192" s="23" t="s">
        <v>742</v>
      </c>
      <c r="K1192" s="23" t="s">
        <v>742</v>
      </c>
      <c r="L1192" s="23">
        <v>1</v>
      </c>
      <c r="M1192" s="23" t="s">
        <v>78</v>
      </c>
      <c r="N1192" s="23" t="s">
        <v>78</v>
      </c>
      <c r="O1192" s="23">
        <v>1025.8599999999999</v>
      </c>
      <c r="P1192" s="23" t="s">
        <v>79</v>
      </c>
      <c r="Q1192" s="23" t="s">
        <v>83</v>
      </c>
      <c r="R1192" s="23">
        <v>11100176</v>
      </c>
      <c r="S1192" s="24" t="s">
        <v>80</v>
      </c>
      <c r="T1192" s="24">
        <v>46031</v>
      </c>
      <c r="U1192" s="24" t="s">
        <v>80</v>
      </c>
      <c r="X1192" s="24">
        <v>46027</v>
      </c>
      <c r="Y1192" s="23">
        <v>1111</v>
      </c>
      <c r="Z1192" s="23">
        <v>11100137</v>
      </c>
      <c r="AA1192" s="23">
        <v>3951</v>
      </c>
      <c r="AB1192" s="24">
        <v>45960</v>
      </c>
    </row>
    <row r="1193" spans="2:28" x14ac:dyDescent="0.2">
      <c r="C1193" s="23">
        <v>1100573242</v>
      </c>
      <c r="E1193" s="23">
        <v>40</v>
      </c>
      <c r="F1193" s="23" t="s">
        <v>82</v>
      </c>
      <c r="G1193" s="23" t="s">
        <v>139</v>
      </c>
      <c r="H1193" s="24">
        <v>46112</v>
      </c>
      <c r="I1193" s="24">
        <v>46112</v>
      </c>
      <c r="J1193" s="23" t="s">
        <v>742</v>
      </c>
      <c r="K1193" s="23" t="s">
        <v>742</v>
      </c>
      <c r="L1193" s="23">
        <v>1</v>
      </c>
      <c r="M1193" s="23" t="s">
        <v>78</v>
      </c>
      <c r="N1193" s="23" t="s">
        <v>78</v>
      </c>
      <c r="O1193" s="23">
        <v>0.01</v>
      </c>
      <c r="P1193" s="23" t="s">
        <v>79</v>
      </c>
      <c r="Q1193" s="23" t="s">
        <v>83</v>
      </c>
      <c r="R1193" s="23">
        <v>11100176</v>
      </c>
      <c r="S1193" s="24" t="s">
        <v>80</v>
      </c>
      <c r="T1193" s="24">
        <v>46031</v>
      </c>
      <c r="U1193" s="24" t="s">
        <v>80</v>
      </c>
      <c r="X1193" s="24">
        <v>46027</v>
      </c>
      <c r="Y1193" s="23">
        <v>1111</v>
      </c>
      <c r="Z1193" s="23">
        <v>11100137</v>
      </c>
      <c r="AA1193" s="23">
        <v>3951</v>
      </c>
      <c r="AB1193" s="24">
        <v>45960</v>
      </c>
    </row>
    <row r="1194" spans="2:28" x14ac:dyDescent="0.2">
      <c r="C1194" s="23">
        <v>1100573242</v>
      </c>
      <c r="E1194" s="23">
        <v>50</v>
      </c>
      <c r="F1194" s="23" t="s">
        <v>84</v>
      </c>
      <c r="G1194" s="23" t="s">
        <v>123</v>
      </c>
      <c r="H1194" s="24">
        <v>46112</v>
      </c>
      <c r="I1194" s="24">
        <v>46112</v>
      </c>
      <c r="J1194" s="23" t="s">
        <v>742</v>
      </c>
      <c r="K1194" s="23" t="s">
        <v>742</v>
      </c>
      <c r="L1194" s="23">
        <v>1</v>
      </c>
      <c r="M1194" s="23" t="s">
        <v>78</v>
      </c>
      <c r="N1194" s="23" t="s">
        <v>78</v>
      </c>
      <c r="O1194" s="23">
        <v>0.01</v>
      </c>
      <c r="P1194" s="23" t="s">
        <v>79</v>
      </c>
      <c r="Q1194" s="23" t="s">
        <v>83</v>
      </c>
      <c r="R1194" s="23">
        <v>11100176</v>
      </c>
      <c r="S1194" s="24" t="s">
        <v>80</v>
      </c>
      <c r="T1194" s="24">
        <v>46031</v>
      </c>
      <c r="U1194" s="24" t="s">
        <v>80</v>
      </c>
      <c r="X1194" s="24">
        <v>46027</v>
      </c>
      <c r="Y1194" s="23">
        <v>1111</v>
      </c>
      <c r="Z1194" s="23">
        <v>11100137</v>
      </c>
      <c r="AA1194" s="23">
        <v>3951</v>
      </c>
      <c r="AB1194" s="24">
        <v>45960</v>
      </c>
    </row>
    <row r="1195" spans="2:28" x14ac:dyDescent="0.2">
      <c r="B1195" s="23" t="s">
        <v>81</v>
      </c>
      <c r="C1195" s="23">
        <v>1100573242</v>
      </c>
      <c r="H1195" s="24">
        <v>46112</v>
      </c>
      <c r="O1195" s="23">
        <v>6335.18</v>
      </c>
      <c r="P1195" s="23" t="s">
        <v>79</v>
      </c>
    </row>
    <row r="1196" spans="2:28" x14ac:dyDescent="0.2">
      <c r="C1196" s="23">
        <v>1100574484</v>
      </c>
      <c r="E1196" s="23">
        <v>10</v>
      </c>
      <c r="F1196" s="23" t="s">
        <v>692</v>
      </c>
      <c r="G1196" s="23" t="s">
        <v>1795</v>
      </c>
      <c r="H1196" s="24">
        <v>46112</v>
      </c>
      <c r="I1196" s="24">
        <v>46112</v>
      </c>
      <c r="J1196" s="23" t="s">
        <v>643</v>
      </c>
      <c r="K1196" s="23" t="s">
        <v>643</v>
      </c>
      <c r="L1196" s="23">
        <v>1</v>
      </c>
      <c r="M1196" s="23" t="s">
        <v>78</v>
      </c>
      <c r="N1196" s="23" t="s">
        <v>78</v>
      </c>
      <c r="O1196" s="23">
        <v>2743.22</v>
      </c>
      <c r="P1196" s="23" t="s">
        <v>79</v>
      </c>
      <c r="Q1196" s="23" t="s">
        <v>83</v>
      </c>
      <c r="R1196" s="23">
        <v>11100176</v>
      </c>
      <c r="S1196" s="24">
        <v>46084</v>
      </c>
      <c r="T1196" s="24">
        <v>46044</v>
      </c>
      <c r="U1196" s="24">
        <v>46059</v>
      </c>
      <c r="V1196" s="23">
        <v>6</v>
      </c>
      <c r="X1196" s="24">
        <v>46042</v>
      </c>
      <c r="Y1196" s="23">
        <v>1111</v>
      </c>
      <c r="Z1196" s="23">
        <v>11100137</v>
      </c>
      <c r="AA1196" s="23">
        <v>505103</v>
      </c>
      <c r="AB1196" s="24">
        <v>46042</v>
      </c>
    </row>
    <row r="1197" spans="2:28" x14ac:dyDescent="0.2">
      <c r="C1197" s="23">
        <v>1100574484</v>
      </c>
      <c r="E1197" s="23">
        <v>20</v>
      </c>
      <c r="F1197" s="23" t="s">
        <v>672</v>
      </c>
      <c r="G1197" s="23" t="s">
        <v>1782</v>
      </c>
      <c r="H1197" s="24">
        <v>46112</v>
      </c>
      <c r="I1197" s="24">
        <v>46112</v>
      </c>
      <c r="J1197" s="23" t="s">
        <v>643</v>
      </c>
      <c r="K1197" s="23" t="s">
        <v>643</v>
      </c>
      <c r="L1197" s="23">
        <v>3</v>
      </c>
      <c r="M1197" s="23" t="s">
        <v>78</v>
      </c>
      <c r="N1197" s="23" t="s">
        <v>78</v>
      </c>
      <c r="O1197" s="23">
        <v>361.53</v>
      </c>
      <c r="P1197" s="23" t="s">
        <v>79</v>
      </c>
      <c r="Q1197" s="23" t="s">
        <v>83</v>
      </c>
      <c r="R1197" s="23">
        <v>11100176</v>
      </c>
      <c r="S1197" s="24">
        <v>46084</v>
      </c>
      <c r="T1197" s="24">
        <v>46044</v>
      </c>
      <c r="U1197" s="24">
        <v>46059</v>
      </c>
      <c r="V1197" s="23">
        <v>6</v>
      </c>
      <c r="X1197" s="24">
        <v>46042</v>
      </c>
      <c r="Y1197" s="23">
        <v>1111</v>
      </c>
      <c r="Z1197" s="23">
        <v>11100137</v>
      </c>
      <c r="AA1197" s="23">
        <v>505103</v>
      </c>
      <c r="AB1197" s="24">
        <v>46042</v>
      </c>
    </row>
    <row r="1198" spans="2:28" x14ac:dyDescent="0.2">
      <c r="C1198" s="23">
        <v>1100574484</v>
      </c>
      <c r="E1198" s="23">
        <v>30</v>
      </c>
      <c r="F1198" s="23" t="s">
        <v>759</v>
      </c>
      <c r="G1198" s="23" t="s">
        <v>1911</v>
      </c>
      <c r="H1198" s="24">
        <v>46112</v>
      </c>
      <c r="I1198" s="24">
        <v>46112</v>
      </c>
      <c r="J1198" s="23" t="s">
        <v>643</v>
      </c>
      <c r="K1198" s="23" t="s">
        <v>643</v>
      </c>
      <c r="L1198" s="23">
        <v>6</v>
      </c>
      <c r="M1198" s="23" t="s">
        <v>78</v>
      </c>
      <c r="N1198" s="23" t="s">
        <v>78</v>
      </c>
      <c r="O1198" s="23">
        <v>607.91999999999996</v>
      </c>
      <c r="P1198" s="23" t="s">
        <v>79</v>
      </c>
      <c r="Q1198" s="23" t="s">
        <v>83</v>
      </c>
      <c r="R1198" s="23">
        <v>11100176</v>
      </c>
      <c r="S1198" s="24">
        <v>46084</v>
      </c>
      <c r="T1198" s="24">
        <v>46044</v>
      </c>
      <c r="U1198" s="24">
        <v>46059</v>
      </c>
      <c r="V1198" s="23">
        <v>6</v>
      </c>
      <c r="X1198" s="24">
        <v>46042</v>
      </c>
      <c r="Y1198" s="23">
        <v>1111</v>
      </c>
      <c r="Z1198" s="23">
        <v>11100137</v>
      </c>
      <c r="AA1198" s="23">
        <v>505103</v>
      </c>
      <c r="AB1198" s="24">
        <v>46042</v>
      </c>
    </row>
    <row r="1199" spans="2:28" x14ac:dyDescent="0.2">
      <c r="C1199" s="23">
        <v>1100574484</v>
      </c>
      <c r="E1199" s="23">
        <v>40</v>
      </c>
      <c r="F1199" s="23" t="s">
        <v>669</v>
      </c>
      <c r="G1199" s="23" t="s">
        <v>1935</v>
      </c>
      <c r="H1199" s="24">
        <v>46112</v>
      </c>
      <c r="I1199" s="24">
        <v>46112</v>
      </c>
      <c r="J1199" s="23" t="s">
        <v>643</v>
      </c>
      <c r="K1199" s="23" t="s">
        <v>643</v>
      </c>
      <c r="L1199" s="23">
        <v>2</v>
      </c>
      <c r="M1199" s="23" t="s">
        <v>78</v>
      </c>
      <c r="N1199" s="23" t="s">
        <v>78</v>
      </c>
      <c r="O1199" s="23">
        <v>496.6</v>
      </c>
      <c r="P1199" s="23" t="s">
        <v>79</v>
      </c>
      <c r="Q1199" s="23" t="s">
        <v>83</v>
      </c>
      <c r="R1199" s="23">
        <v>11100176</v>
      </c>
      <c r="S1199" s="24">
        <v>46084</v>
      </c>
      <c r="T1199" s="24">
        <v>46044</v>
      </c>
      <c r="U1199" s="24">
        <v>46059</v>
      </c>
      <c r="V1199" s="23">
        <v>6</v>
      </c>
      <c r="X1199" s="24">
        <v>46042</v>
      </c>
      <c r="Y1199" s="23">
        <v>1111</v>
      </c>
      <c r="Z1199" s="23">
        <v>11100137</v>
      </c>
      <c r="AA1199" s="23">
        <v>505103</v>
      </c>
      <c r="AB1199" s="24">
        <v>46042</v>
      </c>
    </row>
    <row r="1200" spans="2:28" x14ac:dyDescent="0.2">
      <c r="C1200" s="23">
        <v>1100574484</v>
      </c>
      <c r="E1200" s="23">
        <v>50</v>
      </c>
      <c r="F1200" s="23" t="s">
        <v>2160</v>
      </c>
      <c r="G1200" s="23" t="s">
        <v>2161</v>
      </c>
      <c r="H1200" s="24">
        <v>46112</v>
      </c>
      <c r="I1200" s="24">
        <v>46112</v>
      </c>
      <c r="J1200" s="23" t="s">
        <v>643</v>
      </c>
      <c r="K1200" s="23" t="s">
        <v>643</v>
      </c>
      <c r="L1200" s="23">
        <v>2</v>
      </c>
      <c r="M1200" s="23" t="s">
        <v>78</v>
      </c>
      <c r="N1200" s="23" t="s">
        <v>78</v>
      </c>
      <c r="O1200" s="23">
        <v>81.36</v>
      </c>
      <c r="P1200" s="23" t="s">
        <v>79</v>
      </c>
      <c r="Q1200" s="23" t="s">
        <v>83</v>
      </c>
      <c r="R1200" s="23">
        <v>11100176</v>
      </c>
      <c r="S1200" s="24">
        <v>46084</v>
      </c>
      <c r="T1200" s="24">
        <v>46044</v>
      </c>
      <c r="U1200" s="24">
        <v>46059</v>
      </c>
      <c r="V1200" s="23">
        <v>6</v>
      </c>
      <c r="X1200" s="24">
        <v>46042</v>
      </c>
      <c r="Y1200" s="23">
        <v>1111</v>
      </c>
      <c r="Z1200" s="23">
        <v>11100137</v>
      </c>
      <c r="AA1200" s="23">
        <v>505103</v>
      </c>
      <c r="AB1200" s="24">
        <v>46042</v>
      </c>
    </row>
    <row r="1201" spans="2:28" x14ac:dyDescent="0.2">
      <c r="C1201" s="23">
        <v>1100574484</v>
      </c>
      <c r="E1201" s="23">
        <v>60</v>
      </c>
      <c r="F1201" s="23" t="s">
        <v>658</v>
      </c>
      <c r="G1201" s="23" t="s">
        <v>1735</v>
      </c>
      <c r="H1201" s="24">
        <v>46112</v>
      </c>
      <c r="I1201" s="24">
        <v>46112</v>
      </c>
      <c r="J1201" s="23" t="s">
        <v>643</v>
      </c>
      <c r="K1201" s="23" t="s">
        <v>643</v>
      </c>
      <c r="L1201" s="23">
        <v>4</v>
      </c>
      <c r="M1201" s="23" t="s">
        <v>78</v>
      </c>
      <c r="N1201" s="23" t="s">
        <v>78</v>
      </c>
      <c r="O1201" s="23">
        <v>439.04</v>
      </c>
      <c r="P1201" s="23" t="s">
        <v>79</v>
      </c>
      <c r="Q1201" s="23" t="s">
        <v>83</v>
      </c>
      <c r="R1201" s="23">
        <v>11100176</v>
      </c>
      <c r="S1201" s="24">
        <v>46084</v>
      </c>
      <c r="T1201" s="24">
        <v>46044</v>
      </c>
      <c r="U1201" s="24">
        <v>46059</v>
      </c>
      <c r="V1201" s="23">
        <v>6</v>
      </c>
      <c r="X1201" s="24">
        <v>46042</v>
      </c>
      <c r="Y1201" s="23">
        <v>1111</v>
      </c>
      <c r="Z1201" s="23">
        <v>11100137</v>
      </c>
      <c r="AA1201" s="23">
        <v>505103</v>
      </c>
      <c r="AB1201" s="24">
        <v>46042</v>
      </c>
    </row>
    <row r="1202" spans="2:28" x14ac:dyDescent="0.2">
      <c r="C1202" s="23">
        <v>1100574484</v>
      </c>
      <c r="E1202" s="23">
        <v>70</v>
      </c>
      <c r="F1202" s="23" t="s">
        <v>702</v>
      </c>
      <c r="G1202" s="23" t="s">
        <v>1797</v>
      </c>
      <c r="H1202" s="24">
        <v>46112</v>
      </c>
      <c r="I1202" s="24">
        <v>46112</v>
      </c>
      <c r="J1202" s="23" t="s">
        <v>643</v>
      </c>
      <c r="K1202" s="23" t="s">
        <v>643</v>
      </c>
      <c r="L1202" s="23">
        <v>3</v>
      </c>
      <c r="M1202" s="23" t="s">
        <v>78</v>
      </c>
      <c r="N1202" s="23" t="s">
        <v>78</v>
      </c>
      <c r="O1202" s="23">
        <v>269.39999999999998</v>
      </c>
      <c r="P1202" s="23" t="s">
        <v>79</v>
      </c>
      <c r="Q1202" s="23" t="s">
        <v>83</v>
      </c>
      <c r="R1202" s="23">
        <v>11100176</v>
      </c>
      <c r="S1202" s="24">
        <v>46084</v>
      </c>
      <c r="T1202" s="24">
        <v>46044</v>
      </c>
      <c r="U1202" s="24">
        <v>46059</v>
      </c>
      <c r="V1202" s="23">
        <v>6</v>
      </c>
      <c r="X1202" s="24">
        <v>46042</v>
      </c>
      <c r="Y1202" s="23">
        <v>1111</v>
      </c>
      <c r="Z1202" s="23">
        <v>11100137</v>
      </c>
      <c r="AA1202" s="23">
        <v>505103</v>
      </c>
      <c r="AB1202" s="24">
        <v>46042</v>
      </c>
    </row>
    <row r="1203" spans="2:28" x14ac:dyDescent="0.2">
      <c r="C1203" s="23">
        <v>1100574484</v>
      </c>
      <c r="E1203" s="23">
        <v>80</v>
      </c>
      <c r="F1203" s="23" t="s">
        <v>701</v>
      </c>
      <c r="G1203" s="23" t="s">
        <v>1799</v>
      </c>
      <c r="H1203" s="24">
        <v>46112</v>
      </c>
      <c r="I1203" s="24">
        <v>46112</v>
      </c>
      <c r="J1203" s="23" t="s">
        <v>643</v>
      </c>
      <c r="K1203" s="23" t="s">
        <v>643</v>
      </c>
      <c r="L1203" s="23">
        <v>3</v>
      </c>
      <c r="M1203" s="23" t="s">
        <v>78</v>
      </c>
      <c r="N1203" s="23" t="s">
        <v>78</v>
      </c>
      <c r="O1203" s="23">
        <v>269.39999999999998</v>
      </c>
      <c r="P1203" s="23" t="s">
        <v>79</v>
      </c>
      <c r="Q1203" s="23" t="s">
        <v>83</v>
      </c>
      <c r="R1203" s="23">
        <v>11100176</v>
      </c>
      <c r="S1203" s="24">
        <v>46084</v>
      </c>
      <c r="T1203" s="24">
        <v>46044</v>
      </c>
      <c r="U1203" s="24">
        <v>46059</v>
      </c>
      <c r="V1203" s="23">
        <v>6</v>
      </c>
      <c r="X1203" s="24">
        <v>46042</v>
      </c>
      <c r="Y1203" s="23">
        <v>1111</v>
      </c>
      <c r="Z1203" s="23">
        <v>11100137</v>
      </c>
      <c r="AA1203" s="23">
        <v>505103</v>
      </c>
      <c r="AB1203" s="24">
        <v>46042</v>
      </c>
    </row>
    <row r="1204" spans="2:28" x14ac:dyDescent="0.2">
      <c r="C1204" s="23">
        <v>1100574484</v>
      </c>
      <c r="E1204" s="23">
        <v>90</v>
      </c>
      <c r="F1204" s="23" t="s">
        <v>716</v>
      </c>
      <c r="G1204" s="23" t="s">
        <v>717</v>
      </c>
      <c r="H1204" s="24">
        <v>46112</v>
      </c>
      <c r="I1204" s="24">
        <v>46112</v>
      </c>
      <c r="J1204" s="23" t="s">
        <v>643</v>
      </c>
      <c r="K1204" s="23" t="s">
        <v>643</v>
      </c>
      <c r="L1204" s="23">
        <v>1</v>
      </c>
      <c r="M1204" s="23" t="s">
        <v>78</v>
      </c>
      <c r="N1204" s="23" t="s">
        <v>78</v>
      </c>
      <c r="O1204" s="23">
        <v>1825.24</v>
      </c>
      <c r="P1204" s="23" t="s">
        <v>79</v>
      </c>
      <c r="Q1204" s="23" t="s">
        <v>83</v>
      </c>
      <c r="R1204" s="23">
        <v>11100176</v>
      </c>
      <c r="S1204" s="24">
        <v>46084</v>
      </c>
      <c r="T1204" s="24">
        <v>46044</v>
      </c>
      <c r="U1204" s="24">
        <v>46059</v>
      </c>
      <c r="V1204" s="23">
        <v>6</v>
      </c>
      <c r="X1204" s="24">
        <v>46042</v>
      </c>
      <c r="Y1204" s="23">
        <v>1111</v>
      </c>
      <c r="Z1204" s="23">
        <v>11100137</v>
      </c>
      <c r="AA1204" s="23">
        <v>505103</v>
      </c>
      <c r="AB1204" s="24">
        <v>46042</v>
      </c>
    </row>
    <row r="1205" spans="2:28" x14ac:dyDescent="0.2">
      <c r="C1205" s="23">
        <v>1100574484</v>
      </c>
      <c r="E1205" s="23">
        <v>110</v>
      </c>
      <c r="F1205" s="23" t="s">
        <v>818</v>
      </c>
      <c r="G1205" s="23" t="s">
        <v>819</v>
      </c>
      <c r="H1205" s="24">
        <v>46112</v>
      </c>
      <c r="I1205" s="24">
        <v>46112</v>
      </c>
      <c r="J1205" s="23" t="s">
        <v>643</v>
      </c>
      <c r="K1205" s="23" t="s">
        <v>643</v>
      </c>
      <c r="L1205" s="23">
        <v>1</v>
      </c>
      <c r="M1205" s="23" t="s">
        <v>78</v>
      </c>
      <c r="N1205" s="23" t="s">
        <v>78</v>
      </c>
      <c r="O1205" s="23">
        <v>234.1</v>
      </c>
      <c r="P1205" s="23" t="s">
        <v>79</v>
      </c>
      <c r="Q1205" s="23" t="s">
        <v>83</v>
      </c>
      <c r="R1205" s="23">
        <v>11100176</v>
      </c>
      <c r="S1205" s="24">
        <v>46084</v>
      </c>
      <c r="T1205" s="24">
        <v>46044</v>
      </c>
      <c r="U1205" s="24">
        <v>46059</v>
      </c>
      <c r="V1205" s="23">
        <v>6</v>
      </c>
      <c r="X1205" s="24">
        <v>46042</v>
      </c>
      <c r="Y1205" s="23">
        <v>1111</v>
      </c>
      <c r="Z1205" s="23">
        <v>11100137</v>
      </c>
      <c r="AA1205" s="23">
        <v>505103</v>
      </c>
      <c r="AB1205" s="24">
        <v>46042</v>
      </c>
    </row>
    <row r="1206" spans="2:28" x14ac:dyDescent="0.2">
      <c r="B1206" s="23" t="s">
        <v>81</v>
      </c>
      <c r="C1206" s="23">
        <v>1100574484</v>
      </c>
      <c r="H1206" s="24">
        <v>46112</v>
      </c>
      <c r="O1206" s="23">
        <v>7327.81</v>
      </c>
      <c r="P1206" s="23" t="s">
        <v>79</v>
      </c>
    </row>
    <row r="1207" spans="2:28" x14ac:dyDescent="0.2">
      <c r="C1207" s="23">
        <v>1100575236</v>
      </c>
      <c r="E1207" s="23">
        <v>10</v>
      </c>
      <c r="F1207" s="23">
        <v>3732039</v>
      </c>
      <c r="G1207" s="23" t="s">
        <v>1175</v>
      </c>
      <c r="H1207" s="24">
        <v>46112</v>
      </c>
      <c r="I1207" s="24">
        <v>46112</v>
      </c>
      <c r="J1207" s="23" t="s">
        <v>239</v>
      </c>
      <c r="K1207" s="23" t="s">
        <v>239</v>
      </c>
      <c r="L1207" s="23">
        <v>1</v>
      </c>
      <c r="M1207" s="23" t="s">
        <v>78</v>
      </c>
      <c r="N1207" s="23" t="s">
        <v>78</v>
      </c>
      <c r="O1207" s="23">
        <v>567.82000000000005</v>
      </c>
      <c r="P1207" s="23" t="s">
        <v>79</v>
      </c>
      <c r="Q1207" s="23" t="s">
        <v>83</v>
      </c>
      <c r="R1207" s="23">
        <v>11100176</v>
      </c>
      <c r="S1207" s="24">
        <v>46073</v>
      </c>
      <c r="T1207" s="24">
        <v>46050</v>
      </c>
      <c r="U1207" s="24" t="s">
        <v>80</v>
      </c>
      <c r="X1207" s="24">
        <v>46050</v>
      </c>
      <c r="Y1207" s="23">
        <v>1111</v>
      </c>
      <c r="Z1207" s="23">
        <v>11400789</v>
      </c>
      <c r="AA1207" s="23">
        <v>5051</v>
      </c>
      <c r="AB1207" s="24">
        <v>46030</v>
      </c>
    </row>
    <row r="1208" spans="2:28" x14ac:dyDescent="0.2">
      <c r="B1208" s="23" t="s">
        <v>81</v>
      </c>
      <c r="C1208" s="23">
        <v>1100575236</v>
      </c>
      <c r="H1208" s="24">
        <v>46112</v>
      </c>
      <c r="O1208" s="23">
        <v>567.82000000000005</v>
      </c>
      <c r="P1208" s="23" t="s">
        <v>79</v>
      </c>
    </row>
    <row r="1209" spans="2:28" x14ac:dyDescent="0.2">
      <c r="C1209" s="23">
        <v>1100576828</v>
      </c>
      <c r="E1209" s="23">
        <v>10</v>
      </c>
      <c r="F1209" s="23" t="s">
        <v>3238</v>
      </c>
      <c r="G1209" s="23" t="s">
        <v>3239</v>
      </c>
      <c r="H1209" s="24">
        <v>46112</v>
      </c>
      <c r="I1209" s="24">
        <v>46112</v>
      </c>
      <c r="J1209" s="23" t="s">
        <v>898</v>
      </c>
      <c r="K1209" s="23" t="s">
        <v>898</v>
      </c>
      <c r="L1209" s="23">
        <v>10</v>
      </c>
      <c r="M1209" s="23" t="s">
        <v>78</v>
      </c>
      <c r="N1209" s="23" t="s">
        <v>78</v>
      </c>
      <c r="O1209" s="23">
        <v>2041.8</v>
      </c>
      <c r="P1209" s="23" t="s">
        <v>79</v>
      </c>
      <c r="Q1209" s="23" t="s">
        <v>83</v>
      </c>
      <c r="R1209" s="23">
        <v>11100008</v>
      </c>
      <c r="S1209" s="24">
        <v>46094</v>
      </c>
      <c r="T1209" s="24">
        <v>46066</v>
      </c>
      <c r="U1209" s="24" t="s">
        <v>80</v>
      </c>
      <c r="X1209" s="24">
        <v>45995</v>
      </c>
      <c r="Y1209" s="23">
        <v>1111</v>
      </c>
      <c r="Z1209" s="23">
        <v>11600003</v>
      </c>
      <c r="AA1209" s="23">
        <v>3351</v>
      </c>
      <c r="AB1209" s="24">
        <v>45995</v>
      </c>
    </row>
    <row r="1210" spans="2:28" x14ac:dyDescent="0.2">
      <c r="C1210" s="23">
        <v>1100576828</v>
      </c>
      <c r="E1210" s="23">
        <v>20</v>
      </c>
      <c r="F1210" s="23" t="s">
        <v>82</v>
      </c>
      <c r="G1210" s="23" t="s">
        <v>139</v>
      </c>
      <c r="H1210" s="24">
        <v>46112</v>
      </c>
      <c r="I1210" s="24">
        <v>46112</v>
      </c>
      <c r="J1210" s="23" t="s">
        <v>898</v>
      </c>
      <c r="K1210" s="23" t="s">
        <v>898</v>
      </c>
      <c r="L1210" s="23">
        <v>1</v>
      </c>
      <c r="M1210" s="23" t="s">
        <v>78</v>
      </c>
      <c r="N1210" s="23" t="s">
        <v>78</v>
      </c>
      <c r="O1210" s="23">
        <v>0.01</v>
      </c>
      <c r="P1210" s="23" t="s">
        <v>79</v>
      </c>
      <c r="Q1210" s="23" t="s">
        <v>83</v>
      </c>
      <c r="R1210" s="23">
        <v>11100008</v>
      </c>
      <c r="S1210" s="24">
        <v>46094</v>
      </c>
      <c r="T1210" s="24">
        <v>46066</v>
      </c>
      <c r="U1210" s="24" t="s">
        <v>80</v>
      </c>
      <c r="X1210" s="24">
        <v>45995</v>
      </c>
      <c r="Y1210" s="23">
        <v>1111</v>
      </c>
      <c r="Z1210" s="23">
        <v>11600003</v>
      </c>
      <c r="AA1210" s="23">
        <v>3351</v>
      </c>
      <c r="AB1210" s="24">
        <v>45995</v>
      </c>
    </row>
    <row r="1211" spans="2:28" x14ac:dyDescent="0.2">
      <c r="B1211" s="23" t="s">
        <v>81</v>
      </c>
      <c r="C1211" s="23">
        <v>1100576828</v>
      </c>
      <c r="H1211" s="24">
        <v>46112</v>
      </c>
      <c r="O1211" s="23">
        <v>2041.81</v>
      </c>
      <c r="P1211" s="23" t="s">
        <v>79</v>
      </c>
    </row>
    <row r="1212" spans="2:28" x14ac:dyDescent="0.2">
      <c r="C1212" s="23">
        <v>1100576983</v>
      </c>
      <c r="E1212" s="23">
        <v>10</v>
      </c>
      <c r="F1212" s="23" t="s">
        <v>3240</v>
      </c>
      <c r="G1212" s="23" t="s">
        <v>3241</v>
      </c>
      <c r="H1212" s="24">
        <v>46112</v>
      </c>
      <c r="I1212" s="24">
        <v>46112</v>
      </c>
      <c r="J1212" s="23" t="s">
        <v>242</v>
      </c>
      <c r="K1212" s="23" t="s">
        <v>242</v>
      </c>
      <c r="L1212" s="23">
        <v>4</v>
      </c>
      <c r="M1212" s="23" t="s">
        <v>78</v>
      </c>
      <c r="N1212" s="23" t="s">
        <v>78</v>
      </c>
      <c r="O1212" s="23">
        <v>5847.68</v>
      </c>
      <c r="P1212" s="23" t="s">
        <v>79</v>
      </c>
      <c r="Q1212" s="23" t="s">
        <v>83</v>
      </c>
      <c r="R1212" s="23">
        <v>11100176</v>
      </c>
      <c r="S1212" s="24">
        <v>46112</v>
      </c>
      <c r="T1212" s="24">
        <v>46070</v>
      </c>
      <c r="U1212" s="24" t="s">
        <v>80</v>
      </c>
      <c r="X1212" s="24">
        <v>46070</v>
      </c>
      <c r="Y1212" s="23">
        <v>1111</v>
      </c>
      <c r="Z1212" s="23">
        <v>11400789</v>
      </c>
      <c r="AA1212" s="23">
        <v>5051</v>
      </c>
      <c r="AB1212" s="24">
        <v>46062</v>
      </c>
    </row>
    <row r="1213" spans="2:28" x14ac:dyDescent="0.2">
      <c r="B1213" s="23" t="s">
        <v>81</v>
      </c>
      <c r="C1213" s="23">
        <v>1100576983</v>
      </c>
      <c r="H1213" s="24">
        <v>46112</v>
      </c>
      <c r="O1213" s="23">
        <v>5847.68</v>
      </c>
      <c r="P1213" s="23" t="s">
        <v>79</v>
      </c>
    </row>
    <row r="1214" spans="2:28" x14ac:dyDescent="0.2">
      <c r="C1214" s="23">
        <v>1100577100</v>
      </c>
      <c r="E1214" s="23">
        <v>10</v>
      </c>
      <c r="F1214" s="23" t="s">
        <v>702</v>
      </c>
      <c r="G1214" s="23" t="s">
        <v>1797</v>
      </c>
      <c r="H1214" s="24">
        <v>46112</v>
      </c>
      <c r="I1214" s="24">
        <v>46112</v>
      </c>
      <c r="J1214" s="23" t="s">
        <v>557</v>
      </c>
      <c r="K1214" s="23" t="s">
        <v>557</v>
      </c>
      <c r="L1214" s="23">
        <v>8</v>
      </c>
      <c r="M1214" s="23" t="s">
        <v>78</v>
      </c>
      <c r="N1214" s="23" t="s">
        <v>78</v>
      </c>
      <c r="O1214" s="23">
        <v>1026.32</v>
      </c>
      <c r="P1214" s="23" t="s">
        <v>79</v>
      </c>
      <c r="Q1214" s="23" t="s">
        <v>83</v>
      </c>
      <c r="R1214" s="23">
        <v>11100176</v>
      </c>
      <c r="S1214" s="24">
        <v>46106</v>
      </c>
      <c r="T1214" s="24">
        <v>46071</v>
      </c>
      <c r="U1214" s="24" t="s">
        <v>80</v>
      </c>
      <c r="X1214" s="24">
        <v>46071</v>
      </c>
      <c r="Y1214" s="23">
        <v>1111</v>
      </c>
      <c r="Z1214" s="23">
        <v>11600007</v>
      </c>
      <c r="AA1214" s="23">
        <v>335103</v>
      </c>
      <c r="AB1214" s="24">
        <v>46069</v>
      </c>
    </row>
    <row r="1215" spans="2:28" x14ac:dyDescent="0.2">
      <c r="C1215" s="23">
        <v>1100577100</v>
      </c>
      <c r="E1215" s="23">
        <v>20</v>
      </c>
      <c r="F1215" s="23" t="s">
        <v>790</v>
      </c>
      <c r="G1215" s="23" t="s">
        <v>2269</v>
      </c>
      <c r="H1215" s="24">
        <v>46112</v>
      </c>
      <c r="I1215" s="24">
        <v>46112</v>
      </c>
      <c r="J1215" s="23" t="s">
        <v>557</v>
      </c>
      <c r="K1215" s="23" t="s">
        <v>557</v>
      </c>
      <c r="L1215" s="23">
        <v>4</v>
      </c>
      <c r="M1215" s="23" t="s">
        <v>78</v>
      </c>
      <c r="N1215" s="23" t="s">
        <v>78</v>
      </c>
      <c r="O1215" s="23">
        <v>193</v>
      </c>
      <c r="P1215" s="23" t="s">
        <v>79</v>
      </c>
      <c r="Q1215" s="23" t="s">
        <v>83</v>
      </c>
      <c r="R1215" s="23">
        <v>11100176</v>
      </c>
      <c r="S1215" s="24">
        <v>46106</v>
      </c>
      <c r="T1215" s="24">
        <v>46071</v>
      </c>
      <c r="U1215" s="24" t="s">
        <v>80</v>
      </c>
      <c r="X1215" s="24">
        <v>46071</v>
      </c>
      <c r="Y1215" s="23">
        <v>1111</v>
      </c>
      <c r="Z1215" s="23">
        <v>11600007</v>
      </c>
      <c r="AA1215" s="23">
        <v>335103</v>
      </c>
      <c r="AB1215" s="24">
        <v>46069</v>
      </c>
    </row>
    <row r="1216" spans="2:28" x14ac:dyDescent="0.2">
      <c r="C1216" s="23">
        <v>1100577100</v>
      </c>
      <c r="E1216" s="23">
        <v>30</v>
      </c>
      <c r="F1216" s="23" t="s">
        <v>82</v>
      </c>
      <c r="G1216" s="23" t="s">
        <v>139</v>
      </c>
      <c r="H1216" s="24">
        <v>46112</v>
      </c>
      <c r="I1216" s="24">
        <v>46112</v>
      </c>
      <c r="J1216" s="23" t="s">
        <v>557</v>
      </c>
      <c r="K1216" s="23" t="s">
        <v>557</v>
      </c>
      <c r="L1216" s="23">
        <v>1</v>
      </c>
      <c r="M1216" s="23" t="s">
        <v>78</v>
      </c>
      <c r="N1216" s="23" t="s">
        <v>78</v>
      </c>
      <c r="O1216" s="23">
        <v>0.01</v>
      </c>
      <c r="P1216" s="23" t="s">
        <v>79</v>
      </c>
      <c r="Q1216" s="23" t="s">
        <v>83</v>
      </c>
      <c r="R1216" s="23">
        <v>11100176</v>
      </c>
      <c r="S1216" s="24" t="s">
        <v>80</v>
      </c>
      <c r="T1216" s="24">
        <v>46071</v>
      </c>
      <c r="U1216" s="24" t="s">
        <v>80</v>
      </c>
      <c r="X1216" s="24">
        <v>46071</v>
      </c>
      <c r="Y1216" s="23">
        <v>1111</v>
      </c>
      <c r="Z1216" s="23">
        <v>11600007</v>
      </c>
      <c r="AA1216" s="23">
        <v>335103</v>
      </c>
      <c r="AB1216" s="24">
        <v>46069</v>
      </c>
    </row>
    <row r="1217" spans="2:28" x14ac:dyDescent="0.2">
      <c r="B1217" s="23" t="s">
        <v>81</v>
      </c>
      <c r="C1217" s="23">
        <v>1100577100</v>
      </c>
      <c r="H1217" s="24">
        <v>46112</v>
      </c>
      <c r="O1217" s="23">
        <v>1219.33</v>
      </c>
      <c r="P1217" s="23" t="s">
        <v>79</v>
      </c>
    </row>
    <row r="1218" spans="2:28" x14ac:dyDescent="0.2">
      <c r="C1218" s="23">
        <v>1100577816</v>
      </c>
      <c r="E1218" s="23">
        <v>10</v>
      </c>
      <c r="F1218" s="23" t="s">
        <v>757</v>
      </c>
      <c r="G1218" s="23" t="s">
        <v>2806</v>
      </c>
      <c r="H1218" s="24">
        <v>46112</v>
      </c>
      <c r="I1218" s="24">
        <v>46112</v>
      </c>
      <c r="J1218" s="23" t="s">
        <v>102</v>
      </c>
      <c r="K1218" s="23" t="s">
        <v>102</v>
      </c>
      <c r="L1218" s="23">
        <v>1</v>
      </c>
      <c r="M1218" s="23" t="s">
        <v>78</v>
      </c>
      <c r="N1218" s="23" t="s">
        <v>78</v>
      </c>
      <c r="O1218" s="23">
        <v>892.55</v>
      </c>
      <c r="P1218" s="23" t="s">
        <v>79</v>
      </c>
      <c r="Q1218" s="23" t="s">
        <v>83</v>
      </c>
      <c r="R1218" s="23">
        <v>11100176</v>
      </c>
      <c r="S1218" s="24">
        <v>46112</v>
      </c>
      <c r="T1218" s="24">
        <v>46077</v>
      </c>
      <c r="U1218" s="24" t="s">
        <v>80</v>
      </c>
      <c r="X1218" s="24">
        <v>46077</v>
      </c>
      <c r="Y1218" s="23">
        <v>1111</v>
      </c>
      <c r="Z1218" s="23">
        <v>11600007</v>
      </c>
      <c r="AA1218" s="23">
        <v>515103</v>
      </c>
      <c r="AB1218" s="24">
        <v>46075</v>
      </c>
    </row>
    <row r="1219" spans="2:28" x14ac:dyDescent="0.2">
      <c r="C1219" s="23">
        <v>1100577816</v>
      </c>
      <c r="E1219" s="23">
        <v>20</v>
      </c>
      <c r="F1219" s="23" t="s">
        <v>82</v>
      </c>
      <c r="G1219" s="23" t="s">
        <v>139</v>
      </c>
      <c r="H1219" s="24">
        <v>46112</v>
      </c>
      <c r="I1219" s="24">
        <v>46112</v>
      </c>
      <c r="J1219" s="23" t="s">
        <v>102</v>
      </c>
      <c r="K1219" s="23" t="s">
        <v>102</v>
      </c>
      <c r="L1219" s="23">
        <v>1</v>
      </c>
      <c r="M1219" s="23" t="s">
        <v>78</v>
      </c>
      <c r="N1219" s="23" t="s">
        <v>78</v>
      </c>
      <c r="O1219" s="23">
        <v>0.01</v>
      </c>
      <c r="P1219" s="23" t="s">
        <v>79</v>
      </c>
      <c r="Q1219" s="23" t="s">
        <v>83</v>
      </c>
      <c r="R1219" s="23">
        <v>11100176</v>
      </c>
      <c r="S1219" s="24" t="s">
        <v>80</v>
      </c>
      <c r="T1219" s="24">
        <v>46077</v>
      </c>
      <c r="U1219" s="24" t="s">
        <v>80</v>
      </c>
      <c r="X1219" s="24">
        <v>46077</v>
      </c>
      <c r="Y1219" s="23">
        <v>1111</v>
      </c>
      <c r="Z1219" s="23">
        <v>11600007</v>
      </c>
      <c r="AA1219" s="23">
        <v>515103</v>
      </c>
      <c r="AB1219" s="24">
        <v>46075</v>
      </c>
    </row>
    <row r="1220" spans="2:28" x14ac:dyDescent="0.2">
      <c r="B1220" s="23" t="s">
        <v>81</v>
      </c>
      <c r="C1220" s="23">
        <v>1100577816</v>
      </c>
      <c r="H1220" s="24">
        <v>46112</v>
      </c>
      <c r="O1220" s="23">
        <v>892.56</v>
      </c>
      <c r="P1220" s="23" t="s">
        <v>79</v>
      </c>
    </row>
    <row r="1221" spans="2:28" x14ac:dyDescent="0.2">
      <c r="C1221" s="23">
        <v>1100578630</v>
      </c>
      <c r="E1221" s="23">
        <v>10</v>
      </c>
      <c r="F1221" s="23" t="s">
        <v>277</v>
      </c>
      <c r="G1221" s="23" t="s">
        <v>278</v>
      </c>
      <c r="H1221" s="24">
        <v>46112</v>
      </c>
      <c r="I1221" s="24">
        <v>46112</v>
      </c>
      <c r="J1221" s="23" t="s">
        <v>3242</v>
      </c>
      <c r="K1221" s="23" t="s">
        <v>3242</v>
      </c>
      <c r="L1221" s="23">
        <v>8</v>
      </c>
      <c r="M1221" s="23" t="s">
        <v>78</v>
      </c>
      <c r="N1221" s="23" t="s">
        <v>78</v>
      </c>
      <c r="O1221" s="23">
        <v>306.95999999999998</v>
      </c>
      <c r="P1221" s="23" t="s">
        <v>79</v>
      </c>
      <c r="Q1221" s="23" t="s">
        <v>83</v>
      </c>
      <c r="R1221" s="23">
        <v>11100176</v>
      </c>
      <c r="S1221" s="24">
        <v>46112</v>
      </c>
      <c r="T1221" s="24">
        <v>46085</v>
      </c>
      <c r="U1221" s="24" t="s">
        <v>80</v>
      </c>
      <c r="X1221" s="24">
        <v>46085</v>
      </c>
      <c r="Y1221" s="23">
        <v>1111</v>
      </c>
      <c r="Z1221" s="23">
        <v>11400789</v>
      </c>
      <c r="AA1221" s="23">
        <v>5051</v>
      </c>
      <c r="AB1221" s="24">
        <v>46083</v>
      </c>
    </row>
    <row r="1222" spans="2:28" x14ac:dyDescent="0.2">
      <c r="C1222" s="23">
        <v>1100578630</v>
      </c>
      <c r="E1222" s="23">
        <v>20</v>
      </c>
      <c r="F1222" s="23" t="s">
        <v>406</v>
      </c>
      <c r="G1222" s="23" t="s">
        <v>407</v>
      </c>
      <c r="H1222" s="24">
        <v>46112</v>
      </c>
      <c r="I1222" s="24">
        <v>46112</v>
      </c>
      <c r="J1222" s="23" t="s">
        <v>3242</v>
      </c>
      <c r="K1222" s="23" t="s">
        <v>3242</v>
      </c>
      <c r="L1222" s="23">
        <v>10</v>
      </c>
      <c r="M1222" s="23" t="s">
        <v>78</v>
      </c>
      <c r="N1222" s="23" t="s">
        <v>78</v>
      </c>
      <c r="O1222" s="23">
        <v>999.3</v>
      </c>
      <c r="P1222" s="23" t="s">
        <v>79</v>
      </c>
      <c r="Q1222" s="23" t="s">
        <v>83</v>
      </c>
      <c r="R1222" s="23">
        <v>11100176</v>
      </c>
      <c r="S1222" s="24">
        <v>46112</v>
      </c>
      <c r="T1222" s="24">
        <v>46085</v>
      </c>
      <c r="U1222" s="24" t="s">
        <v>80</v>
      </c>
      <c r="X1222" s="24">
        <v>46085</v>
      </c>
      <c r="Y1222" s="23">
        <v>1111</v>
      </c>
      <c r="Z1222" s="23">
        <v>11400789</v>
      </c>
      <c r="AA1222" s="23">
        <v>5051</v>
      </c>
      <c r="AB1222" s="24">
        <v>46083</v>
      </c>
    </row>
    <row r="1223" spans="2:28" x14ac:dyDescent="0.2">
      <c r="C1223" s="23">
        <v>1100578630</v>
      </c>
      <c r="E1223" s="23">
        <v>30</v>
      </c>
      <c r="F1223" s="23" t="s">
        <v>82</v>
      </c>
      <c r="G1223" s="23" t="s">
        <v>139</v>
      </c>
      <c r="H1223" s="24">
        <v>46112</v>
      </c>
      <c r="I1223" s="24">
        <v>46112</v>
      </c>
      <c r="J1223" s="23" t="s">
        <v>3242</v>
      </c>
      <c r="K1223" s="23" t="s">
        <v>3242</v>
      </c>
      <c r="L1223" s="23">
        <v>1</v>
      </c>
      <c r="M1223" s="23" t="s">
        <v>78</v>
      </c>
      <c r="N1223" s="23" t="s">
        <v>78</v>
      </c>
      <c r="O1223" s="23">
        <v>0.01</v>
      </c>
      <c r="P1223" s="23" t="s">
        <v>79</v>
      </c>
      <c r="Q1223" s="23" t="s">
        <v>83</v>
      </c>
      <c r="R1223" s="23">
        <v>11100176</v>
      </c>
      <c r="S1223" s="24" t="s">
        <v>80</v>
      </c>
      <c r="T1223" s="24">
        <v>46085</v>
      </c>
      <c r="U1223" s="24" t="s">
        <v>80</v>
      </c>
      <c r="X1223" s="24">
        <v>46085</v>
      </c>
      <c r="Y1223" s="23">
        <v>1111</v>
      </c>
      <c r="Z1223" s="23">
        <v>11400789</v>
      </c>
      <c r="AA1223" s="23">
        <v>5051</v>
      </c>
      <c r="AB1223" s="24">
        <v>46083</v>
      </c>
    </row>
    <row r="1224" spans="2:28" x14ac:dyDescent="0.2">
      <c r="B1224" s="23" t="s">
        <v>81</v>
      </c>
      <c r="C1224" s="23">
        <v>1100578630</v>
      </c>
      <c r="H1224" s="24">
        <v>46112</v>
      </c>
      <c r="O1224" s="23">
        <v>1306.27</v>
      </c>
      <c r="P1224" s="23" t="s">
        <v>79</v>
      </c>
    </row>
    <row r="1225" spans="2:28" x14ac:dyDescent="0.2">
      <c r="C1225" s="23">
        <v>1100552743</v>
      </c>
      <c r="E1225" s="23">
        <v>40</v>
      </c>
      <c r="F1225" s="23" t="s">
        <v>855</v>
      </c>
      <c r="G1225" s="23" t="s">
        <v>856</v>
      </c>
      <c r="H1225" s="24">
        <v>46113</v>
      </c>
      <c r="I1225" s="24">
        <v>46113</v>
      </c>
      <c r="J1225" s="23" t="s">
        <v>561</v>
      </c>
      <c r="K1225" s="23" t="s">
        <v>561</v>
      </c>
      <c r="L1225" s="23">
        <v>5</v>
      </c>
      <c r="M1225" s="23" t="s">
        <v>78</v>
      </c>
      <c r="N1225" s="23" t="s">
        <v>78</v>
      </c>
      <c r="O1225" s="23">
        <v>4404.1000000000004</v>
      </c>
      <c r="P1225" s="23" t="s">
        <v>79</v>
      </c>
      <c r="Q1225" s="23" t="s">
        <v>119</v>
      </c>
      <c r="R1225" s="23">
        <v>11100018</v>
      </c>
      <c r="S1225" s="24">
        <v>45861</v>
      </c>
      <c r="T1225" s="24">
        <v>45811</v>
      </c>
      <c r="U1225" s="24">
        <v>47116</v>
      </c>
      <c r="X1225" s="24">
        <v>45811</v>
      </c>
      <c r="Y1225" s="23">
        <v>1111</v>
      </c>
      <c r="Z1225" s="23">
        <v>11600009</v>
      </c>
      <c r="AA1225" s="23">
        <v>395103</v>
      </c>
      <c r="AB1225" s="24">
        <v>45811</v>
      </c>
    </row>
    <row r="1226" spans="2:28" x14ac:dyDescent="0.2">
      <c r="B1226" s="23" t="s">
        <v>81</v>
      </c>
      <c r="C1226" s="23">
        <v>1100552743</v>
      </c>
      <c r="H1226" s="24">
        <v>46113</v>
      </c>
      <c r="O1226" s="23">
        <v>4404.1000000000004</v>
      </c>
      <c r="P1226" s="23" t="s">
        <v>79</v>
      </c>
    </row>
    <row r="1227" spans="2:28" x14ac:dyDescent="0.2">
      <c r="C1227" s="23">
        <v>1100574284</v>
      </c>
      <c r="E1227" s="23">
        <v>10</v>
      </c>
      <c r="F1227" s="23" t="s">
        <v>3243</v>
      </c>
      <c r="G1227" s="23" t="s">
        <v>3244</v>
      </c>
      <c r="H1227" s="24">
        <v>46113</v>
      </c>
      <c r="I1227" s="24">
        <v>46113</v>
      </c>
      <c r="J1227" s="23" t="s">
        <v>3245</v>
      </c>
      <c r="K1227" s="23" t="s">
        <v>3245</v>
      </c>
      <c r="L1227" s="23">
        <v>2</v>
      </c>
      <c r="M1227" s="23" t="s">
        <v>78</v>
      </c>
      <c r="N1227" s="23" t="s">
        <v>78</v>
      </c>
      <c r="O1227" s="23">
        <v>1282.3399999999999</v>
      </c>
      <c r="P1227" s="23" t="s">
        <v>79</v>
      </c>
      <c r="Q1227" s="23" t="s">
        <v>83</v>
      </c>
      <c r="R1227" s="23">
        <v>11100176</v>
      </c>
      <c r="S1227" s="24">
        <v>46113</v>
      </c>
      <c r="T1227" s="24">
        <v>46043</v>
      </c>
      <c r="U1227" s="24" t="s">
        <v>80</v>
      </c>
      <c r="X1227" s="24">
        <v>46037</v>
      </c>
      <c r="Y1227" s="23">
        <v>1111</v>
      </c>
      <c r="Z1227" s="23">
        <v>11400704</v>
      </c>
      <c r="AA1227" s="23">
        <v>3351</v>
      </c>
      <c r="AB1227" s="24">
        <v>46036</v>
      </c>
    </row>
    <row r="1228" spans="2:28" x14ac:dyDescent="0.2">
      <c r="B1228" s="23" t="s">
        <v>81</v>
      </c>
      <c r="C1228" s="23">
        <v>1100574284</v>
      </c>
      <c r="H1228" s="24">
        <v>46113</v>
      </c>
      <c r="O1228" s="23">
        <v>1282.3399999999999</v>
      </c>
      <c r="P1228" s="23" t="s">
        <v>79</v>
      </c>
    </row>
    <row r="1229" spans="2:28" x14ac:dyDescent="0.2">
      <c r="C1229" s="23">
        <v>1100574641</v>
      </c>
      <c r="E1229" s="23">
        <v>10</v>
      </c>
      <c r="F1229" s="23" t="s">
        <v>3246</v>
      </c>
      <c r="G1229" s="23" t="s">
        <v>3247</v>
      </c>
      <c r="H1229" s="24">
        <v>46113</v>
      </c>
      <c r="I1229" s="24">
        <v>46113</v>
      </c>
      <c r="J1229" s="23" t="s">
        <v>3248</v>
      </c>
      <c r="K1229" s="23" t="s">
        <v>3248</v>
      </c>
      <c r="L1229" s="23">
        <v>7</v>
      </c>
      <c r="M1229" s="23" t="s">
        <v>78</v>
      </c>
      <c r="N1229" s="23" t="s">
        <v>78</v>
      </c>
      <c r="O1229" s="23">
        <v>1975.47</v>
      </c>
      <c r="P1229" s="23" t="s">
        <v>79</v>
      </c>
      <c r="Q1229" s="23" t="s">
        <v>83</v>
      </c>
      <c r="R1229" s="23">
        <v>11100176</v>
      </c>
      <c r="S1229" s="24">
        <v>46087</v>
      </c>
      <c r="T1229" s="24">
        <v>46045</v>
      </c>
      <c r="U1229" s="24" t="s">
        <v>80</v>
      </c>
      <c r="X1229" s="24">
        <v>46028</v>
      </c>
      <c r="Y1229" s="23">
        <v>1111</v>
      </c>
      <c r="Z1229" s="23">
        <v>11600003</v>
      </c>
      <c r="AA1229" s="23">
        <v>3351</v>
      </c>
      <c r="AB1229" s="24">
        <v>46020</v>
      </c>
    </row>
    <row r="1230" spans="2:28" x14ac:dyDescent="0.2">
      <c r="C1230" s="23">
        <v>1100574641</v>
      </c>
      <c r="E1230" s="23">
        <v>20</v>
      </c>
      <c r="F1230" s="23" t="s">
        <v>3249</v>
      </c>
      <c r="G1230" s="23" t="s">
        <v>3250</v>
      </c>
      <c r="H1230" s="24">
        <v>46113</v>
      </c>
      <c r="I1230" s="24">
        <v>46113</v>
      </c>
      <c r="J1230" s="23" t="s">
        <v>3248</v>
      </c>
      <c r="K1230" s="23" t="s">
        <v>3248</v>
      </c>
      <c r="L1230" s="23">
        <v>1</v>
      </c>
      <c r="M1230" s="23" t="s">
        <v>78</v>
      </c>
      <c r="N1230" s="23" t="s">
        <v>78</v>
      </c>
      <c r="O1230" s="23">
        <v>6269.66</v>
      </c>
      <c r="P1230" s="23" t="s">
        <v>79</v>
      </c>
      <c r="Q1230" s="23" t="s">
        <v>83</v>
      </c>
      <c r="R1230" s="23">
        <v>11100176</v>
      </c>
      <c r="S1230" s="24">
        <v>46087</v>
      </c>
      <c r="T1230" s="24">
        <v>46045</v>
      </c>
      <c r="U1230" s="24" t="s">
        <v>80</v>
      </c>
      <c r="X1230" s="24">
        <v>46028</v>
      </c>
      <c r="Y1230" s="23">
        <v>1111</v>
      </c>
      <c r="Z1230" s="23">
        <v>11600003</v>
      </c>
      <c r="AA1230" s="23">
        <v>3351</v>
      </c>
      <c r="AB1230" s="24">
        <v>46020</v>
      </c>
    </row>
    <row r="1231" spans="2:28" x14ac:dyDescent="0.2">
      <c r="C1231" s="23">
        <v>1100574641</v>
      </c>
      <c r="E1231" s="23">
        <v>50</v>
      </c>
      <c r="F1231" s="23" t="s">
        <v>3251</v>
      </c>
      <c r="G1231" s="23" t="s">
        <v>3252</v>
      </c>
      <c r="H1231" s="24">
        <v>46113</v>
      </c>
      <c r="I1231" s="24">
        <v>46141</v>
      </c>
      <c r="J1231" s="23" t="s">
        <v>3248</v>
      </c>
      <c r="K1231" s="23" t="s">
        <v>3248</v>
      </c>
      <c r="L1231" s="23">
        <v>1</v>
      </c>
      <c r="M1231" s="23" t="s">
        <v>78</v>
      </c>
      <c r="N1231" s="23" t="s">
        <v>78</v>
      </c>
      <c r="O1231" s="23">
        <v>1523.2</v>
      </c>
      <c r="P1231" s="23" t="s">
        <v>79</v>
      </c>
      <c r="Q1231" s="23" t="s">
        <v>83</v>
      </c>
      <c r="R1231" s="23">
        <v>11100176</v>
      </c>
      <c r="S1231" s="24">
        <v>46087</v>
      </c>
      <c r="T1231" s="24">
        <v>46045</v>
      </c>
      <c r="U1231" s="24" t="s">
        <v>80</v>
      </c>
      <c r="X1231" s="24">
        <v>46028</v>
      </c>
      <c r="Y1231" s="23">
        <v>1111</v>
      </c>
      <c r="Z1231" s="23">
        <v>11600003</v>
      </c>
      <c r="AA1231" s="23">
        <v>3351</v>
      </c>
      <c r="AB1231" s="24">
        <v>46020</v>
      </c>
    </row>
    <row r="1232" spans="2:28" x14ac:dyDescent="0.2">
      <c r="C1232" s="23">
        <v>1100574641</v>
      </c>
      <c r="E1232" s="23">
        <v>60</v>
      </c>
      <c r="F1232" s="23" t="s">
        <v>3253</v>
      </c>
      <c r="G1232" s="23" t="s">
        <v>3254</v>
      </c>
      <c r="H1232" s="24">
        <v>46113</v>
      </c>
      <c r="I1232" s="24">
        <v>46113</v>
      </c>
      <c r="J1232" s="23" t="s">
        <v>3248</v>
      </c>
      <c r="K1232" s="23" t="s">
        <v>3248</v>
      </c>
      <c r="L1232" s="23">
        <v>1</v>
      </c>
      <c r="M1232" s="23" t="s">
        <v>78</v>
      </c>
      <c r="N1232" s="23" t="s">
        <v>78</v>
      </c>
      <c r="O1232" s="23">
        <v>5631.5</v>
      </c>
      <c r="P1232" s="23" t="s">
        <v>79</v>
      </c>
      <c r="Q1232" s="23" t="s">
        <v>83</v>
      </c>
      <c r="R1232" s="23">
        <v>11100176</v>
      </c>
      <c r="S1232" s="24">
        <v>46087</v>
      </c>
      <c r="T1232" s="24">
        <v>46045</v>
      </c>
      <c r="U1232" s="24" t="s">
        <v>80</v>
      </c>
      <c r="X1232" s="24">
        <v>46028</v>
      </c>
      <c r="Y1232" s="23">
        <v>1111</v>
      </c>
      <c r="Z1232" s="23">
        <v>11600003</v>
      </c>
      <c r="AA1232" s="23">
        <v>3351</v>
      </c>
      <c r="AB1232" s="24">
        <v>46020</v>
      </c>
    </row>
    <row r="1233" spans="2:28" x14ac:dyDescent="0.2">
      <c r="C1233" s="23">
        <v>1100574641</v>
      </c>
      <c r="E1233" s="23">
        <v>70</v>
      </c>
      <c r="F1233" s="23" t="s">
        <v>82</v>
      </c>
      <c r="G1233" s="23" t="s">
        <v>139</v>
      </c>
      <c r="H1233" s="24">
        <v>46113</v>
      </c>
      <c r="I1233" s="24">
        <v>46113</v>
      </c>
      <c r="J1233" s="23" t="s">
        <v>3248</v>
      </c>
      <c r="K1233" s="23" t="s">
        <v>3248</v>
      </c>
      <c r="L1233" s="23">
        <v>1</v>
      </c>
      <c r="M1233" s="23" t="s">
        <v>78</v>
      </c>
      <c r="N1233" s="23" t="s">
        <v>78</v>
      </c>
      <c r="O1233" s="23">
        <v>0.01</v>
      </c>
      <c r="P1233" s="23" t="s">
        <v>79</v>
      </c>
      <c r="Q1233" s="23" t="s">
        <v>83</v>
      </c>
      <c r="R1233" s="23">
        <v>11100176</v>
      </c>
      <c r="S1233" s="24">
        <v>46087</v>
      </c>
      <c r="T1233" s="24">
        <v>46045</v>
      </c>
      <c r="U1233" s="24" t="s">
        <v>80</v>
      </c>
      <c r="X1233" s="24">
        <v>46028</v>
      </c>
      <c r="Y1233" s="23">
        <v>1111</v>
      </c>
      <c r="Z1233" s="23">
        <v>11600003</v>
      </c>
      <c r="AA1233" s="23">
        <v>3351</v>
      </c>
      <c r="AB1233" s="24">
        <v>46020</v>
      </c>
    </row>
    <row r="1234" spans="2:28" x14ac:dyDescent="0.2">
      <c r="B1234" s="23" t="s">
        <v>81</v>
      </c>
      <c r="C1234" s="23">
        <v>1100574641</v>
      </c>
      <c r="H1234" s="24">
        <v>46113</v>
      </c>
      <c r="O1234" s="23">
        <v>15399.84</v>
      </c>
      <c r="P1234" s="23" t="s">
        <v>79</v>
      </c>
    </row>
    <row r="1235" spans="2:28" x14ac:dyDescent="0.2">
      <c r="C1235" s="23">
        <v>1100574889</v>
      </c>
      <c r="E1235" s="23">
        <v>10</v>
      </c>
      <c r="F1235" s="23" t="s">
        <v>702</v>
      </c>
      <c r="G1235" s="23" t="s">
        <v>1797</v>
      </c>
      <c r="H1235" s="24">
        <v>46113</v>
      </c>
      <c r="I1235" s="24">
        <v>46113</v>
      </c>
      <c r="J1235" s="23" t="s">
        <v>983</v>
      </c>
      <c r="K1235" s="23" t="s">
        <v>983</v>
      </c>
      <c r="L1235" s="23">
        <v>2</v>
      </c>
      <c r="M1235" s="23" t="s">
        <v>78</v>
      </c>
      <c r="N1235" s="23" t="s">
        <v>78</v>
      </c>
      <c r="O1235" s="23">
        <v>256.58</v>
      </c>
      <c r="P1235" s="23" t="s">
        <v>79</v>
      </c>
      <c r="Q1235" s="23" t="s">
        <v>83</v>
      </c>
      <c r="R1235" s="23">
        <v>11100176</v>
      </c>
      <c r="S1235" s="24">
        <v>46059</v>
      </c>
      <c r="T1235" s="24">
        <v>46048</v>
      </c>
      <c r="U1235" s="24">
        <v>47116</v>
      </c>
      <c r="X1235" s="24">
        <v>46045</v>
      </c>
      <c r="Y1235" s="23">
        <v>1111</v>
      </c>
      <c r="Z1235" s="23">
        <v>11600003</v>
      </c>
      <c r="AA1235" s="23">
        <v>335103</v>
      </c>
      <c r="AB1235" s="24">
        <v>46045</v>
      </c>
    </row>
    <row r="1236" spans="2:28" x14ac:dyDescent="0.2">
      <c r="B1236" s="23" t="s">
        <v>81</v>
      </c>
      <c r="C1236" s="23">
        <v>1100574889</v>
      </c>
      <c r="H1236" s="24">
        <v>46113</v>
      </c>
      <c r="O1236" s="23">
        <v>256.58</v>
      </c>
      <c r="P1236" s="23" t="s">
        <v>79</v>
      </c>
    </row>
    <row r="1237" spans="2:28" x14ac:dyDescent="0.2">
      <c r="C1237" s="23">
        <v>1100575276</v>
      </c>
      <c r="E1237" s="23">
        <v>50</v>
      </c>
      <c r="F1237" s="23" t="s">
        <v>3255</v>
      </c>
      <c r="G1237" s="23" t="s">
        <v>3256</v>
      </c>
      <c r="H1237" s="24">
        <v>46113</v>
      </c>
      <c r="I1237" s="24">
        <v>46113</v>
      </c>
      <c r="J1237" s="23" t="s">
        <v>1815</v>
      </c>
      <c r="K1237" s="23" t="s">
        <v>1815</v>
      </c>
      <c r="L1237" s="23">
        <v>1</v>
      </c>
      <c r="M1237" s="23" t="s">
        <v>78</v>
      </c>
      <c r="N1237" s="23" t="s">
        <v>78</v>
      </c>
      <c r="O1237" s="23">
        <v>2126.11</v>
      </c>
      <c r="P1237" s="23" t="s">
        <v>79</v>
      </c>
      <c r="Q1237" s="23" t="s">
        <v>83</v>
      </c>
      <c r="R1237" s="23">
        <v>11100176</v>
      </c>
      <c r="S1237" s="24">
        <v>46107</v>
      </c>
      <c r="T1237" s="24">
        <v>46051</v>
      </c>
      <c r="U1237" s="24">
        <v>46111</v>
      </c>
      <c r="X1237" s="24">
        <v>46044</v>
      </c>
      <c r="Y1237" s="23">
        <v>1111</v>
      </c>
      <c r="Z1237" s="23">
        <v>11400797</v>
      </c>
      <c r="AA1237" s="23">
        <v>335103</v>
      </c>
      <c r="AB1237" s="24">
        <v>46036</v>
      </c>
    </row>
    <row r="1238" spans="2:28" x14ac:dyDescent="0.2">
      <c r="B1238" s="23" t="s">
        <v>81</v>
      </c>
      <c r="C1238" s="23">
        <v>1100575276</v>
      </c>
      <c r="H1238" s="24">
        <v>46113</v>
      </c>
      <c r="O1238" s="23">
        <v>2126.11</v>
      </c>
      <c r="P1238" s="23" t="s">
        <v>79</v>
      </c>
    </row>
    <row r="1239" spans="2:28" x14ac:dyDescent="0.2">
      <c r="C1239" s="23">
        <v>1100575859</v>
      </c>
      <c r="E1239" s="23">
        <v>10</v>
      </c>
      <c r="F1239" s="23" t="s">
        <v>1102</v>
      </c>
      <c r="G1239" s="23" t="s">
        <v>1103</v>
      </c>
      <c r="H1239" s="24">
        <v>46113</v>
      </c>
      <c r="I1239" s="24">
        <v>46113</v>
      </c>
      <c r="J1239" s="23" t="s">
        <v>1104</v>
      </c>
      <c r="K1239" s="23" t="s">
        <v>1104</v>
      </c>
      <c r="L1239" s="23">
        <v>1</v>
      </c>
      <c r="M1239" s="23" t="s">
        <v>78</v>
      </c>
      <c r="N1239" s="23" t="s">
        <v>78</v>
      </c>
      <c r="O1239" s="23">
        <v>1420.03</v>
      </c>
      <c r="P1239" s="23" t="s">
        <v>79</v>
      </c>
      <c r="Q1239" s="23" t="s">
        <v>83</v>
      </c>
      <c r="R1239" s="23">
        <v>11100176</v>
      </c>
      <c r="S1239" s="24">
        <v>46071</v>
      </c>
      <c r="T1239" s="24">
        <v>46057</v>
      </c>
      <c r="U1239" s="24">
        <v>46086</v>
      </c>
      <c r="X1239" s="24">
        <v>46055</v>
      </c>
      <c r="Y1239" s="23">
        <v>1111</v>
      </c>
      <c r="Z1239" s="23">
        <v>11600003</v>
      </c>
      <c r="AA1239" s="23">
        <v>3351</v>
      </c>
      <c r="AB1239" s="24">
        <v>46056</v>
      </c>
    </row>
    <row r="1240" spans="2:28" x14ac:dyDescent="0.2">
      <c r="C1240" s="23">
        <v>1100575859</v>
      </c>
      <c r="E1240" s="23">
        <v>20</v>
      </c>
      <c r="F1240" s="23" t="s">
        <v>82</v>
      </c>
      <c r="G1240" s="23" t="s">
        <v>139</v>
      </c>
      <c r="H1240" s="24">
        <v>46113</v>
      </c>
      <c r="I1240" s="24">
        <v>46113</v>
      </c>
      <c r="J1240" s="23" t="s">
        <v>1104</v>
      </c>
      <c r="K1240" s="23" t="s">
        <v>1104</v>
      </c>
      <c r="L1240" s="23">
        <v>1</v>
      </c>
      <c r="M1240" s="23" t="s">
        <v>78</v>
      </c>
      <c r="N1240" s="23" t="s">
        <v>78</v>
      </c>
      <c r="O1240" s="23">
        <v>0.01</v>
      </c>
      <c r="P1240" s="23" t="s">
        <v>79</v>
      </c>
      <c r="Q1240" s="23" t="s">
        <v>83</v>
      </c>
      <c r="R1240" s="23">
        <v>11100176</v>
      </c>
      <c r="S1240" s="24">
        <v>46071</v>
      </c>
      <c r="T1240" s="24">
        <v>46057</v>
      </c>
      <c r="U1240" s="24">
        <v>46086</v>
      </c>
      <c r="X1240" s="24">
        <v>46055</v>
      </c>
      <c r="Y1240" s="23">
        <v>1111</v>
      </c>
      <c r="Z1240" s="23">
        <v>11600003</v>
      </c>
      <c r="AA1240" s="23">
        <v>3351</v>
      </c>
      <c r="AB1240" s="24">
        <v>46056</v>
      </c>
    </row>
    <row r="1241" spans="2:28" x14ac:dyDescent="0.2">
      <c r="B1241" s="23" t="s">
        <v>81</v>
      </c>
      <c r="C1241" s="23">
        <v>1100575859</v>
      </c>
      <c r="H1241" s="24">
        <v>46113</v>
      </c>
      <c r="O1241" s="23">
        <v>1420.04</v>
      </c>
      <c r="P1241" s="23" t="s">
        <v>79</v>
      </c>
    </row>
    <row r="1242" spans="2:28" x14ac:dyDescent="0.2">
      <c r="C1242" s="23">
        <v>1100575863</v>
      </c>
      <c r="E1242" s="23">
        <v>10</v>
      </c>
      <c r="F1242" s="23" t="s">
        <v>3257</v>
      </c>
      <c r="G1242" s="23" t="s">
        <v>3258</v>
      </c>
      <c r="H1242" s="24">
        <v>46113</v>
      </c>
      <c r="I1242" s="24">
        <v>46113</v>
      </c>
      <c r="J1242" s="23" t="s">
        <v>1777</v>
      </c>
      <c r="K1242" s="23" t="s">
        <v>1777</v>
      </c>
      <c r="L1242" s="23">
        <v>1</v>
      </c>
      <c r="M1242" s="23" t="s">
        <v>78</v>
      </c>
      <c r="N1242" s="23" t="s">
        <v>78</v>
      </c>
      <c r="O1242" s="23">
        <v>1444.15</v>
      </c>
      <c r="P1242" s="23" t="s">
        <v>79</v>
      </c>
      <c r="Q1242" s="23" t="s">
        <v>83</v>
      </c>
      <c r="R1242" s="23">
        <v>11100176</v>
      </c>
      <c r="S1242" s="24">
        <v>46113</v>
      </c>
      <c r="T1242" s="24">
        <v>46057</v>
      </c>
      <c r="U1242" s="24" t="s">
        <v>80</v>
      </c>
      <c r="X1242" s="24">
        <v>46057</v>
      </c>
      <c r="Y1242" s="23">
        <v>1111</v>
      </c>
      <c r="Z1242" s="23">
        <v>11400895</v>
      </c>
      <c r="AA1242" s="23">
        <v>3351</v>
      </c>
      <c r="AB1242" s="24">
        <v>46056</v>
      </c>
    </row>
    <row r="1243" spans="2:28" x14ac:dyDescent="0.2">
      <c r="C1243" s="23">
        <v>1100575863</v>
      </c>
      <c r="E1243" s="23">
        <v>30</v>
      </c>
      <c r="F1243" s="23" t="s">
        <v>84</v>
      </c>
      <c r="G1243" s="23" t="s">
        <v>123</v>
      </c>
      <c r="H1243" s="24">
        <v>46113</v>
      </c>
      <c r="I1243" s="24">
        <v>46113</v>
      </c>
      <c r="J1243" s="23" t="s">
        <v>1777</v>
      </c>
      <c r="K1243" s="23" t="s">
        <v>1777</v>
      </c>
      <c r="L1243" s="23">
        <v>1</v>
      </c>
      <c r="M1243" s="23" t="s">
        <v>78</v>
      </c>
      <c r="N1243" s="23" t="s">
        <v>78</v>
      </c>
      <c r="O1243" s="23">
        <v>0.01</v>
      </c>
      <c r="P1243" s="23" t="s">
        <v>79</v>
      </c>
      <c r="Q1243" s="23" t="s">
        <v>83</v>
      </c>
      <c r="R1243" s="23">
        <v>11100176</v>
      </c>
      <c r="S1243" s="24" t="s">
        <v>80</v>
      </c>
      <c r="T1243" s="24">
        <v>46057</v>
      </c>
      <c r="U1243" s="24" t="s">
        <v>80</v>
      </c>
      <c r="X1243" s="24">
        <v>46057</v>
      </c>
      <c r="Y1243" s="23">
        <v>1111</v>
      </c>
      <c r="Z1243" s="23">
        <v>11400895</v>
      </c>
      <c r="AA1243" s="23">
        <v>3351</v>
      </c>
      <c r="AB1243" s="24">
        <v>46056</v>
      </c>
    </row>
    <row r="1244" spans="2:28" x14ac:dyDescent="0.2">
      <c r="B1244" s="23" t="s">
        <v>81</v>
      </c>
      <c r="C1244" s="23">
        <v>1100575863</v>
      </c>
      <c r="H1244" s="24">
        <v>46113</v>
      </c>
      <c r="O1244" s="23">
        <v>1444.16</v>
      </c>
      <c r="P1244" s="23" t="s">
        <v>79</v>
      </c>
    </row>
    <row r="1245" spans="2:28" x14ac:dyDescent="0.2">
      <c r="C1245" s="23">
        <v>1100575956</v>
      </c>
      <c r="E1245" s="23">
        <v>10</v>
      </c>
      <c r="F1245" s="23" t="s">
        <v>769</v>
      </c>
      <c r="G1245" s="23" t="s">
        <v>770</v>
      </c>
      <c r="H1245" s="24">
        <v>46113</v>
      </c>
      <c r="I1245" s="24">
        <v>46113</v>
      </c>
      <c r="J1245" s="23" t="s">
        <v>685</v>
      </c>
      <c r="K1245" s="23" t="s">
        <v>685</v>
      </c>
      <c r="L1245" s="23">
        <v>4</v>
      </c>
      <c r="M1245" s="23" t="s">
        <v>78</v>
      </c>
      <c r="N1245" s="23" t="s">
        <v>78</v>
      </c>
      <c r="O1245" s="23">
        <v>181.6</v>
      </c>
      <c r="P1245" s="23" t="s">
        <v>79</v>
      </c>
      <c r="Q1245" s="23" t="s">
        <v>83</v>
      </c>
      <c r="R1245" s="23">
        <v>11100176</v>
      </c>
      <c r="S1245" s="24" t="s">
        <v>80</v>
      </c>
      <c r="T1245" s="24">
        <v>46058</v>
      </c>
      <c r="U1245" s="24">
        <v>47116</v>
      </c>
      <c r="X1245" s="24">
        <v>46052</v>
      </c>
      <c r="Y1245" s="23">
        <v>1111</v>
      </c>
      <c r="Z1245" s="23">
        <v>11400937</v>
      </c>
      <c r="AA1245" s="23">
        <v>505103</v>
      </c>
      <c r="AB1245" s="24">
        <v>46056</v>
      </c>
    </row>
    <row r="1246" spans="2:28" x14ac:dyDescent="0.2">
      <c r="C1246" s="23">
        <v>1100575956</v>
      </c>
      <c r="E1246" s="23">
        <v>20</v>
      </c>
      <c r="F1246" s="23" t="s">
        <v>2757</v>
      </c>
      <c r="G1246" s="23" t="s">
        <v>2758</v>
      </c>
      <c r="H1246" s="24">
        <v>46113</v>
      </c>
      <c r="I1246" s="24">
        <v>46113</v>
      </c>
      <c r="J1246" s="23" t="s">
        <v>685</v>
      </c>
      <c r="K1246" s="23" t="s">
        <v>685</v>
      </c>
      <c r="L1246" s="23">
        <v>2</v>
      </c>
      <c r="M1246" s="23" t="s">
        <v>78</v>
      </c>
      <c r="N1246" s="23" t="s">
        <v>78</v>
      </c>
      <c r="O1246" s="23">
        <v>263.92</v>
      </c>
      <c r="P1246" s="23" t="s">
        <v>79</v>
      </c>
      <c r="Q1246" s="23" t="s">
        <v>83</v>
      </c>
      <c r="R1246" s="23">
        <v>11100176</v>
      </c>
      <c r="S1246" s="24" t="s">
        <v>80</v>
      </c>
      <c r="T1246" s="24">
        <v>46058</v>
      </c>
      <c r="U1246" s="24">
        <v>47116</v>
      </c>
      <c r="X1246" s="24">
        <v>46052</v>
      </c>
      <c r="Y1246" s="23">
        <v>1111</v>
      </c>
      <c r="Z1246" s="23">
        <v>11400937</v>
      </c>
      <c r="AA1246" s="23">
        <v>505103</v>
      </c>
      <c r="AB1246" s="24">
        <v>46056</v>
      </c>
    </row>
    <row r="1247" spans="2:28" x14ac:dyDescent="0.2">
      <c r="C1247" s="23">
        <v>1100575956</v>
      </c>
      <c r="E1247" s="23">
        <v>30</v>
      </c>
      <c r="F1247" s="23" t="s">
        <v>2759</v>
      </c>
      <c r="G1247" s="23" t="s">
        <v>2760</v>
      </c>
      <c r="H1247" s="24">
        <v>46113</v>
      </c>
      <c r="I1247" s="24">
        <v>46113</v>
      </c>
      <c r="J1247" s="23" t="s">
        <v>685</v>
      </c>
      <c r="K1247" s="23" t="s">
        <v>685</v>
      </c>
      <c r="L1247" s="23">
        <v>2</v>
      </c>
      <c r="M1247" s="23" t="s">
        <v>78</v>
      </c>
      <c r="N1247" s="23" t="s">
        <v>78</v>
      </c>
      <c r="O1247" s="23">
        <v>274.12</v>
      </c>
      <c r="P1247" s="23" t="s">
        <v>79</v>
      </c>
      <c r="Q1247" s="23" t="s">
        <v>83</v>
      </c>
      <c r="R1247" s="23">
        <v>11100176</v>
      </c>
      <c r="S1247" s="24" t="s">
        <v>80</v>
      </c>
      <c r="T1247" s="24">
        <v>46058</v>
      </c>
      <c r="U1247" s="24">
        <v>47116</v>
      </c>
      <c r="X1247" s="24">
        <v>46052</v>
      </c>
      <c r="Y1247" s="23">
        <v>1111</v>
      </c>
      <c r="Z1247" s="23">
        <v>11400937</v>
      </c>
      <c r="AA1247" s="23">
        <v>505103</v>
      </c>
      <c r="AB1247" s="24">
        <v>46056</v>
      </c>
    </row>
    <row r="1248" spans="2:28" x14ac:dyDescent="0.2">
      <c r="B1248" s="23" t="s">
        <v>81</v>
      </c>
      <c r="C1248" s="23">
        <v>1100575956</v>
      </c>
      <c r="H1248" s="24">
        <v>46113</v>
      </c>
      <c r="O1248" s="23">
        <v>719.64</v>
      </c>
      <c r="P1248" s="23" t="s">
        <v>79</v>
      </c>
    </row>
    <row r="1249" spans="2:28" x14ac:dyDescent="0.2">
      <c r="C1249" s="23">
        <v>1100576048</v>
      </c>
      <c r="E1249" s="23">
        <v>10</v>
      </c>
      <c r="F1249" s="23" t="s">
        <v>1818</v>
      </c>
      <c r="G1249" s="23" t="s">
        <v>1819</v>
      </c>
      <c r="H1249" s="24">
        <v>46113</v>
      </c>
      <c r="I1249" s="24">
        <v>46113</v>
      </c>
      <c r="J1249" s="23" t="s">
        <v>1096</v>
      </c>
      <c r="K1249" s="23" t="s">
        <v>1096</v>
      </c>
      <c r="L1249" s="23">
        <v>2</v>
      </c>
      <c r="M1249" s="23" t="s">
        <v>78</v>
      </c>
      <c r="N1249" s="23" t="s">
        <v>78</v>
      </c>
      <c r="O1249" s="23">
        <v>565.79999999999995</v>
      </c>
      <c r="P1249" s="23" t="s">
        <v>79</v>
      </c>
      <c r="Q1249" s="23" t="s">
        <v>83</v>
      </c>
      <c r="R1249" s="23">
        <v>11100176</v>
      </c>
      <c r="S1249" s="24">
        <v>46079</v>
      </c>
      <c r="T1249" s="24">
        <v>46058</v>
      </c>
      <c r="U1249" s="24" t="s">
        <v>80</v>
      </c>
      <c r="X1249" s="24">
        <v>46057</v>
      </c>
      <c r="Y1249" s="23">
        <v>1111</v>
      </c>
      <c r="Z1249" s="23">
        <v>11400745</v>
      </c>
      <c r="AA1249" s="23">
        <v>395103</v>
      </c>
      <c r="AB1249" s="24">
        <v>46057</v>
      </c>
    </row>
    <row r="1250" spans="2:28" x14ac:dyDescent="0.2">
      <c r="C1250" s="23">
        <v>1100576048</v>
      </c>
      <c r="E1250" s="23">
        <v>20</v>
      </c>
      <c r="F1250" s="23" t="s">
        <v>82</v>
      </c>
      <c r="G1250" s="23" t="s">
        <v>139</v>
      </c>
      <c r="H1250" s="24">
        <v>46113</v>
      </c>
      <c r="I1250" s="24">
        <v>46113</v>
      </c>
      <c r="J1250" s="23" t="s">
        <v>1096</v>
      </c>
      <c r="K1250" s="23" t="s">
        <v>1096</v>
      </c>
      <c r="L1250" s="23">
        <v>1</v>
      </c>
      <c r="M1250" s="23" t="s">
        <v>78</v>
      </c>
      <c r="N1250" s="23" t="s">
        <v>78</v>
      </c>
      <c r="O1250" s="23">
        <v>0.01</v>
      </c>
      <c r="P1250" s="23" t="s">
        <v>79</v>
      </c>
      <c r="Q1250" s="23" t="s">
        <v>83</v>
      </c>
      <c r="R1250" s="23">
        <v>11100176</v>
      </c>
      <c r="S1250" s="24" t="s">
        <v>80</v>
      </c>
      <c r="T1250" s="24">
        <v>46058</v>
      </c>
      <c r="U1250" s="24" t="s">
        <v>80</v>
      </c>
      <c r="X1250" s="24">
        <v>46057</v>
      </c>
      <c r="Y1250" s="23">
        <v>1111</v>
      </c>
      <c r="Z1250" s="23">
        <v>11400745</v>
      </c>
      <c r="AA1250" s="23">
        <v>395103</v>
      </c>
      <c r="AB1250" s="24">
        <v>46057</v>
      </c>
    </row>
    <row r="1251" spans="2:28" x14ac:dyDescent="0.2">
      <c r="B1251" s="23" t="s">
        <v>81</v>
      </c>
      <c r="C1251" s="23">
        <v>1100576048</v>
      </c>
      <c r="H1251" s="24">
        <v>46113</v>
      </c>
      <c r="O1251" s="23">
        <v>565.80999999999995</v>
      </c>
      <c r="P1251" s="23" t="s">
        <v>79</v>
      </c>
    </row>
    <row r="1252" spans="2:28" x14ac:dyDescent="0.2">
      <c r="C1252" s="23">
        <v>1100576411</v>
      </c>
      <c r="E1252" s="23">
        <v>10</v>
      </c>
      <c r="F1252" s="23" t="s">
        <v>3259</v>
      </c>
      <c r="G1252" s="23" t="s">
        <v>3260</v>
      </c>
      <c r="H1252" s="24">
        <v>46113</v>
      </c>
      <c r="I1252" s="24">
        <v>46113</v>
      </c>
      <c r="J1252" s="23" t="s">
        <v>3261</v>
      </c>
      <c r="K1252" s="23" t="s">
        <v>3261</v>
      </c>
      <c r="L1252" s="23">
        <v>5</v>
      </c>
      <c r="M1252" s="23" t="s">
        <v>78</v>
      </c>
      <c r="N1252" s="23" t="s">
        <v>78</v>
      </c>
      <c r="O1252" s="23">
        <v>1112.95</v>
      </c>
      <c r="P1252" s="23" t="s">
        <v>79</v>
      </c>
      <c r="Q1252" s="23" t="s">
        <v>83</v>
      </c>
      <c r="R1252" s="23">
        <v>11100176</v>
      </c>
      <c r="S1252" s="24">
        <v>46084</v>
      </c>
      <c r="T1252" s="24">
        <v>46063</v>
      </c>
      <c r="U1252" s="24">
        <v>46113</v>
      </c>
      <c r="X1252" s="24">
        <v>46057</v>
      </c>
      <c r="Y1252" s="23">
        <v>1111</v>
      </c>
      <c r="Z1252" s="23">
        <v>11400937</v>
      </c>
      <c r="AA1252" s="23">
        <v>505103</v>
      </c>
      <c r="AB1252" s="24">
        <v>46063</v>
      </c>
    </row>
    <row r="1253" spans="2:28" x14ac:dyDescent="0.2">
      <c r="B1253" s="23" t="s">
        <v>81</v>
      </c>
      <c r="C1253" s="23">
        <v>1100576411</v>
      </c>
      <c r="H1253" s="24">
        <v>46113</v>
      </c>
      <c r="O1253" s="23">
        <v>1112.95</v>
      </c>
      <c r="P1253" s="23" t="s">
        <v>79</v>
      </c>
    </row>
    <row r="1254" spans="2:28" x14ac:dyDescent="0.2">
      <c r="C1254" s="23">
        <v>1100576543</v>
      </c>
      <c r="E1254" s="23">
        <v>10</v>
      </c>
      <c r="F1254" s="23" t="s">
        <v>3262</v>
      </c>
      <c r="G1254" s="23" t="s">
        <v>3263</v>
      </c>
      <c r="H1254" s="24">
        <v>46113</v>
      </c>
      <c r="I1254" s="24">
        <v>46113</v>
      </c>
      <c r="J1254" s="23" t="s">
        <v>3264</v>
      </c>
      <c r="K1254" s="23" t="s">
        <v>3264</v>
      </c>
      <c r="L1254" s="23">
        <v>4</v>
      </c>
      <c r="M1254" s="23" t="s">
        <v>78</v>
      </c>
      <c r="N1254" s="23" t="s">
        <v>78</v>
      </c>
      <c r="O1254" s="23">
        <v>15548.2</v>
      </c>
      <c r="P1254" s="23" t="s">
        <v>79</v>
      </c>
      <c r="Q1254" s="23" t="s">
        <v>83</v>
      </c>
      <c r="R1254" s="23">
        <v>11100176</v>
      </c>
      <c r="S1254" s="24">
        <v>46087</v>
      </c>
      <c r="T1254" s="24">
        <v>46064</v>
      </c>
      <c r="U1254" s="24" t="s">
        <v>80</v>
      </c>
      <c r="X1254" s="24">
        <v>45902</v>
      </c>
      <c r="Y1254" s="23">
        <v>1111</v>
      </c>
      <c r="Z1254" s="23">
        <v>11400704</v>
      </c>
      <c r="AA1254" s="23">
        <v>3951</v>
      </c>
      <c r="AB1254" s="24">
        <v>46063</v>
      </c>
    </row>
    <row r="1255" spans="2:28" x14ac:dyDescent="0.2">
      <c r="C1255" s="23">
        <v>1100576543</v>
      </c>
      <c r="E1255" s="23">
        <v>20</v>
      </c>
      <c r="F1255" s="23" t="s">
        <v>3265</v>
      </c>
      <c r="G1255" s="23" t="s">
        <v>3266</v>
      </c>
      <c r="H1255" s="24">
        <v>46113</v>
      </c>
      <c r="I1255" s="24">
        <v>46113</v>
      </c>
      <c r="J1255" s="23" t="s">
        <v>3264</v>
      </c>
      <c r="K1255" s="23" t="s">
        <v>3264</v>
      </c>
      <c r="L1255" s="23">
        <v>4</v>
      </c>
      <c r="M1255" s="23" t="s">
        <v>78</v>
      </c>
      <c r="N1255" s="23" t="s">
        <v>78</v>
      </c>
      <c r="O1255" s="23">
        <v>648</v>
      </c>
      <c r="P1255" s="23" t="s">
        <v>79</v>
      </c>
      <c r="Q1255" s="23" t="s">
        <v>83</v>
      </c>
      <c r="R1255" s="23">
        <v>11100176</v>
      </c>
      <c r="S1255" s="24">
        <v>46087</v>
      </c>
      <c r="T1255" s="24">
        <v>46064</v>
      </c>
      <c r="U1255" s="24" t="s">
        <v>80</v>
      </c>
      <c r="X1255" s="24">
        <v>45902</v>
      </c>
      <c r="Y1255" s="23">
        <v>1111</v>
      </c>
      <c r="Z1255" s="23">
        <v>11400704</v>
      </c>
      <c r="AA1255" s="23">
        <v>3951</v>
      </c>
      <c r="AB1255" s="24">
        <v>46063</v>
      </c>
    </row>
    <row r="1256" spans="2:28" x14ac:dyDescent="0.2">
      <c r="C1256" s="23">
        <v>1100576543</v>
      </c>
      <c r="E1256" s="23">
        <v>30</v>
      </c>
      <c r="F1256" s="23" t="s">
        <v>209</v>
      </c>
      <c r="G1256" s="23" t="s">
        <v>210</v>
      </c>
      <c r="H1256" s="24">
        <v>46113</v>
      </c>
      <c r="I1256" s="24">
        <v>46113</v>
      </c>
      <c r="J1256" s="23" t="s">
        <v>3264</v>
      </c>
      <c r="K1256" s="23" t="s">
        <v>3264</v>
      </c>
      <c r="L1256" s="23">
        <v>1</v>
      </c>
      <c r="M1256" s="23" t="s">
        <v>78</v>
      </c>
      <c r="N1256" s="23" t="s">
        <v>78</v>
      </c>
      <c r="O1256" s="23">
        <v>0</v>
      </c>
      <c r="P1256" s="23" t="s">
        <v>79</v>
      </c>
      <c r="Q1256" s="23" t="s">
        <v>83</v>
      </c>
      <c r="R1256" s="23">
        <v>11100176</v>
      </c>
      <c r="S1256" s="24" t="s">
        <v>80</v>
      </c>
      <c r="T1256" s="24">
        <v>46064</v>
      </c>
      <c r="U1256" s="24" t="s">
        <v>80</v>
      </c>
      <c r="X1256" s="24">
        <v>45902</v>
      </c>
      <c r="Y1256" s="23">
        <v>1111</v>
      </c>
      <c r="Z1256" s="23">
        <v>11400704</v>
      </c>
      <c r="AA1256" s="23">
        <v>3951</v>
      </c>
      <c r="AB1256" s="24">
        <v>46063</v>
      </c>
    </row>
    <row r="1257" spans="2:28" x14ac:dyDescent="0.2">
      <c r="B1257" s="23" t="s">
        <v>81</v>
      </c>
      <c r="C1257" s="23">
        <v>1100576543</v>
      </c>
      <c r="H1257" s="24">
        <v>46113</v>
      </c>
      <c r="O1257" s="23">
        <v>16196.2</v>
      </c>
      <c r="P1257" s="23" t="s">
        <v>79</v>
      </c>
    </row>
    <row r="1258" spans="2:28" x14ac:dyDescent="0.2">
      <c r="C1258" s="23">
        <v>1100577036</v>
      </c>
      <c r="E1258" s="23">
        <v>10</v>
      </c>
      <c r="F1258" s="23" t="s">
        <v>2060</v>
      </c>
      <c r="G1258" s="23" t="s">
        <v>2061</v>
      </c>
      <c r="H1258" s="24">
        <v>46113</v>
      </c>
      <c r="I1258" s="24">
        <v>46113</v>
      </c>
      <c r="J1258" s="23" t="s">
        <v>283</v>
      </c>
      <c r="K1258" s="23" t="s">
        <v>283</v>
      </c>
      <c r="L1258" s="23">
        <v>5</v>
      </c>
      <c r="M1258" s="23" t="s">
        <v>78</v>
      </c>
      <c r="N1258" s="23" t="s">
        <v>78</v>
      </c>
      <c r="O1258" s="23">
        <v>5495</v>
      </c>
      <c r="P1258" s="23" t="s">
        <v>79</v>
      </c>
      <c r="Q1258" s="23" t="s">
        <v>83</v>
      </c>
      <c r="R1258" s="23">
        <v>11100176</v>
      </c>
      <c r="S1258" s="24">
        <v>46120</v>
      </c>
      <c r="T1258" s="24">
        <v>46070</v>
      </c>
      <c r="U1258" s="24" t="s">
        <v>80</v>
      </c>
      <c r="X1258" s="24">
        <v>46066</v>
      </c>
      <c r="Y1258" s="23">
        <v>1111</v>
      </c>
      <c r="Z1258" s="23">
        <v>11100320</v>
      </c>
      <c r="AA1258" s="23">
        <v>5051</v>
      </c>
      <c r="AB1258" s="24">
        <v>46069</v>
      </c>
    </row>
    <row r="1259" spans="2:28" x14ac:dyDescent="0.2">
      <c r="C1259" s="23">
        <v>1100577036</v>
      </c>
      <c r="E1259" s="23">
        <v>20</v>
      </c>
      <c r="F1259" s="23" t="s">
        <v>82</v>
      </c>
      <c r="G1259" s="23" t="s">
        <v>139</v>
      </c>
      <c r="H1259" s="24">
        <v>46113</v>
      </c>
      <c r="I1259" s="24">
        <v>46113</v>
      </c>
      <c r="J1259" s="23" t="s">
        <v>283</v>
      </c>
      <c r="K1259" s="23" t="s">
        <v>283</v>
      </c>
      <c r="L1259" s="23">
        <v>1</v>
      </c>
      <c r="M1259" s="23" t="s">
        <v>78</v>
      </c>
      <c r="N1259" s="23" t="s">
        <v>78</v>
      </c>
      <c r="O1259" s="23">
        <v>0.01</v>
      </c>
      <c r="P1259" s="23" t="s">
        <v>79</v>
      </c>
      <c r="Q1259" s="23" t="s">
        <v>83</v>
      </c>
      <c r="R1259" s="23">
        <v>11100176</v>
      </c>
      <c r="S1259" s="24">
        <v>46120</v>
      </c>
      <c r="T1259" s="24">
        <v>46070</v>
      </c>
      <c r="U1259" s="24" t="s">
        <v>80</v>
      </c>
      <c r="X1259" s="24">
        <v>46066</v>
      </c>
      <c r="Y1259" s="23">
        <v>1111</v>
      </c>
      <c r="Z1259" s="23">
        <v>11100320</v>
      </c>
      <c r="AA1259" s="23">
        <v>5051</v>
      </c>
      <c r="AB1259" s="24">
        <v>46069</v>
      </c>
    </row>
    <row r="1260" spans="2:28" x14ac:dyDescent="0.2">
      <c r="B1260" s="23" t="s">
        <v>81</v>
      </c>
      <c r="C1260" s="23">
        <v>1100577036</v>
      </c>
      <c r="H1260" s="24">
        <v>46113</v>
      </c>
      <c r="O1260" s="23">
        <v>5495.01</v>
      </c>
      <c r="P1260" s="23" t="s">
        <v>79</v>
      </c>
    </row>
    <row r="1261" spans="2:28" x14ac:dyDescent="0.2">
      <c r="C1261" s="23">
        <v>1100577719</v>
      </c>
      <c r="E1261" s="23">
        <v>20</v>
      </c>
      <c r="F1261" s="23" t="s">
        <v>3267</v>
      </c>
      <c r="G1261" s="23" t="s">
        <v>3268</v>
      </c>
      <c r="H1261" s="24">
        <v>46113</v>
      </c>
      <c r="I1261" s="24">
        <v>46113</v>
      </c>
      <c r="J1261" s="23" t="s">
        <v>92</v>
      </c>
      <c r="K1261" s="23" t="s">
        <v>92</v>
      </c>
      <c r="L1261" s="23">
        <v>1</v>
      </c>
      <c r="M1261" s="23" t="s">
        <v>78</v>
      </c>
      <c r="N1261" s="23" t="s">
        <v>78</v>
      </c>
      <c r="O1261" s="23">
        <v>0</v>
      </c>
      <c r="P1261" s="23" t="s">
        <v>79</v>
      </c>
      <c r="Q1261" s="23" t="s">
        <v>83</v>
      </c>
      <c r="R1261" s="23">
        <v>11100176</v>
      </c>
      <c r="S1261" s="24" t="s">
        <v>80</v>
      </c>
      <c r="T1261" s="24">
        <v>46076</v>
      </c>
      <c r="U1261" s="24" t="s">
        <v>80</v>
      </c>
      <c r="X1261" s="24">
        <v>46076</v>
      </c>
      <c r="Y1261" s="23">
        <v>1111</v>
      </c>
      <c r="Z1261" s="23">
        <v>11400797</v>
      </c>
      <c r="AA1261" s="23">
        <v>525803</v>
      </c>
      <c r="AB1261" s="24">
        <v>46076</v>
      </c>
    </row>
    <row r="1262" spans="2:28" x14ac:dyDescent="0.2">
      <c r="B1262" s="23" t="s">
        <v>81</v>
      </c>
      <c r="C1262" s="23">
        <v>1100577719</v>
      </c>
      <c r="H1262" s="24">
        <v>46113</v>
      </c>
      <c r="O1262" s="23">
        <v>0</v>
      </c>
      <c r="P1262" s="23" t="s">
        <v>79</v>
      </c>
    </row>
    <row r="1263" spans="2:28" x14ac:dyDescent="0.2">
      <c r="C1263" s="23">
        <v>1100577878</v>
      </c>
      <c r="E1263" s="23">
        <v>10</v>
      </c>
      <c r="F1263" s="23" t="s">
        <v>3269</v>
      </c>
      <c r="G1263" s="23" t="s">
        <v>3270</v>
      </c>
      <c r="H1263" s="24">
        <v>46113</v>
      </c>
      <c r="I1263" s="24">
        <v>46113</v>
      </c>
      <c r="J1263" s="23" t="s">
        <v>3271</v>
      </c>
      <c r="K1263" s="23" t="s">
        <v>3271</v>
      </c>
      <c r="L1263" s="23">
        <v>1</v>
      </c>
      <c r="M1263" s="23" t="s">
        <v>78</v>
      </c>
      <c r="N1263" s="23" t="s">
        <v>78</v>
      </c>
      <c r="O1263" s="23">
        <v>854</v>
      </c>
      <c r="P1263" s="23" t="s">
        <v>79</v>
      </c>
      <c r="Q1263" s="23" t="s">
        <v>83</v>
      </c>
      <c r="R1263" s="23">
        <v>11100176</v>
      </c>
      <c r="S1263" s="24">
        <v>46113</v>
      </c>
      <c r="T1263" s="24">
        <v>46078</v>
      </c>
      <c r="U1263" s="24" t="s">
        <v>80</v>
      </c>
      <c r="X1263" s="24">
        <v>46077</v>
      </c>
      <c r="Y1263" s="23">
        <v>1111</v>
      </c>
      <c r="Z1263" s="23">
        <v>11400937</v>
      </c>
      <c r="AA1263" s="23">
        <v>3351</v>
      </c>
      <c r="AB1263" s="24">
        <v>46077</v>
      </c>
    </row>
    <row r="1264" spans="2:28" x14ac:dyDescent="0.2">
      <c r="B1264" s="23" t="s">
        <v>81</v>
      </c>
      <c r="C1264" s="23">
        <v>1100577878</v>
      </c>
      <c r="H1264" s="24">
        <v>46113</v>
      </c>
      <c r="O1264" s="23">
        <v>854</v>
      </c>
      <c r="P1264" s="23" t="s">
        <v>79</v>
      </c>
    </row>
    <row r="1265" spans="2:28" x14ac:dyDescent="0.2">
      <c r="C1265" s="23">
        <v>1100578490</v>
      </c>
      <c r="E1265" s="23">
        <v>20</v>
      </c>
      <c r="F1265" s="23" t="s">
        <v>1889</v>
      </c>
      <c r="G1265" s="23" t="s">
        <v>1890</v>
      </c>
      <c r="H1265" s="24">
        <v>46113</v>
      </c>
      <c r="I1265" s="24">
        <v>46113</v>
      </c>
      <c r="J1265" s="23" t="s">
        <v>3272</v>
      </c>
      <c r="K1265" s="23" t="s">
        <v>3272</v>
      </c>
      <c r="L1265" s="23">
        <v>4</v>
      </c>
      <c r="M1265" s="23" t="s">
        <v>78</v>
      </c>
      <c r="N1265" s="23" t="s">
        <v>78</v>
      </c>
      <c r="O1265" s="23">
        <v>362</v>
      </c>
      <c r="P1265" s="23" t="s">
        <v>79</v>
      </c>
      <c r="Q1265" s="23" t="s">
        <v>83</v>
      </c>
      <c r="R1265" s="23">
        <v>11100176</v>
      </c>
      <c r="S1265" s="24">
        <v>46113</v>
      </c>
      <c r="T1265" s="24">
        <v>46084</v>
      </c>
      <c r="U1265" s="24">
        <v>47116</v>
      </c>
      <c r="X1265" s="24">
        <v>46071</v>
      </c>
      <c r="Y1265" s="23">
        <v>1111</v>
      </c>
      <c r="Z1265" s="23">
        <v>11100320</v>
      </c>
      <c r="AA1265" s="23">
        <v>3351</v>
      </c>
      <c r="AB1265" s="24">
        <v>46071</v>
      </c>
    </row>
    <row r="1266" spans="2:28" x14ac:dyDescent="0.2">
      <c r="B1266" s="23" t="s">
        <v>81</v>
      </c>
      <c r="C1266" s="23">
        <v>1100578490</v>
      </c>
      <c r="H1266" s="24">
        <v>46113</v>
      </c>
      <c r="O1266" s="23">
        <v>362</v>
      </c>
      <c r="P1266" s="23" t="s">
        <v>79</v>
      </c>
    </row>
    <row r="1267" spans="2:28" x14ac:dyDescent="0.2">
      <c r="C1267" s="23">
        <v>1100578547</v>
      </c>
      <c r="E1267" s="23">
        <v>10</v>
      </c>
      <c r="F1267" s="23" t="s">
        <v>1866</v>
      </c>
      <c r="G1267" s="23" t="s">
        <v>1867</v>
      </c>
      <c r="H1267" s="24">
        <v>46113</v>
      </c>
      <c r="I1267" s="24">
        <v>46113</v>
      </c>
      <c r="J1267" s="23" t="s">
        <v>3273</v>
      </c>
      <c r="K1267" s="23" t="s">
        <v>3273</v>
      </c>
      <c r="L1267" s="23">
        <v>1</v>
      </c>
      <c r="M1267" s="23" t="s">
        <v>78</v>
      </c>
      <c r="N1267" s="23" t="s">
        <v>78</v>
      </c>
      <c r="O1267" s="23">
        <v>480.6</v>
      </c>
      <c r="P1267" s="23" t="s">
        <v>79</v>
      </c>
      <c r="Q1267" s="23" t="s">
        <v>83</v>
      </c>
      <c r="R1267" s="23">
        <v>11100176</v>
      </c>
      <c r="S1267" s="24">
        <v>46113</v>
      </c>
      <c r="T1267" s="24">
        <v>46084</v>
      </c>
      <c r="U1267" s="24" t="s">
        <v>80</v>
      </c>
      <c r="X1267" s="24">
        <v>46084</v>
      </c>
      <c r="Y1267" s="23">
        <v>1111</v>
      </c>
      <c r="Z1267" s="23">
        <v>11100320</v>
      </c>
      <c r="AA1267" s="23">
        <v>3351</v>
      </c>
      <c r="AB1267" s="24">
        <v>46077</v>
      </c>
    </row>
    <row r="1268" spans="2:28" x14ac:dyDescent="0.2">
      <c r="C1268" s="23">
        <v>1100578547</v>
      </c>
      <c r="E1268" s="23">
        <v>20</v>
      </c>
      <c r="F1268" s="23" t="s">
        <v>82</v>
      </c>
      <c r="G1268" s="23" t="s">
        <v>139</v>
      </c>
      <c r="H1268" s="24">
        <v>46113</v>
      </c>
      <c r="I1268" s="24">
        <v>46113</v>
      </c>
      <c r="J1268" s="23" t="s">
        <v>3273</v>
      </c>
      <c r="K1268" s="23" t="s">
        <v>3273</v>
      </c>
      <c r="L1268" s="23">
        <v>1</v>
      </c>
      <c r="M1268" s="23" t="s">
        <v>78</v>
      </c>
      <c r="N1268" s="23" t="s">
        <v>78</v>
      </c>
      <c r="O1268" s="23">
        <v>0.01</v>
      </c>
      <c r="P1268" s="23" t="s">
        <v>79</v>
      </c>
      <c r="Q1268" s="23" t="s">
        <v>83</v>
      </c>
      <c r="R1268" s="23">
        <v>11100176</v>
      </c>
      <c r="S1268" s="24">
        <v>46113</v>
      </c>
      <c r="T1268" s="24">
        <v>46084</v>
      </c>
      <c r="U1268" s="24" t="s">
        <v>80</v>
      </c>
      <c r="X1268" s="24">
        <v>46084</v>
      </c>
      <c r="Y1268" s="23">
        <v>1111</v>
      </c>
      <c r="Z1268" s="23">
        <v>11100320</v>
      </c>
      <c r="AA1268" s="23">
        <v>3351</v>
      </c>
      <c r="AB1268" s="24">
        <v>46077</v>
      </c>
    </row>
    <row r="1269" spans="2:28" x14ac:dyDescent="0.2">
      <c r="B1269" s="23" t="s">
        <v>81</v>
      </c>
      <c r="C1269" s="23">
        <v>1100578547</v>
      </c>
      <c r="H1269" s="24">
        <v>46113</v>
      </c>
      <c r="O1269" s="23">
        <v>480.61</v>
      </c>
      <c r="P1269" s="23" t="s">
        <v>79</v>
      </c>
    </row>
    <row r="1270" spans="2:28" x14ac:dyDescent="0.2">
      <c r="C1270" s="23">
        <v>1100578583</v>
      </c>
      <c r="E1270" s="23">
        <v>10</v>
      </c>
      <c r="F1270" s="23" t="s">
        <v>787</v>
      </c>
      <c r="G1270" s="23" t="s">
        <v>788</v>
      </c>
      <c r="H1270" s="24">
        <v>46113</v>
      </c>
      <c r="I1270" s="24">
        <v>46113</v>
      </c>
      <c r="J1270" s="23" t="s">
        <v>2771</v>
      </c>
      <c r="K1270" s="23" t="s">
        <v>2771</v>
      </c>
      <c r="L1270" s="23">
        <v>1</v>
      </c>
      <c r="M1270" s="23" t="s">
        <v>78</v>
      </c>
      <c r="N1270" s="23" t="s">
        <v>78</v>
      </c>
      <c r="O1270" s="23">
        <v>892.55</v>
      </c>
      <c r="P1270" s="23" t="s">
        <v>79</v>
      </c>
      <c r="Q1270" s="23" t="s">
        <v>83</v>
      </c>
      <c r="R1270" s="23">
        <v>11100176</v>
      </c>
      <c r="S1270" s="24">
        <v>46113</v>
      </c>
      <c r="T1270" s="24">
        <v>46085</v>
      </c>
      <c r="U1270" s="24" t="s">
        <v>80</v>
      </c>
      <c r="X1270" s="24">
        <v>46078</v>
      </c>
      <c r="Y1270" s="23">
        <v>1111</v>
      </c>
      <c r="Z1270" s="23">
        <v>11400937</v>
      </c>
      <c r="AA1270" s="23">
        <v>335103</v>
      </c>
      <c r="AB1270" s="24">
        <v>46083</v>
      </c>
    </row>
    <row r="1271" spans="2:28" x14ac:dyDescent="0.2">
      <c r="C1271" s="23">
        <v>1100578583</v>
      </c>
      <c r="E1271" s="23">
        <v>20</v>
      </c>
      <c r="F1271" s="23" t="s">
        <v>82</v>
      </c>
      <c r="G1271" s="23" t="s">
        <v>139</v>
      </c>
      <c r="H1271" s="24">
        <v>46113</v>
      </c>
      <c r="I1271" s="24">
        <v>46113</v>
      </c>
      <c r="J1271" s="23" t="s">
        <v>2771</v>
      </c>
      <c r="K1271" s="23" t="s">
        <v>2771</v>
      </c>
      <c r="L1271" s="23">
        <v>1</v>
      </c>
      <c r="M1271" s="23" t="s">
        <v>78</v>
      </c>
      <c r="N1271" s="23" t="s">
        <v>78</v>
      </c>
      <c r="O1271" s="23">
        <v>0.01</v>
      </c>
      <c r="P1271" s="23" t="s">
        <v>79</v>
      </c>
      <c r="Q1271" s="23" t="s">
        <v>83</v>
      </c>
      <c r="R1271" s="23">
        <v>11100176</v>
      </c>
      <c r="S1271" s="24" t="s">
        <v>80</v>
      </c>
      <c r="T1271" s="24">
        <v>46085</v>
      </c>
      <c r="U1271" s="24" t="s">
        <v>80</v>
      </c>
      <c r="X1271" s="24">
        <v>46078</v>
      </c>
      <c r="Y1271" s="23">
        <v>1111</v>
      </c>
      <c r="Z1271" s="23">
        <v>11400937</v>
      </c>
      <c r="AA1271" s="23">
        <v>335103</v>
      </c>
      <c r="AB1271" s="24">
        <v>46083</v>
      </c>
    </row>
    <row r="1272" spans="2:28" x14ac:dyDescent="0.2">
      <c r="B1272" s="23" t="s">
        <v>81</v>
      </c>
      <c r="C1272" s="23">
        <v>1100578583</v>
      </c>
      <c r="H1272" s="24">
        <v>46113</v>
      </c>
      <c r="O1272" s="23">
        <v>892.56</v>
      </c>
      <c r="P1272" s="23" t="s">
        <v>79</v>
      </c>
    </row>
    <row r="1273" spans="2:28" x14ac:dyDescent="0.2">
      <c r="C1273" s="23">
        <v>1100578587</v>
      </c>
      <c r="E1273" s="23">
        <v>10</v>
      </c>
      <c r="F1273" s="23" t="s">
        <v>3139</v>
      </c>
      <c r="G1273" s="23" t="s">
        <v>3140</v>
      </c>
      <c r="H1273" s="24">
        <v>46113</v>
      </c>
      <c r="I1273" s="24">
        <v>46113</v>
      </c>
      <c r="J1273" s="23" t="s">
        <v>499</v>
      </c>
      <c r="K1273" s="23" t="s">
        <v>499</v>
      </c>
      <c r="L1273" s="23">
        <v>1</v>
      </c>
      <c r="M1273" s="23" t="s">
        <v>78</v>
      </c>
      <c r="N1273" s="23" t="s">
        <v>78</v>
      </c>
      <c r="O1273" s="23">
        <v>1461.47</v>
      </c>
      <c r="P1273" s="23" t="s">
        <v>79</v>
      </c>
      <c r="Q1273" s="23" t="s">
        <v>83</v>
      </c>
      <c r="R1273" s="23">
        <v>11100176</v>
      </c>
      <c r="S1273" s="24">
        <v>46113</v>
      </c>
      <c r="T1273" s="24">
        <v>46085</v>
      </c>
      <c r="U1273" s="24" t="s">
        <v>80</v>
      </c>
      <c r="X1273" s="24">
        <v>46083</v>
      </c>
      <c r="Y1273" s="23">
        <v>1111</v>
      </c>
      <c r="Z1273" s="23">
        <v>11400937</v>
      </c>
      <c r="AA1273" s="23">
        <v>335103</v>
      </c>
      <c r="AB1273" s="24">
        <v>46083</v>
      </c>
    </row>
    <row r="1274" spans="2:28" x14ac:dyDescent="0.2">
      <c r="C1274" s="23">
        <v>1100578587</v>
      </c>
      <c r="E1274" s="23">
        <v>20</v>
      </c>
      <c r="F1274" s="23" t="s">
        <v>82</v>
      </c>
      <c r="G1274" s="23" t="s">
        <v>139</v>
      </c>
      <c r="H1274" s="24">
        <v>46113</v>
      </c>
      <c r="I1274" s="24">
        <v>46113</v>
      </c>
      <c r="J1274" s="23" t="s">
        <v>499</v>
      </c>
      <c r="K1274" s="23" t="s">
        <v>499</v>
      </c>
      <c r="L1274" s="23">
        <v>1</v>
      </c>
      <c r="M1274" s="23" t="s">
        <v>78</v>
      </c>
      <c r="N1274" s="23" t="s">
        <v>78</v>
      </c>
      <c r="O1274" s="23">
        <v>0.01</v>
      </c>
      <c r="P1274" s="23" t="s">
        <v>79</v>
      </c>
      <c r="Q1274" s="23" t="s">
        <v>83</v>
      </c>
      <c r="R1274" s="23">
        <v>11100176</v>
      </c>
      <c r="S1274" s="24" t="s">
        <v>80</v>
      </c>
      <c r="T1274" s="24">
        <v>46085</v>
      </c>
      <c r="U1274" s="24" t="s">
        <v>80</v>
      </c>
      <c r="X1274" s="24">
        <v>46083</v>
      </c>
      <c r="Y1274" s="23">
        <v>1111</v>
      </c>
      <c r="Z1274" s="23">
        <v>11400937</v>
      </c>
      <c r="AA1274" s="23">
        <v>335103</v>
      </c>
      <c r="AB1274" s="24">
        <v>46083</v>
      </c>
    </row>
    <row r="1275" spans="2:28" x14ac:dyDescent="0.2">
      <c r="B1275" s="23" t="s">
        <v>81</v>
      </c>
      <c r="C1275" s="23">
        <v>1100578587</v>
      </c>
      <c r="H1275" s="24">
        <v>46113</v>
      </c>
      <c r="O1275" s="23">
        <v>1461.48</v>
      </c>
      <c r="P1275" s="23" t="s">
        <v>79</v>
      </c>
    </row>
    <row r="1276" spans="2:28" x14ac:dyDescent="0.2">
      <c r="C1276" s="23">
        <v>1100578626</v>
      </c>
      <c r="E1276" s="23">
        <v>30</v>
      </c>
      <c r="F1276" s="23" t="s">
        <v>2755</v>
      </c>
      <c r="G1276" s="23" t="s">
        <v>2756</v>
      </c>
      <c r="H1276" s="24">
        <v>46113</v>
      </c>
      <c r="I1276" s="24">
        <v>46152</v>
      </c>
      <c r="J1276" s="23" t="s">
        <v>2754</v>
      </c>
      <c r="K1276" s="23" t="s">
        <v>2754</v>
      </c>
      <c r="L1276" s="23">
        <v>1</v>
      </c>
      <c r="M1276" s="23" t="s">
        <v>78</v>
      </c>
      <c r="N1276" s="23" t="s">
        <v>78</v>
      </c>
      <c r="O1276" s="23">
        <v>206.14</v>
      </c>
      <c r="P1276" s="23" t="s">
        <v>79</v>
      </c>
      <c r="Q1276" s="23" t="s">
        <v>83</v>
      </c>
      <c r="R1276" s="23">
        <v>11100176</v>
      </c>
      <c r="S1276" s="24">
        <v>46101</v>
      </c>
      <c r="T1276" s="24">
        <v>46085</v>
      </c>
      <c r="U1276" s="24">
        <v>47116</v>
      </c>
      <c r="X1276" s="24">
        <v>46085</v>
      </c>
      <c r="Y1276" s="23">
        <v>1111</v>
      </c>
      <c r="Z1276" s="23">
        <v>11400789</v>
      </c>
      <c r="AA1276" s="23">
        <v>525103</v>
      </c>
      <c r="AB1276" s="24">
        <v>46083</v>
      </c>
    </row>
    <row r="1277" spans="2:28" x14ac:dyDescent="0.2">
      <c r="C1277" s="23">
        <v>1100578626</v>
      </c>
      <c r="E1277" s="23">
        <v>60</v>
      </c>
      <c r="F1277" s="23" t="s">
        <v>859</v>
      </c>
      <c r="G1277" s="23" t="s">
        <v>860</v>
      </c>
      <c r="H1277" s="24">
        <v>46113</v>
      </c>
      <c r="I1277" s="24">
        <v>46113</v>
      </c>
      <c r="J1277" s="23" t="s">
        <v>2754</v>
      </c>
      <c r="K1277" s="23" t="s">
        <v>2754</v>
      </c>
      <c r="L1277" s="23">
        <v>6</v>
      </c>
      <c r="M1277" s="23" t="s">
        <v>78</v>
      </c>
      <c r="N1277" s="23" t="s">
        <v>78</v>
      </c>
      <c r="O1277" s="23">
        <v>291.36</v>
      </c>
      <c r="P1277" s="23" t="s">
        <v>79</v>
      </c>
      <c r="Q1277" s="23" t="s">
        <v>83</v>
      </c>
      <c r="R1277" s="23">
        <v>11100176</v>
      </c>
      <c r="S1277" s="24">
        <v>46101</v>
      </c>
      <c r="T1277" s="24">
        <v>46085</v>
      </c>
      <c r="U1277" s="24">
        <v>47116</v>
      </c>
      <c r="X1277" s="24">
        <v>46085</v>
      </c>
      <c r="Y1277" s="23">
        <v>1111</v>
      </c>
      <c r="Z1277" s="23">
        <v>11400789</v>
      </c>
      <c r="AA1277" s="23">
        <v>525103</v>
      </c>
      <c r="AB1277" s="24">
        <v>46083</v>
      </c>
    </row>
    <row r="1278" spans="2:28" x14ac:dyDescent="0.2">
      <c r="C1278" s="23">
        <v>1100578626</v>
      </c>
      <c r="E1278" s="23">
        <v>80</v>
      </c>
      <c r="F1278" s="23" t="s">
        <v>2757</v>
      </c>
      <c r="G1278" s="23" t="s">
        <v>2758</v>
      </c>
      <c r="H1278" s="24">
        <v>46113</v>
      </c>
      <c r="I1278" s="24">
        <v>46113</v>
      </c>
      <c r="J1278" s="23" t="s">
        <v>2754</v>
      </c>
      <c r="K1278" s="23" t="s">
        <v>2754</v>
      </c>
      <c r="L1278" s="23">
        <v>2</v>
      </c>
      <c r="M1278" s="23" t="s">
        <v>78</v>
      </c>
      <c r="N1278" s="23" t="s">
        <v>78</v>
      </c>
      <c r="O1278" s="23">
        <v>263.92</v>
      </c>
      <c r="P1278" s="23" t="s">
        <v>79</v>
      </c>
      <c r="Q1278" s="23" t="s">
        <v>83</v>
      </c>
      <c r="R1278" s="23">
        <v>11100176</v>
      </c>
      <c r="S1278" s="24">
        <v>46101</v>
      </c>
      <c r="T1278" s="24">
        <v>46085</v>
      </c>
      <c r="U1278" s="24">
        <v>47116</v>
      </c>
      <c r="X1278" s="24">
        <v>46085</v>
      </c>
      <c r="Y1278" s="23">
        <v>1111</v>
      </c>
      <c r="Z1278" s="23">
        <v>11400789</v>
      </c>
      <c r="AA1278" s="23">
        <v>525103</v>
      </c>
      <c r="AB1278" s="24">
        <v>46083</v>
      </c>
    </row>
    <row r="1279" spans="2:28" x14ac:dyDescent="0.2">
      <c r="C1279" s="23">
        <v>1100578626</v>
      </c>
      <c r="E1279" s="23">
        <v>90</v>
      </c>
      <c r="F1279" s="23" t="s">
        <v>2759</v>
      </c>
      <c r="G1279" s="23" t="s">
        <v>2760</v>
      </c>
      <c r="H1279" s="24">
        <v>46113</v>
      </c>
      <c r="I1279" s="24">
        <v>46113</v>
      </c>
      <c r="J1279" s="23" t="s">
        <v>2754</v>
      </c>
      <c r="K1279" s="23" t="s">
        <v>2754</v>
      </c>
      <c r="L1279" s="23">
        <v>4</v>
      </c>
      <c r="M1279" s="23" t="s">
        <v>78</v>
      </c>
      <c r="N1279" s="23" t="s">
        <v>78</v>
      </c>
      <c r="O1279" s="23">
        <v>548.24</v>
      </c>
      <c r="P1279" s="23" t="s">
        <v>79</v>
      </c>
      <c r="Q1279" s="23" t="s">
        <v>83</v>
      </c>
      <c r="R1279" s="23">
        <v>11100176</v>
      </c>
      <c r="S1279" s="24">
        <v>46101</v>
      </c>
      <c r="T1279" s="24">
        <v>46085</v>
      </c>
      <c r="U1279" s="24">
        <v>47116</v>
      </c>
      <c r="X1279" s="24">
        <v>46085</v>
      </c>
      <c r="Y1279" s="23">
        <v>1111</v>
      </c>
      <c r="Z1279" s="23">
        <v>11400789</v>
      </c>
      <c r="AA1279" s="23">
        <v>525103</v>
      </c>
      <c r="AB1279" s="24">
        <v>46083</v>
      </c>
    </row>
    <row r="1280" spans="2:28" x14ac:dyDescent="0.2">
      <c r="B1280" s="23" t="s">
        <v>81</v>
      </c>
      <c r="C1280" s="23">
        <v>1100578626</v>
      </c>
      <c r="H1280" s="24">
        <v>46113</v>
      </c>
      <c r="O1280" s="23">
        <v>1309.6600000000001</v>
      </c>
      <c r="P1280" s="23" t="s">
        <v>79</v>
      </c>
    </row>
    <row r="1281" spans="2:28" x14ac:dyDescent="0.2">
      <c r="C1281" s="23">
        <v>1100574547</v>
      </c>
      <c r="E1281" s="23">
        <v>20</v>
      </c>
      <c r="F1281" s="23" t="s">
        <v>3274</v>
      </c>
      <c r="G1281" s="23" t="s">
        <v>3275</v>
      </c>
      <c r="H1281" s="24">
        <v>46114</v>
      </c>
      <c r="I1281" s="24">
        <v>46114</v>
      </c>
      <c r="J1281" s="23" t="s">
        <v>1063</v>
      </c>
      <c r="K1281" s="23" t="s">
        <v>1063</v>
      </c>
      <c r="L1281" s="23">
        <v>1</v>
      </c>
      <c r="M1281" s="23" t="s">
        <v>78</v>
      </c>
      <c r="N1281" s="23" t="s">
        <v>78</v>
      </c>
      <c r="O1281" s="23">
        <v>338.06</v>
      </c>
      <c r="P1281" s="23" t="s">
        <v>79</v>
      </c>
      <c r="Q1281" s="23" t="s">
        <v>83</v>
      </c>
      <c r="R1281" s="23">
        <v>11100176</v>
      </c>
      <c r="S1281" s="24">
        <v>46114</v>
      </c>
      <c r="T1281" s="24">
        <v>46045</v>
      </c>
      <c r="U1281" s="24">
        <v>46052</v>
      </c>
      <c r="X1281" s="24">
        <v>46043</v>
      </c>
      <c r="Y1281" s="23">
        <v>1111</v>
      </c>
      <c r="Z1281" s="23">
        <v>11400745</v>
      </c>
      <c r="AA1281" s="23">
        <v>5151</v>
      </c>
      <c r="AB1281" s="24">
        <v>46031</v>
      </c>
    </row>
    <row r="1282" spans="2:28" x14ac:dyDescent="0.2">
      <c r="B1282" s="23" t="s">
        <v>81</v>
      </c>
      <c r="C1282" s="23">
        <v>1100574547</v>
      </c>
      <c r="H1282" s="24">
        <v>46114</v>
      </c>
      <c r="O1282" s="23">
        <v>338.06</v>
      </c>
      <c r="P1282" s="23" t="s">
        <v>79</v>
      </c>
    </row>
    <row r="1283" spans="2:28" x14ac:dyDescent="0.2">
      <c r="C1283" s="23">
        <v>1100575126</v>
      </c>
      <c r="E1283" s="23">
        <v>10</v>
      </c>
      <c r="F1283" s="23" t="s">
        <v>3276</v>
      </c>
      <c r="G1283" s="23" t="s">
        <v>3277</v>
      </c>
      <c r="H1283" s="24">
        <v>46114</v>
      </c>
      <c r="I1283" s="24">
        <v>46114</v>
      </c>
      <c r="J1283" s="23" t="s">
        <v>191</v>
      </c>
      <c r="K1283" s="23" t="s">
        <v>191</v>
      </c>
      <c r="L1283" s="23">
        <v>3</v>
      </c>
      <c r="M1283" s="23" t="s">
        <v>78</v>
      </c>
      <c r="N1283" s="23" t="s">
        <v>78</v>
      </c>
      <c r="O1283" s="23">
        <v>376.92</v>
      </c>
      <c r="P1283" s="23" t="s">
        <v>79</v>
      </c>
      <c r="Q1283" s="23" t="s">
        <v>83</v>
      </c>
      <c r="R1283" s="23">
        <v>11100176</v>
      </c>
      <c r="S1283" s="24">
        <v>46114</v>
      </c>
      <c r="T1283" s="24">
        <v>46050</v>
      </c>
      <c r="U1283" s="24" t="s">
        <v>80</v>
      </c>
      <c r="X1283" s="24">
        <v>46049</v>
      </c>
      <c r="Y1283" s="23">
        <v>1111</v>
      </c>
      <c r="Z1283" s="23">
        <v>11100137</v>
      </c>
      <c r="AA1283" s="23">
        <v>3951</v>
      </c>
      <c r="AB1283" s="24">
        <v>46042</v>
      </c>
    </row>
    <row r="1284" spans="2:28" x14ac:dyDescent="0.2">
      <c r="C1284" s="23">
        <v>1100575126</v>
      </c>
      <c r="E1284" s="23">
        <v>20</v>
      </c>
      <c r="F1284" s="23" t="s">
        <v>3278</v>
      </c>
      <c r="G1284" s="23" t="s">
        <v>3279</v>
      </c>
      <c r="H1284" s="24">
        <v>46114</v>
      </c>
      <c r="I1284" s="24">
        <v>46114</v>
      </c>
      <c r="J1284" s="23" t="s">
        <v>191</v>
      </c>
      <c r="K1284" s="23" t="s">
        <v>191</v>
      </c>
      <c r="L1284" s="23">
        <v>2</v>
      </c>
      <c r="M1284" s="23" t="s">
        <v>78</v>
      </c>
      <c r="N1284" s="23" t="s">
        <v>78</v>
      </c>
      <c r="O1284" s="23">
        <v>1410.64</v>
      </c>
      <c r="P1284" s="23" t="s">
        <v>79</v>
      </c>
      <c r="Q1284" s="23" t="s">
        <v>83</v>
      </c>
      <c r="R1284" s="23">
        <v>11100176</v>
      </c>
      <c r="S1284" s="24">
        <v>46205</v>
      </c>
      <c r="T1284" s="24">
        <v>46050</v>
      </c>
      <c r="U1284" s="24" t="s">
        <v>80</v>
      </c>
      <c r="X1284" s="24">
        <v>46049</v>
      </c>
      <c r="Y1284" s="23">
        <v>1111</v>
      </c>
      <c r="Z1284" s="23">
        <v>11100137</v>
      </c>
      <c r="AA1284" s="23">
        <v>3951</v>
      </c>
      <c r="AB1284" s="24">
        <v>46042</v>
      </c>
    </row>
    <row r="1285" spans="2:28" x14ac:dyDescent="0.2">
      <c r="C1285" s="23">
        <v>1100575126</v>
      </c>
      <c r="E1285" s="23">
        <v>30</v>
      </c>
      <c r="F1285" s="23">
        <v>4212095</v>
      </c>
      <c r="G1285" s="23" t="s">
        <v>3280</v>
      </c>
      <c r="H1285" s="24">
        <v>46114</v>
      </c>
      <c r="I1285" s="24">
        <v>46114</v>
      </c>
      <c r="J1285" s="23" t="s">
        <v>191</v>
      </c>
      <c r="K1285" s="23" t="s">
        <v>191</v>
      </c>
      <c r="L1285" s="23">
        <v>2</v>
      </c>
      <c r="M1285" s="23" t="s">
        <v>78</v>
      </c>
      <c r="N1285" s="23" t="s">
        <v>78</v>
      </c>
      <c r="O1285" s="23">
        <v>364.28</v>
      </c>
      <c r="P1285" s="23" t="s">
        <v>79</v>
      </c>
      <c r="Q1285" s="23" t="s">
        <v>83</v>
      </c>
      <c r="R1285" s="23">
        <v>11100176</v>
      </c>
      <c r="S1285" s="24">
        <v>46114</v>
      </c>
      <c r="T1285" s="24">
        <v>46050</v>
      </c>
      <c r="U1285" s="24" t="s">
        <v>80</v>
      </c>
      <c r="X1285" s="24">
        <v>46049</v>
      </c>
      <c r="Y1285" s="23">
        <v>1111</v>
      </c>
      <c r="Z1285" s="23">
        <v>11100137</v>
      </c>
      <c r="AA1285" s="23">
        <v>3951</v>
      </c>
      <c r="AB1285" s="24">
        <v>46042</v>
      </c>
    </row>
    <row r="1286" spans="2:28" x14ac:dyDescent="0.2">
      <c r="C1286" s="23">
        <v>1100575126</v>
      </c>
      <c r="E1286" s="23">
        <v>40</v>
      </c>
      <c r="F1286" s="23" t="s">
        <v>3281</v>
      </c>
      <c r="G1286" s="23" t="s">
        <v>3282</v>
      </c>
      <c r="H1286" s="24">
        <v>46114</v>
      </c>
      <c r="I1286" s="24">
        <v>46114</v>
      </c>
      <c r="J1286" s="23" t="s">
        <v>191</v>
      </c>
      <c r="K1286" s="23" t="s">
        <v>191</v>
      </c>
      <c r="L1286" s="23">
        <v>2</v>
      </c>
      <c r="M1286" s="23" t="s">
        <v>78</v>
      </c>
      <c r="N1286" s="23" t="s">
        <v>78</v>
      </c>
      <c r="O1286" s="23">
        <v>510</v>
      </c>
      <c r="P1286" s="23" t="s">
        <v>79</v>
      </c>
      <c r="Q1286" s="23" t="s">
        <v>83</v>
      </c>
      <c r="R1286" s="23">
        <v>11100176</v>
      </c>
      <c r="S1286" s="24">
        <v>46114</v>
      </c>
      <c r="T1286" s="24">
        <v>46050</v>
      </c>
      <c r="U1286" s="24" t="s">
        <v>80</v>
      </c>
      <c r="X1286" s="24">
        <v>46049</v>
      </c>
      <c r="Y1286" s="23">
        <v>1111</v>
      </c>
      <c r="Z1286" s="23">
        <v>11100137</v>
      </c>
      <c r="AA1286" s="23">
        <v>3951</v>
      </c>
      <c r="AB1286" s="24">
        <v>46042</v>
      </c>
    </row>
    <row r="1287" spans="2:28" x14ac:dyDescent="0.2">
      <c r="C1287" s="23">
        <v>1100575126</v>
      </c>
      <c r="E1287" s="23">
        <v>50</v>
      </c>
      <c r="F1287" s="23" t="s">
        <v>209</v>
      </c>
      <c r="G1287" s="23" t="s">
        <v>210</v>
      </c>
      <c r="H1287" s="24">
        <v>46114</v>
      </c>
      <c r="I1287" s="24">
        <v>46114</v>
      </c>
      <c r="J1287" s="23" t="s">
        <v>191</v>
      </c>
      <c r="K1287" s="23" t="s">
        <v>191</v>
      </c>
      <c r="L1287" s="23">
        <v>1</v>
      </c>
      <c r="M1287" s="23" t="s">
        <v>78</v>
      </c>
      <c r="N1287" s="23" t="s">
        <v>78</v>
      </c>
      <c r="O1287" s="23">
        <v>0.01</v>
      </c>
      <c r="P1287" s="23" t="s">
        <v>79</v>
      </c>
      <c r="Q1287" s="23" t="s">
        <v>83</v>
      </c>
      <c r="R1287" s="23">
        <v>11100176</v>
      </c>
      <c r="S1287" s="24" t="s">
        <v>80</v>
      </c>
      <c r="T1287" s="24">
        <v>46050</v>
      </c>
      <c r="U1287" s="24" t="s">
        <v>80</v>
      </c>
      <c r="X1287" s="24">
        <v>46049</v>
      </c>
      <c r="Y1287" s="23">
        <v>1111</v>
      </c>
      <c r="Z1287" s="23">
        <v>11100137</v>
      </c>
      <c r="AA1287" s="23">
        <v>3951</v>
      </c>
      <c r="AB1287" s="24">
        <v>46042</v>
      </c>
    </row>
    <row r="1288" spans="2:28" x14ac:dyDescent="0.2">
      <c r="B1288" s="23" t="s">
        <v>81</v>
      </c>
      <c r="C1288" s="23">
        <v>1100575126</v>
      </c>
      <c r="H1288" s="24">
        <v>46114</v>
      </c>
      <c r="O1288" s="23">
        <v>2661.85</v>
      </c>
      <c r="P1288" s="23" t="s">
        <v>79</v>
      </c>
    </row>
    <row r="1289" spans="2:28" x14ac:dyDescent="0.2">
      <c r="C1289" s="23">
        <v>1100575957</v>
      </c>
      <c r="E1289" s="23">
        <v>10</v>
      </c>
      <c r="F1289" s="23" t="s">
        <v>3283</v>
      </c>
      <c r="G1289" s="23" t="s">
        <v>3284</v>
      </c>
      <c r="H1289" s="24">
        <v>46114</v>
      </c>
      <c r="I1289" s="24">
        <v>46114</v>
      </c>
      <c r="J1289" s="23" t="s">
        <v>1169</v>
      </c>
      <c r="K1289" s="23" t="s">
        <v>1169</v>
      </c>
      <c r="L1289" s="23">
        <v>10</v>
      </c>
      <c r="M1289" s="23" t="s">
        <v>78</v>
      </c>
      <c r="N1289" s="23" t="s">
        <v>78</v>
      </c>
      <c r="O1289" s="23">
        <v>3651.3</v>
      </c>
      <c r="P1289" s="23" t="s">
        <v>79</v>
      </c>
      <c r="Q1289" s="23" t="s">
        <v>83</v>
      </c>
      <c r="R1289" s="23">
        <v>11100176</v>
      </c>
      <c r="S1289" s="24">
        <v>46114</v>
      </c>
      <c r="T1289" s="24">
        <v>46058</v>
      </c>
      <c r="U1289" s="24" t="s">
        <v>80</v>
      </c>
      <c r="X1289" s="24">
        <v>46057</v>
      </c>
      <c r="Y1289" s="23">
        <v>1111</v>
      </c>
      <c r="Z1289" s="23">
        <v>11100137</v>
      </c>
      <c r="AA1289" s="23">
        <v>335103</v>
      </c>
      <c r="AB1289" s="24">
        <v>46056</v>
      </c>
    </row>
    <row r="1290" spans="2:28" x14ac:dyDescent="0.2">
      <c r="B1290" s="23" t="s">
        <v>81</v>
      </c>
      <c r="C1290" s="23">
        <v>1100575957</v>
      </c>
      <c r="H1290" s="24">
        <v>46114</v>
      </c>
      <c r="O1290" s="23">
        <v>3651.3</v>
      </c>
      <c r="P1290" s="23" t="s">
        <v>79</v>
      </c>
    </row>
    <row r="1291" spans="2:28" x14ac:dyDescent="0.2">
      <c r="C1291" s="23">
        <v>1100576013</v>
      </c>
      <c r="E1291" s="23">
        <v>20</v>
      </c>
      <c r="F1291" s="23" t="s">
        <v>124</v>
      </c>
      <c r="G1291" s="23" t="s">
        <v>125</v>
      </c>
      <c r="H1291" s="24">
        <v>46114</v>
      </c>
      <c r="I1291" s="24">
        <v>46114</v>
      </c>
      <c r="J1291" s="23" t="s">
        <v>256</v>
      </c>
      <c r="K1291" s="23" t="s">
        <v>256</v>
      </c>
      <c r="L1291" s="23">
        <v>2</v>
      </c>
      <c r="M1291" s="23" t="s">
        <v>78</v>
      </c>
      <c r="N1291" s="23" t="s">
        <v>78</v>
      </c>
      <c r="O1291" s="23">
        <v>2741.66</v>
      </c>
      <c r="P1291" s="23" t="s">
        <v>79</v>
      </c>
      <c r="Q1291" s="23" t="s">
        <v>83</v>
      </c>
      <c r="R1291" s="23">
        <v>11100176</v>
      </c>
      <c r="S1291" s="24">
        <v>46114</v>
      </c>
      <c r="T1291" s="24">
        <v>46058</v>
      </c>
      <c r="U1291" s="24">
        <v>46114</v>
      </c>
      <c r="X1291" s="24">
        <v>46051</v>
      </c>
      <c r="Y1291" s="23">
        <v>1111</v>
      </c>
      <c r="Z1291" s="23">
        <v>11400937</v>
      </c>
      <c r="AA1291" s="23">
        <v>5151</v>
      </c>
      <c r="AB1291" s="24">
        <v>46055</v>
      </c>
    </row>
    <row r="1292" spans="2:28" x14ac:dyDescent="0.2">
      <c r="C1292" s="23">
        <v>1100576013</v>
      </c>
      <c r="E1292" s="23">
        <v>30</v>
      </c>
      <c r="F1292" s="23" t="s">
        <v>923</v>
      </c>
      <c r="G1292" s="23" t="s">
        <v>714</v>
      </c>
      <c r="H1292" s="24">
        <v>46114</v>
      </c>
      <c r="I1292" s="24">
        <v>46114</v>
      </c>
      <c r="J1292" s="23" t="s">
        <v>256</v>
      </c>
      <c r="K1292" s="23" t="s">
        <v>256</v>
      </c>
      <c r="L1292" s="23">
        <v>1</v>
      </c>
      <c r="M1292" s="23" t="s">
        <v>78</v>
      </c>
      <c r="N1292" s="23" t="s">
        <v>78</v>
      </c>
      <c r="O1292" s="23">
        <v>892.55</v>
      </c>
      <c r="P1292" s="23" t="s">
        <v>79</v>
      </c>
      <c r="Q1292" s="23" t="s">
        <v>83</v>
      </c>
      <c r="R1292" s="23">
        <v>11100176</v>
      </c>
      <c r="S1292" s="24">
        <v>46114</v>
      </c>
      <c r="T1292" s="24">
        <v>46058</v>
      </c>
      <c r="U1292" s="24">
        <v>46114</v>
      </c>
      <c r="X1292" s="24">
        <v>46051</v>
      </c>
      <c r="Y1292" s="23">
        <v>1111</v>
      </c>
      <c r="Z1292" s="23">
        <v>11400937</v>
      </c>
      <c r="AA1292" s="23">
        <v>5151</v>
      </c>
      <c r="AB1292" s="24">
        <v>46055</v>
      </c>
    </row>
    <row r="1293" spans="2:28" x14ac:dyDescent="0.2">
      <c r="B1293" s="23" t="s">
        <v>81</v>
      </c>
      <c r="C1293" s="23">
        <v>1100576013</v>
      </c>
      <c r="H1293" s="24">
        <v>46114</v>
      </c>
      <c r="O1293" s="23">
        <v>3634.21</v>
      </c>
      <c r="P1293" s="23" t="s">
        <v>79</v>
      </c>
    </row>
    <row r="1294" spans="2:28" x14ac:dyDescent="0.2">
      <c r="C1294" s="23">
        <v>1100576085</v>
      </c>
      <c r="E1294" s="23">
        <v>30</v>
      </c>
      <c r="F1294" s="23" t="s">
        <v>712</v>
      </c>
      <c r="G1294" s="23" t="s">
        <v>2263</v>
      </c>
      <c r="H1294" s="24">
        <v>46114</v>
      </c>
      <c r="I1294" s="24">
        <v>46114</v>
      </c>
      <c r="J1294" s="23" t="s">
        <v>668</v>
      </c>
      <c r="K1294" s="23" t="s">
        <v>668</v>
      </c>
      <c r="L1294" s="23">
        <v>12</v>
      </c>
      <c r="M1294" s="23" t="s">
        <v>78</v>
      </c>
      <c r="N1294" s="23" t="s">
        <v>78</v>
      </c>
      <c r="O1294" s="23">
        <v>392.76</v>
      </c>
      <c r="P1294" s="23" t="s">
        <v>79</v>
      </c>
      <c r="Q1294" s="23" t="s">
        <v>83</v>
      </c>
      <c r="R1294" s="23">
        <v>11100176</v>
      </c>
      <c r="S1294" s="24">
        <v>46080</v>
      </c>
      <c r="T1294" s="24">
        <v>46058</v>
      </c>
      <c r="U1294" s="24">
        <v>47116</v>
      </c>
      <c r="X1294" s="24">
        <v>46055</v>
      </c>
      <c r="Y1294" s="23">
        <v>1111</v>
      </c>
      <c r="Z1294" s="23">
        <v>11400704</v>
      </c>
      <c r="AA1294" s="23">
        <v>335103</v>
      </c>
      <c r="AB1294" s="24">
        <v>46051</v>
      </c>
    </row>
    <row r="1295" spans="2:28" x14ac:dyDescent="0.2">
      <c r="B1295" s="23" t="s">
        <v>81</v>
      </c>
      <c r="C1295" s="23">
        <v>1100576085</v>
      </c>
      <c r="H1295" s="24">
        <v>46114</v>
      </c>
      <c r="O1295" s="23">
        <v>392.76</v>
      </c>
      <c r="P1295" s="23" t="s">
        <v>79</v>
      </c>
    </row>
    <row r="1296" spans="2:28" x14ac:dyDescent="0.2">
      <c r="C1296" s="23">
        <v>1100576565</v>
      </c>
      <c r="E1296" s="23">
        <v>10</v>
      </c>
      <c r="F1296" s="23" t="s">
        <v>87</v>
      </c>
      <c r="G1296" s="23" t="s">
        <v>3285</v>
      </c>
      <c r="H1296" s="24">
        <v>46114</v>
      </c>
      <c r="I1296" s="24">
        <v>47118</v>
      </c>
      <c r="J1296" s="23" t="s">
        <v>3286</v>
      </c>
      <c r="K1296" s="23" t="s">
        <v>3286</v>
      </c>
      <c r="L1296" s="23">
        <v>1</v>
      </c>
      <c r="M1296" s="23" t="s">
        <v>78</v>
      </c>
      <c r="N1296" s="23" t="s">
        <v>78</v>
      </c>
      <c r="O1296" s="23">
        <v>20600</v>
      </c>
      <c r="P1296" s="23" t="s">
        <v>79</v>
      </c>
      <c r="Q1296" s="23" t="s">
        <v>83</v>
      </c>
      <c r="R1296" s="23">
        <v>11100176</v>
      </c>
      <c r="S1296" s="24">
        <v>46162</v>
      </c>
      <c r="T1296" s="24">
        <v>46064</v>
      </c>
      <c r="U1296" s="24" t="s">
        <v>80</v>
      </c>
      <c r="X1296" s="24">
        <v>46059</v>
      </c>
      <c r="Y1296" s="23">
        <v>1111</v>
      </c>
      <c r="Z1296" s="23">
        <v>11400895</v>
      </c>
      <c r="AA1296" s="23">
        <v>505103</v>
      </c>
      <c r="AB1296" s="24">
        <v>46059</v>
      </c>
    </row>
    <row r="1297" spans="2:28" x14ac:dyDescent="0.2">
      <c r="C1297" s="23">
        <v>1100576565</v>
      </c>
      <c r="E1297" s="23">
        <v>20</v>
      </c>
      <c r="F1297" s="23" t="s">
        <v>3287</v>
      </c>
      <c r="G1297" s="23" t="s">
        <v>3288</v>
      </c>
      <c r="H1297" s="24">
        <v>46114</v>
      </c>
      <c r="I1297" s="24">
        <v>46114</v>
      </c>
      <c r="J1297" s="23" t="s">
        <v>3286</v>
      </c>
      <c r="K1297" s="23" t="s">
        <v>3286</v>
      </c>
      <c r="L1297" s="23">
        <v>1</v>
      </c>
      <c r="M1297" s="23" t="s">
        <v>78</v>
      </c>
      <c r="N1297" s="23" t="s">
        <v>78</v>
      </c>
      <c r="O1297" s="23">
        <v>4910</v>
      </c>
      <c r="P1297" s="23" t="s">
        <v>79</v>
      </c>
      <c r="Q1297" s="23" t="s">
        <v>83</v>
      </c>
      <c r="R1297" s="23">
        <v>11100176</v>
      </c>
      <c r="S1297" s="24">
        <v>46162</v>
      </c>
      <c r="T1297" s="24">
        <v>46064</v>
      </c>
      <c r="U1297" s="24" t="s">
        <v>80</v>
      </c>
      <c r="X1297" s="24">
        <v>46059</v>
      </c>
      <c r="Y1297" s="23">
        <v>1111</v>
      </c>
      <c r="Z1297" s="23">
        <v>11400895</v>
      </c>
      <c r="AA1297" s="23">
        <v>505103</v>
      </c>
      <c r="AB1297" s="24">
        <v>46059</v>
      </c>
    </row>
    <row r="1298" spans="2:28" x14ac:dyDescent="0.2">
      <c r="C1298" s="23">
        <v>1100576565</v>
      </c>
      <c r="E1298" s="23">
        <v>30</v>
      </c>
      <c r="F1298" s="23" t="s">
        <v>82</v>
      </c>
      <c r="G1298" s="23" t="s">
        <v>139</v>
      </c>
      <c r="H1298" s="24">
        <v>46114</v>
      </c>
      <c r="I1298" s="24">
        <v>47118</v>
      </c>
      <c r="J1298" s="23" t="s">
        <v>3286</v>
      </c>
      <c r="K1298" s="23" t="s">
        <v>3286</v>
      </c>
      <c r="L1298" s="23">
        <v>1</v>
      </c>
      <c r="M1298" s="23" t="s">
        <v>78</v>
      </c>
      <c r="N1298" s="23" t="s">
        <v>78</v>
      </c>
      <c r="O1298" s="23">
        <v>0.01</v>
      </c>
      <c r="P1298" s="23" t="s">
        <v>79</v>
      </c>
      <c r="Q1298" s="23" t="s">
        <v>83</v>
      </c>
      <c r="R1298" s="23">
        <v>11100176</v>
      </c>
      <c r="S1298" s="24" t="s">
        <v>80</v>
      </c>
      <c r="T1298" s="24">
        <v>46064</v>
      </c>
      <c r="U1298" s="24" t="s">
        <v>80</v>
      </c>
      <c r="X1298" s="24">
        <v>46059</v>
      </c>
      <c r="Y1298" s="23">
        <v>1111</v>
      </c>
      <c r="Z1298" s="23">
        <v>11400895</v>
      </c>
      <c r="AA1298" s="23">
        <v>505103</v>
      </c>
      <c r="AB1298" s="24">
        <v>46059</v>
      </c>
    </row>
    <row r="1299" spans="2:28" x14ac:dyDescent="0.2">
      <c r="C1299" s="23">
        <v>1100576565</v>
      </c>
      <c r="E1299" s="23">
        <v>40</v>
      </c>
      <c r="F1299" s="23" t="s">
        <v>84</v>
      </c>
      <c r="G1299" s="23" t="s">
        <v>123</v>
      </c>
      <c r="H1299" s="24">
        <v>46114</v>
      </c>
      <c r="I1299" s="24">
        <v>46114</v>
      </c>
      <c r="J1299" s="23" t="s">
        <v>3286</v>
      </c>
      <c r="K1299" s="23" t="s">
        <v>3286</v>
      </c>
      <c r="L1299" s="23">
        <v>1</v>
      </c>
      <c r="M1299" s="23" t="s">
        <v>78</v>
      </c>
      <c r="N1299" s="23" t="s">
        <v>78</v>
      </c>
      <c r="O1299" s="23">
        <v>0.01</v>
      </c>
      <c r="P1299" s="23" t="s">
        <v>79</v>
      </c>
      <c r="Q1299" s="23" t="s">
        <v>83</v>
      </c>
      <c r="R1299" s="23">
        <v>11100176</v>
      </c>
      <c r="S1299" s="24" t="s">
        <v>80</v>
      </c>
      <c r="T1299" s="24">
        <v>46064</v>
      </c>
      <c r="U1299" s="24" t="s">
        <v>80</v>
      </c>
      <c r="X1299" s="24">
        <v>46059</v>
      </c>
      <c r="Y1299" s="23">
        <v>1111</v>
      </c>
      <c r="Z1299" s="23">
        <v>11400895</v>
      </c>
      <c r="AA1299" s="23">
        <v>505103</v>
      </c>
      <c r="AB1299" s="24">
        <v>46059</v>
      </c>
    </row>
    <row r="1300" spans="2:28" x14ac:dyDescent="0.2">
      <c r="B1300" s="23" t="s">
        <v>81</v>
      </c>
      <c r="C1300" s="23">
        <v>1100576565</v>
      </c>
      <c r="H1300" s="24">
        <v>46114</v>
      </c>
      <c r="O1300" s="23">
        <v>25510.02</v>
      </c>
      <c r="P1300" s="23" t="s">
        <v>79</v>
      </c>
    </row>
    <row r="1301" spans="2:28" x14ac:dyDescent="0.2">
      <c r="C1301" s="23">
        <v>1100576921</v>
      </c>
      <c r="E1301" s="23">
        <v>10</v>
      </c>
      <c r="F1301" s="23" t="s">
        <v>3289</v>
      </c>
      <c r="G1301" s="23" t="s">
        <v>3290</v>
      </c>
      <c r="H1301" s="24">
        <v>46114</v>
      </c>
      <c r="I1301" s="24">
        <v>46114</v>
      </c>
      <c r="J1301" s="23" t="s">
        <v>1803</v>
      </c>
      <c r="K1301" s="23" t="s">
        <v>1803</v>
      </c>
      <c r="L1301" s="23">
        <v>3</v>
      </c>
      <c r="M1301" s="23" t="s">
        <v>78</v>
      </c>
      <c r="N1301" s="23" t="s">
        <v>78</v>
      </c>
      <c r="O1301" s="23">
        <v>1398.27</v>
      </c>
      <c r="P1301" s="23" t="s">
        <v>79</v>
      </c>
      <c r="Q1301" s="23" t="s">
        <v>83</v>
      </c>
      <c r="R1301" s="23">
        <v>11100299</v>
      </c>
      <c r="S1301" s="24">
        <v>46093</v>
      </c>
      <c r="T1301" s="24">
        <v>46069</v>
      </c>
      <c r="U1301" s="24" t="s">
        <v>80</v>
      </c>
      <c r="X1301" s="24">
        <v>46065</v>
      </c>
      <c r="Y1301" s="23">
        <v>1111</v>
      </c>
      <c r="Z1301" s="23">
        <v>11100137</v>
      </c>
      <c r="AA1301" s="23">
        <v>3151</v>
      </c>
      <c r="AB1301" s="24">
        <v>46064</v>
      </c>
    </row>
    <row r="1302" spans="2:28" x14ac:dyDescent="0.2">
      <c r="C1302" s="23">
        <v>1100576921</v>
      </c>
      <c r="E1302" s="23">
        <v>20</v>
      </c>
      <c r="F1302" s="23" t="s">
        <v>82</v>
      </c>
      <c r="G1302" s="23" t="s">
        <v>139</v>
      </c>
      <c r="H1302" s="24">
        <v>46114</v>
      </c>
      <c r="I1302" s="24">
        <v>46114</v>
      </c>
      <c r="J1302" s="23" t="s">
        <v>1803</v>
      </c>
      <c r="K1302" s="23" t="s">
        <v>1803</v>
      </c>
      <c r="L1302" s="23">
        <v>1</v>
      </c>
      <c r="M1302" s="23" t="s">
        <v>78</v>
      </c>
      <c r="N1302" s="23" t="s">
        <v>78</v>
      </c>
      <c r="O1302" s="23">
        <v>0.01</v>
      </c>
      <c r="P1302" s="23" t="s">
        <v>79</v>
      </c>
      <c r="Q1302" s="23" t="s">
        <v>83</v>
      </c>
      <c r="R1302" s="23">
        <v>11100299</v>
      </c>
      <c r="S1302" s="24" t="s">
        <v>80</v>
      </c>
      <c r="T1302" s="24">
        <v>46069</v>
      </c>
      <c r="U1302" s="24" t="s">
        <v>80</v>
      </c>
      <c r="X1302" s="24">
        <v>46065</v>
      </c>
      <c r="Y1302" s="23">
        <v>1111</v>
      </c>
      <c r="Z1302" s="23">
        <v>11100137</v>
      </c>
      <c r="AA1302" s="23">
        <v>3151</v>
      </c>
      <c r="AB1302" s="24">
        <v>46064</v>
      </c>
    </row>
    <row r="1303" spans="2:28" x14ac:dyDescent="0.2">
      <c r="B1303" s="23" t="s">
        <v>81</v>
      </c>
      <c r="C1303" s="23">
        <v>1100576921</v>
      </c>
      <c r="H1303" s="24">
        <v>46114</v>
      </c>
      <c r="O1303" s="23">
        <v>1398.28</v>
      </c>
      <c r="P1303" s="23" t="s">
        <v>79</v>
      </c>
    </row>
    <row r="1304" spans="2:28" x14ac:dyDescent="0.2">
      <c r="C1304" s="23">
        <v>1100577184</v>
      </c>
      <c r="E1304" s="23">
        <v>10</v>
      </c>
      <c r="F1304" s="23" t="s">
        <v>3291</v>
      </c>
      <c r="G1304" s="23" t="s">
        <v>3292</v>
      </c>
      <c r="H1304" s="24">
        <v>46114</v>
      </c>
      <c r="I1304" s="24">
        <v>46114</v>
      </c>
      <c r="J1304" s="23" t="s">
        <v>405</v>
      </c>
      <c r="K1304" s="23" t="s">
        <v>405</v>
      </c>
      <c r="L1304" s="23">
        <v>1</v>
      </c>
      <c r="M1304" s="23" t="s">
        <v>78</v>
      </c>
      <c r="N1304" s="23" t="s">
        <v>78</v>
      </c>
      <c r="O1304" s="23">
        <v>580</v>
      </c>
      <c r="P1304" s="23" t="s">
        <v>79</v>
      </c>
      <c r="Q1304" s="23" t="s">
        <v>83</v>
      </c>
      <c r="R1304" s="23">
        <v>11100176</v>
      </c>
      <c r="S1304" s="24">
        <v>46114</v>
      </c>
      <c r="T1304" s="24">
        <v>46072</v>
      </c>
      <c r="U1304" s="24" t="s">
        <v>80</v>
      </c>
      <c r="X1304" s="24">
        <v>46055</v>
      </c>
      <c r="Y1304" s="23">
        <v>1111</v>
      </c>
      <c r="Z1304" s="23">
        <v>11400895</v>
      </c>
      <c r="AA1304" s="23">
        <v>3951</v>
      </c>
      <c r="AB1304" s="24">
        <v>46070</v>
      </c>
    </row>
    <row r="1305" spans="2:28" x14ac:dyDescent="0.2">
      <c r="C1305" s="23">
        <v>1100577184</v>
      </c>
      <c r="E1305" s="23">
        <v>20</v>
      </c>
      <c r="F1305" s="23" t="s">
        <v>82</v>
      </c>
      <c r="G1305" s="23" t="s">
        <v>139</v>
      </c>
      <c r="H1305" s="24">
        <v>46114</v>
      </c>
      <c r="I1305" s="24">
        <v>46114</v>
      </c>
      <c r="J1305" s="23" t="s">
        <v>405</v>
      </c>
      <c r="K1305" s="23" t="s">
        <v>405</v>
      </c>
      <c r="L1305" s="23">
        <v>1</v>
      </c>
      <c r="M1305" s="23" t="s">
        <v>78</v>
      </c>
      <c r="N1305" s="23" t="s">
        <v>78</v>
      </c>
      <c r="O1305" s="23">
        <v>0.01</v>
      </c>
      <c r="P1305" s="23" t="s">
        <v>79</v>
      </c>
      <c r="Q1305" s="23" t="s">
        <v>83</v>
      </c>
      <c r="R1305" s="23">
        <v>11100176</v>
      </c>
      <c r="S1305" s="24" t="s">
        <v>80</v>
      </c>
      <c r="T1305" s="24">
        <v>46072</v>
      </c>
      <c r="U1305" s="24" t="s">
        <v>80</v>
      </c>
      <c r="X1305" s="24">
        <v>46055</v>
      </c>
      <c r="Y1305" s="23">
        <v>1111</v>
      </c>
      <c r="Z1305" s="23">
        <v>11400895</v>
      </c>
      <c r="AA1305" s="23">
        <v>3951</v>
      </c>
      <c r="AB1305" s="24">
        <v>46070</v>
      </c>
    </row>
    <row r="1306" spans="2:28" x14ac:dyDescent="0.2">
      <c r="B1306" s="23" t="s">
        <v>81</v>
      </c>
      <c r="C1306" s="23">
        <v>1100577184</v>
      </c>
      <c r="H1306" s="24">
        <v>46114</v>
      </c>
      <c r="O1306" s="23">
        <v>580.01</v>
      </c>
      <c r="P1306" s="23" t="s">
        <v>79</v>
      </c>
    </row>
    <row r="1307" spans="2:28" x14ac:dyDescent="0.2">
      <c r="C1307" s="23">
        <v>1100577206</v>
      </c>
      <c r="E1307" s="23">
        <v>10</v>
      </c>
      <c r="F1307" s="23" t="s">
        <v>3293</v>
      </c>
      <c r="G1307" s="23" t="s">
        <v>3294</v>
      </c>
      <c r="H1307" s="24">
        <v>46114</v>
      </c>
      <c r="I1307" s="24">
        <v>46114</v>
      </c>
      <c r="J1307" s="23" t="s">
        <v>3295</v>
      </c>
      <c r="K1307" s="23" t="s">
        <v>3295</v>
      </c>
      <c r="L1307" s="23">
        <v>4</v>
      </c>
      <c r="M1307" s="23" t="s">
        <v>78</v>
      </c>
      <c r="N1307" s="23" t="s">
        <v>78</v>
      </c>
      <c r="O1307" s="23">
        <v>2963.4</v>
      </c>
      <c r="P1307" s="23" t="s">
        <v>79</v>
      </c>
      <c r="Q1307" s="23" t="s">
        <v>83</v>
      </c>
      <c r="R1307" s="23">
        <v>11100176</v>
      </c>
      <c r="S1307" s="24">
        <v>46114</v>
      </c>
      <c r="T1307" s="24">
        <v>46072</v>
      </c>
      <c r="U1307" s="24" t="s">
        <v>80</v>
      </c>
      <c r="X1307" s="24">
        <v>46057</v>
      </c>
      <c r="Y1307" s="23">
        <v>1111</v>
      </c>
      <c r="Z1307" s="23">
        <v>11400895</v>
      </c>
      <c r="AA1307" s="23">
        <v>3351</v>
      </c>
      <c r="AB1307" s="24">
        <v>46057</v>
      </c>
    </row>
    <row r="1308" spans="2:28" x14ac:dyDescent="0.2">
      <c r="B1308" s="23" t="s">
        <v>81</v>
      </c>
      <c r="C1308" s="23">
        <v>1100577206</v>
      </c>
      <c r="H1308" s="24">
        <v>46114</v>
      </c>
      <c r="O1308" s="23">
        <v>2963.4</v>
      </c>
      <c r="P1308" s="23" t="s">
        <v>79</v>
      </c>
    </row>
    <row r="1309" spans="2:28" x14ac:dyDescent="0.2">
      <c r="C1309" s="23">
        <v>1100577858</v>
      </c>
      <c r="E1309" s="23">
        <v>10</v>
      </c>
      <c r="F1309" s="23" t="s">
        <v>127</v>
      </c>
      <c r="G1309" s="23" t="s">
        <v>128</v>
      </c>
      <c r="H1309" s="24">
        <v>46114</v>
      </c>
      <c r="I1309" s="24">
        <v>46114</v>
      </c>
      <c r="J1309" s="23" t="s">
        <v>257</v>
      </c>
      <c r="K1309" s="23" t="s">
        <v>257</v>
      </c>
      <c r="L1309" s="23">
        <v>5</v>
      </c>
      <c r="M1309" s="23" t="s">
        <v>78</v>
      </c>
      <c r="N1309" s="23" t="s">
        <v>78</v>
      </c>
      <c r="O1309" s="23">
        <v>1763.1</v>
      </c>
      <c r="P1309" s="23" t="s">
        <v>79</v>
      </c>
      <c r="Q1309" s="23" t="s">
        <v>83</v>
      </c>
      <c r="R1309" s="23">
        <v>11100176</v>
      </c>
      <c r="S1309" s="24">
        <v>46114</v>
      </c>
      <c r="T1309" s="24">
        <v>46078</v>
      </c>
      <c r="U1309" s="24" t="s">
        <v>80</v>
      </c>
      <c r="X1309" s="24">
        <v>46076</v>
      </c>
      <c r="Y1309" s="23">
        <v>1111</v>
      </c>
      <c r="Z1309" s="23">
        <v>11100137</v>
      </c>
      <c r="AA1309" s="23">
        <v>3351</v>
      </c>
      <c r="AB1309" s="24">
        <v>46076</v>
      </c>
    </row>
    <row r="1310" spans="2:28" x14ac:dyDescent="0.2">
      <c r="C1310" s="23">
        <v>1100577858</v>
      </c>
      <c r="E1310" s="23">
        <v>20</v>
      </c>
      <c r="F1310" s="23" t="s">
        <v>127</v>
      </c>
      <c r="G1310" s="23" t="s">
        <v>128</v>
      </c>
      <c r="H1310" s="24">
        <v>46114</v>
      </c>
      <c r="I1310" s="24">
        <v>46121</v>
      </c>
      <c r="J1310" s="23" t="s">
        <v>257</v>
      </c>
      <c r="K1310" s="23" t="s">
        <v>257</v>
      </c>
      <c r="L1310" s="23">
        <v>5</v>
      </c>
      <c r="M1310" s="23" t="s">
        <v>78</v>
      </c>
      <c r="N1310" s="23" t="s">
        <v>78</v>
      </c>
      <c r="O1310" s="23">
        <v>1763.1</v>
      </c>
      <c r="P1310" s="23" t="s">
        <v>79</v>
      </c>
      <c r="Q1310" s="23" t="s">
        <v>83</v>
      </c>
      <c r="R1310" s="23">
        <v>11100176</v>
      </c>
      <c r="S1310" s="24">
        <v>46121</v>
      </c>
      <c r="T1310" s="24">
        <v>46078</v>
      </c>
      <c r="U1310" s="24" t="s">
        <v>80</v>
      </c>
      <c r="X1310" s="24">
        <v>46076</v>
      </c>
      <c r="Y1310" s="23">
        <v>1111</v>
      </c>
      <c r="Z1310" s="23">
        <v>11100137</v>
      </c>
      <c r="AA1310" s="23">
        <v>3351</v>
      </c>
      <c r="AB1310" s="24">
        <v>46076</v>
      </c>
    </row>
    <row r="1311" spans="2:28" x14ac:dyDescent="0.2">
      <c r="C1311" s="23">
        <v>1100577858</v>
      </c>
      <c r="E1311" s="23">
        <v>30</v>
      </c>
      <c r="F1311" s="23" t="s">
        <v>127</v>
      </c>
      <c r="G1311" s="23" t="s">
        <v>128</v>
      </c>
      <c r="H1311" s="24">
        <v>46114</v>
      </c>
      <c r="I1311" s="24">
        <v>46128</v>
      </c>
      <c r="J1311" s="23" t="s">
        <v>257</v>
      </c>
      <c r="K1311" s="23" t="s">
        <v>257</v>
      </c>
      <c r="L1311" s="23">
        <v>5</v>
      </c>
      <c r="M1311" s="23" t="s">
        <v>78</v>
      </c>
      <c r="N1311" s="23" t="s">
        <v>78</v>
      </c>
      <c r="O1311" s="23">
        <v>1763.1</v>
      </c>
      <c r="P1311" s="23" t="s">
        <v>79</v>
      </c>
      <c r="Q1311" s="23" t="s">
        <v>83</v>
      </c>
      <c r="R1311" s="23">
        <v>11100176</v>
      </c>
      <c r="S1311" s="24">
        <v>46128</v>
      </c>
      <c r="T1311" s="24">
        <v>46078</v>
      </c>
      <c r="U1311" s="24" t="s">
        <v>80</v>
      </c>
      <c r="X1311" s="24">
        <v>46076</v>
      </c>
      <c r="Y1311" s="23">
        <v>1111</v>
      </c>
      <c r="Z1311" s="23">
        <v>11100137</v>
      </c>
      <c r="AA1311" s="23">
        <v>3351</v>
      </c>
      <c r="AB1311" s="24">
        <v>46076</v>
      </c>
    </row>
    <row r="1312" spans="2:28" x14ac:dyDescent="0.2">
      <c r="B1312" s="23" t="s">
        <v>81</v>
      </c>
      <c r="C1312" s="23">
        <v>1100577858</v>
      </c>
      <c r="H1312" s="24">
        <v>46114</v>
      </c>
      <c r="O1312" s="23">
        <v>5289.3</v>
      </c>
      <c r="P1312" s="23" t="s">
        <v>79</v>
      </c>
    </row>
    <row r="1313" spans="2:28" x14ac:dyDescent="0.2">
      <c r="C1313" s="23">
        <v>1100577885</v>
      </c>
      <c r="E1313" s="23">
        <v>20</v>
      </c>
      <c r="F1313" s="23" t="s">
        <v>722</v>
      </c>
      <c r="G1313" s="23" t="s">
        <v>723</v>
      </c>
      <c r="H1313" s="24">
        <v>46114</v>
      </c>
      <c r="I1313" s="24">
        <v>46114</v>
      </c>
      <c r="J1313" s="23" t="s">
        <v>1986</v>
      </c>
      <c r="K1313" s="23" t="s">
        <v>1986</v>
      </c>
      <c r="L1313" s="23">
        <v>1</v>
      </c>
      <c r="M1313" s="23" t="s">
        <v>78</v>
      </c>
      <c r="N1313" s="23" t="s">
        <v>78</v>
      </c>
      <c r="O1313" s="23">
        <v>2870.64</v>
      </c>
      <c r="P1313" s="23" t="s">
        <v>79</v>
      </c>
      <c r="Q1313" s="23" t="s">
        <v>83</v>
      </c>
      <c r="R1313" s="23">
        <v>11100176</v>
      </c>
      <c r="S1313" s="24">
        <v>46109</v>
      </c>
      <c r="T1313" s="24">
        <v>46078</v>
      </c>
      <c r="U1313" s="24">
        <v>47116</v>
      </c>
      <c r="X1313" s="24">
        <v>46076</v>
      </c>
      <c r="Y1313" s="23">
        <v>1111</v>
      </c>
      <c r="Z1313" s="23">
        <v>11400937</v>
      </c>
      <c r="AA1313" s="23">
        <v>395103</v>
      </c>
      <c r="AB1313" s="24">
        <v>46065</v>
      </c>
    </row>
    <row r="1314" spans="2:28" x14ac:dyDescent="0.2">
      <c r="B1314" s="23" t="s">
        <v>81</v>
      </c>
      <c r="C1314" s="23">
        <v>1100577885</v>
      </c>
      <c r="H1314" s="24">
        <v>46114</v>
      </c>
      <c r="O1314" s="23">
        <v>2870.64</v>
      </c>
      <c r="P1314" s="23" t="s">
        <v>79</v>
      </c>
    </row>
    <row r="1315" spans="2:28" x14ac:dyDescent="0.2">
      <c r="C1315" s="23">
        <v>1100578113</v>
      </c>
      <c r="E1315" s="23">
        <v>20</v>
      </c>
      <c r="F1315" s="23" t="s">
        <v>1868</v>
      </c>
      <c r="G1315" s="23" t="s">
        <v>1869</v>
      </c>
      <c r="H1315" s="24">
        <v>46114</v>
      </c>
      <c r="I1315" s="24">
        <v>46114</v>
      </c>
      <c r="J1315" s="23" t="s">
        <v>98</v>
      </c>
      <c r="K1315" s="23" t="s">
        <v>98</v>
      </c>
      <c r="L1315" s="23">
        <v>1</v>
      </c>
      <c r="M1315" s="23" t="s">
        <v>78</v>
      </c>
      <c r="N1315" s="23" t="s">
        <v>78</v>
      </c>
      <c r="O1315" s="23">
        <v>908.45</v>
      </c>
      <c r="P1315" s="23" t="s">
        <v>79</v>
      </c>
      <c r="Q1315" s="23" t="s">
        <v>83</v>
      </c>
      <c r="R1315" s="23">
        <v>11100176</v>
      </c>
      <c r="S1315" s="24">
        <v>46114</v>
      </c>
      <c r="T1315" s="24">
        <v>46079</v>
      </c>
      <c r="U1315" s="24">
        <v>47116</v>
      </c>
      <c r="X1315" s="24">
        <v>46072</v>
      </c>
      <c r="Y1315" s="23">
        <v>1111</v>
      </c>
      <c r="Z1315" s="23">
        <v>11400937</v>
      </c>
      <c r="AA1315" s="23">
        <v>3151</v>
      </c>
      <c r="AB1315" s="24">
        <v>46078</v>
      </c>
    </row>
    <row r="1316" spans="2:28" x14ac:dyDescent="0.2">
      <c r="B1316" s="23" t="s">
        <v>81</v>
      </c>
      <c r="C1316" s="23">
        <v>1100578113</v>
      </c>
      <c r="H1316" s="24">
        <v>46114</v>
      </c>
      <c r="O1316" s="23">
        <v>908.45</v>
      </c>
      <c r="P1316" s="23" t="s">
        <v>79</v>
      </c>
    </row>
    <row r="1317" spans="2:28" x14ac:dyDescent="0.2">
      <c r="C1317" s="23">
        <v>1100578402</v>
      </c>
      <c r="E1317" s="23">
        <v>10</v>
      </c>
      <c r="F1317" s="23" t="s">
        <v>4124</v>
      </c>
      <c r="G1317" s="23" t="s">
        <v>4125</v>
      </c>
      <c r="H1317" s="24">
        <v>46114</v>
      </c>
      <c r="I1317" s="24">
        <v>46114</v>
      </c>
      <c r="J1317" s="23" t="s">
        <v>4056</v>
      </c>
      <c r="K1317" s="23" t="s">
        <v>4056</v>
      </c>
      <c r="L1317" s="23">
        <v>1</v>
      </c>
      <c r="M1317" s="23" t="s">
        <v>78</v>
      </c>
      <c r="N1317" s="23" t="s">
        <v>78</v>
      </c>
      <c r="O1317" s="23">
        <v>6060.45</v>
      </c>
      <c r="P1317" s="23" t="s">
        <v>79</v>
      </c>
      <c r="Q1317" s="23" t="s">
        <v>83</v>
      </c>
      <c r="R1317" s="23">
        <v>11100176</v>
      </c>
      <c r="S1317" s="24">
        <v>46108</v>
      </c>
      <c r="T1317" s="24">
        <v>46081</v>
      </c>
      <c r="U1317" s="24">
        <v>47116</v>
      </c>
      <c r="X1317" s="24">
        <v>46079</v>
      </c>
      <c r="Y1317" s="23">
        <v>1111</v>
      </c>
      <c r="Z1317" s="23">
        <v>11400937</v>
      </c>
      <c r="AA1317" s="23">
        <v>3351</v>
      </c>
      <c r="AB1317" s="24">
        <v>46080</v>
      </c>
    </row>
    <row r="1318" spans="2:28" x14ac:dyDescent="0.2">
      <c r="B1318" s="23" t="s">
        <v>81</v>
      </c>
      <c r="C1318" s="23">
        <v>1100578402</v>
      </c>
      <c r="H1318" s="24">
        <v>46114</v>
      </c>
      <c r="O1318" s="23">
        <v>6060.45</v>
      </c>
      <c r="P1318" s="23" t="s">
        <v>79</v>
      </c>
    </row>
    <row r="1319" spans="2:28" x14ac:dyDescent="0.2">
      <c r="C1319" s="23">
        <v>1100578663</v>
      </c>
      <c r="E1319" s="23">
        <v>10</v>
      </c>
      <c r="F1319" s="23" t="s">
        <v>4146</v>
      </c>
      <c r="G1319" s="23" t="s">
        <v>4147</v>
      </c>
      <c r="H1319" s="24">
        <v>46114</v>
      </c>
      <c r="I1319" s="24">
        <v>46114</v>
      </c>
      <c r="J1319" s="23" t="s">
        <v>4148</v>
      </c>
      <c r="K1319" s="23" t="s">
        <v>4148</v>
      </c>
      <c r="L1319" s="23">
        <v>1</v>
      </c>
      <c r="M1319" s="23" t="s">
        <v>78</v>
      </c>
      <c r="N1319" s="23" t="s">
        <v>78</v>
      </c>
      <c r="O1319" s="23">
        <v>42.36</v>
      </c>
      <c r="P1319" s="23" t="s">
        <v>79</v>
      </c>
      <c r="Q1319" s="23" t="s">
        <v>83</v>
      </c>
      <c r="R1319" s="23">
        <v>11100176</v>
      </c>
      <c r="S1319" s="24">
        <v>46114</v>
      </c>
      <c r="T1319" s="24">
        <v>46085</v>
      </c>
      <c r="U1319" s="24" t="s">
        <v>80</v>
      </c>
      <c r="X1319" s="24">
        <v>46084</v>
      </c>
      <c r="Y1319" s="23">
        <v>1111</v>
      </c>
      <c r="Z1319" s="23">
        <v>11100137</v>
      </c>
      <c r="AA1319" s="23">
        <v>5051</v>
      </c>
      <c r="AB1319" s="24">
        <v>46079</v>
      </c>
    </row>
    <row r="1320" spans="2:28" x14ac:dyDescent="0.2">
      <c r="C1320" s="23">
        <v>1100578663</v>
      </c>
      <c r="E1320" s="23">
        <v>20</v>
      </c>
      <c r="F1320" s="23" t="s">
        <v>4149</v>
      </c>
      <c r="G1320" s="23" t="s">
        <v>4150</v>
      </c>
      <c r="H1320" s="24">
        <v>46114</v>
      </c>
      <c r="I1320" s="24">
        <v>46114</v>
      </c>
      <c r="J1320" s="23" t="s">
        <v>4148</v>
      </c>
      <c r="K1320" s="23" t="s">
        <v>4148</v>
      </c>
      <c r="L1320" s="23">
        <v>1</v>
      </c>
      <c r="M1320" s="23" t="s">
        <v>78</v>
      </c>
      <c r="N1320" s="23" t="s">
        <v>78</v>
      </c>
      <c r="O1320" s="23">
        <v>299.93</v>
      </c>
      <c r="P1320" s="23" t="s">
        <v>79</v>
      </c>
      <c r="Q1320" s="23" t="s">
        <v>83</v>
      </c>
      <c r="R1320" s="23">
        <v>11100176</v>
      </c>
      <c r="S1320" s="24">
        <v>46114</v>
      </c>
      <c r="T1320" s="24">
        <v>46085</v>
      </c>
      <c r="U1320" s="24" t="s">
        <v>80</v>
      </c>
      <c r="X1320" s="24">
        <v>46084</v>
      </c>
      <c r="Y1320" s="23">
        <v>1111</v>
      </c>
      <c r="Z1320" s="23">
        <v>11100137</v>
      </c>
      <c r="AA1320" s="23">
        <v>5051</v>
      </c>
      <c r="AB1320" s="24">
        <v>46079</v>
      </c>
    </row>
    <row r="1321" spans="2:28" x14ac:dyDescent="0.2">
      <c r="C1321" s="23">
        <v>1100578663</v>
      </c>
      <c r="E1321" s="23">
        <v>30</v>
      </c>
      <c r="F1321" s="23" t="s">
        <v>4151</v>
      </c>
      <c r="G1321" s="23" t="s">
        <v>4152</v>
      </c>
      <c r="H1321" s="24">
        <v>46114</v>
      </c>
      <c r="I1321" s="24">
        <v>46114</v>
      </c>
      <c r="J1321" s="23" t="s">
        <v>4148</v>
      </c>
      <c r="K1321" s="23" t="s">
        <v>4148</v>
      </c>
      <c r="L1321" s="23">
        <v>1</v>
      </c>
      <c r="M1321" s="23" t="s">
        <v>78</v>
      </c>
      <c r="N1321" s="23" t="s">
        <v>78</v>
      </c>
      <c r="O1321" s="23">
        <v>125.81</v>
      </c>
      <c r="P1321" s="23" t="s">
        <v>79</v>
      </c>
      <c r="Q1321" s="23" t="s">
        <v>83</v>
      </c>
      <c r="R1321" s="23">
        <v>11100176</v>
      </c>
      <c r="S1321" s="24">
        <v>46114</v>
      </c>
      <c r="T1321" s="24">
        <v>46085</v>
      </c>
      <c r="U1321" s="24" t="s">
        <v>80</v>
      </c>
      <c r="X1321" s="24">
        <v>46084</v>
      </c>
      <c r="Y1321" s="23">
        <v>1111</v>
      </c>
      <c r="Z1321" s="23">
        <v>11100137</v>
      </c>
      <c r="AA1321" s="23">
        <v>5051</v>
      </c>
      <c r="AB1321" s="24">
        <v>46079</v>
      </c>
    </row>
    <row r="1322" spans="2:28" x14ac:dyDescent="0.2">
      <c r="C1322" s="23">
        <v>1100578663</v>
      </c>
      <c r="E1322" s="23">
        <v>40</v>
      </c>
      <c r="F1322" s="23" t="s">
        <v>4153</v>
      </c>
      <c r="G1322" s="23" t="s">
        <v>4154</v>
      </c>
      <c r="H1322" s="24">
        <v>46114</v>
      </c>
      <c r="I1322" s="24">
        <v>46114</v>
      </c>
      <c r="J1322" s="23" t="s">
        <v>4148</v>
      </c>
      <c r="K1322" s="23" t="s">
        <v>4148</v>
      </c>
      <c r="L1322" s="23">
        <v>1</v>
      </c>
      <c r="M1322" s="23" t="s">
        <v>78</v>
      </c>
      <c r="N1322" s="23" t="s">
        <v>78</v>
      </c>
      <c r="O1322" s="23">
        <v>433.94</v>
      </c>
      <c r="P1322" s="23" t="s">
        <v>79</v>
      </c>
      <c r="Q1322" s="23" t="s">
        <v>83</v>
      </c>
      <c r="R1322" s="23">
        <v>11100176</v>
      </c>
      <c r="S1322" s="24">
        <v>46114</v>
      </c>
      <c r="T1322" s="24">
        <v>46085</v>
      </c>
      <c r="U1322" s="24" t="s">
        <v>80</v>
      </c>
      <c r="X1322" s="24">
        <v>46084</v>
      </c>
      <c r="Y1322" s="23">
        <v>1111</v>
      </c>
      <c r="Z1322" s="23">
        <v>11100137</v>
      </c>
      <c r="AA1322" s="23">
        <v>5051</v>
      </c>
      <c r="AB1322" s="24">
        <v>46079</v>
      </c>
    </row>
    <row r="1323" spans="2:28" x14ac:dyDescent="0.2">
      <c r="C1323" s="23">
        <v>1100578663</v>
      </c>
      <c r="E1323" s="23">
        <v>50</v>
      </c>
      <c r="F1323" s="23" t="s">
        <v>4155</v>
      </c>
      <c r="G1323" s="23" t="s">
        <v>4156</v>
      </c>
      <c r="H1323" s="24">
        <v>46114</v>
      </c>
      <c r="I1323" s="24">
        <v>46114</v>
      </c>
      <c r="J1323" s="23" t="s">
        <v>4148</v>
      </c>
      <c r="K1323" s="23" t="s">
        <v>4148</v>
      </c>
      <c r="L1323" s="23">
        <v>2</v>
      </c>
      <c r="M1323" s="23" t="s">
        <v>78</v>
      </c>
      <c r="N1323" s="23" t="s">
        <v>78</v>
      </c>
      <c r="O1323" s="23">
        <v>1111.48</v>
      </c>
      <c r="P1323" s="23" t="s">
        <v>79</v>
      </c>
      <c r="Q1323" s="23" t="s">
        <v>83</v>
      </c>
      <c r="R1323" s="23">
        <v>11100176</v>
      </c>
      <c r="S1323" s="24">
        <v>46114</v>
      </c>
      <c r="T1323" s="24">
        <v>46085</v>
      </c>
      <c r="U1323" s="24" t="s">
        <v>80</v>
      </c>
      <c r="X1323" s="24">
        <v>46084</v>
      </c>
      <c r="Y1323" s="23">
        <v>1111</v>
      </c>
      <c r="Z1323" s="23">
        <v>11100137</v>
      </c>
      <c r="AA1323" s="23">
        <v>5051</v>
      </c>
      <c r="AB1323" s="24">
        <v>46079</v>
      </c>
    </row>
    <row r="1324" spans="2:28" x14ac:dyDescent="0.2">
      <c r="C1324" s="23">
        <v>1100578663</v>
      </c>
      <c r="E1324" s="23">
        <v>60</v>
      </c>
      <c r="F1324" s="23" t="s">
        <v>4157</v>
      </c>
      <c r="G1324" s="23" t="s">
        <v>4158</v>
      </c>
      <c r="H1324" s="24">
        <v>46114</v>
      </c>
      <c r="I1324" s="24">
        <v>46114</v>
      </c>
      <c r="J1324" s="23" t="s">
        <v>4148</v>
      </c>
      <c r="K1324" s="23" t="s">
        <v>4148</v>
      </c>
      <c r="L1324" s="23">
        <v>2</v>
      </c>
      <c r="M1324" s="23" t="s">
        <v>78</v>
      </c>
      <c r="N1324" s="23" t="s">
        <v>78</v>
      </c>
      <c r="O1324" s="23">
        <v>10.4</v>
      </c>
      <c r="P1324" s="23" t="s">
        <v>79</v>
      </c>
      <c r="Q1324" s="23" t="s">
        <v>83</v>
      </c>
      <c r="R1324" s="23">
        <v>11100176</v>
      </c>
      <c r="S1324" s="24">
        <v>46114</v>
      </c>
      <c r="T1324" s="24">
        <v>46085</v>
      </c>
      <c r="U1324" s="24" t="s">
        <v>80</v>
      </c>
      <c r="X1324" s="24">
        <v>46084</v>
      </c>
      <c r="Y1324" s="23">
        <v>1111</v>
      </c>
      <c r="Z1324" s="23">
        <v>11100137</v>
      </c>
      <c r="AA1324" s="23">
        <v>5051</v>
      </c>
      <c r="AB1324" s="24">
        <v>46079</v>
      </c>
    </row>
    <row r="1325" spans="2:28" x14ac:dyDescent="0.2">
      <c r="C1325" s="23">
        <v>1100578663</v>
      </c>
      <c r="E1325" s="23">
        <v>70</v>
      </c>
      <c r="F1325" s="23" t="s">
        <v>4159</v>
      </c>
      <c r="G1325" s="23" t="s">
        <v>4160</v>
      </c>
      <c r="H1325" s="24">
        <v>46114</v>
      </c>
      <c r="I1325" s="24">
        <v>46114</v>
      </c>
      <c r="J1325" s="23" t="s">
        <v>4148</v>
      </c>
      <c r="K1325" s="23" t="s">
        <v>4148</v>
      </c>
      <c r="L1325" s="23">
        <v>3</v>
      </c>
      <c r="M1325" s="23" t="s">
        <v>78</v>
      </c>
      <c r="N1325" s="23" t="s">
        <v>78</v>
      </c>
      <c r="O1325" s="23">
        <v>12.6</v>
      </c>
      <c r="P1325" s="23" t="s">
        <v>79</v>
      </c>
      <c r="Q1325" s="23" t="s">
        <v>83</v>
      </c>
      <c r="R1325" s="23">
        <v>11100176</v>
      </c>
      <c r="S1325" s="24">
        <v>46114</v>
      </c>
      <c r="T1325" s="24">
        <v>46085</v>
      </c>
      <c r="U1325" s="24" t="s">
        <v>80</v>
      </c>
      <c r="X1325" s="24">
        <v>46084</v>
      </c>
      <c r="Y1325" s="23">
        <v>1111</v>
      </c>
      <c r="Z1325" s="23">
        <v>11100137</v>
      </c>
      <c r="AA1325" s="23">
        <v>5051</v>
      </c>
      <c r="AB1325" s="24">
        <v>46079</v>
      </c>
    </row>
    <row r="1326" spans="2:28" x14ac:dyDescent="0.2">
      <c r="C1326" s="23">
        <v>1100578663</v>
      </c>
      <c r="E1326" s="23">
        <v>80</v>
      </c>
      <c r="F1326" s="23" t="s">
        <v>4161</v>
      </c>
      <c r="G1326" s="23" t="s">
        <v>4162</v>
      </c>
      <c r="H1326" s="24">
        <v>46114</v>
      </c>
      <c r="I1326" s="24">
        <v>46114</v>
      </c>
      <c r="J1326" s="23" t="s">
        <v>4148</v>
      </c>
      <c r="K1326" s="23" t="s">
        <v>4148</v>
      </c>
      <c r="L1326" s="23">
        <v>1</v>
      </c>
      <c r="M1326" s="23" t="s">
        <v>78</v>
      </c>
      <c r="N1326" s="23" t="s">
        <v>78</v>
      </c>
      <c r="O1326" s="23">
        <v>10.59</v>
      </c>
      <c r="P1326" s="23" t="s">
        <v>79</v>
      </c>
      <c r="Q1326" s="23" t="s">
        <v>83</v>
      </c>
      <c r="R1326" s="23">
        <v>11100176</v>
      </c>
      <c r="S1326" s="24">
        <v>46114</v>
      </c>
      <c r="T1326" s="24">
        <v>46085</v>
      </c>
      <c r="U1326" s="24" t="s">
        <v>80</v>
      </c>
      <c r="X1326" s="24">
        <v>46084</v>
      </c>
      <c r="Y1326" s="23">
        <v>1111</v>
      </c>
      <c r="Z1326" s="23">
        <v>11100137</v>
      </c>
      <c r="AA1326" s="23">
        <v>5051</v>
      </c>
      <c r="AB1326" s="24">
        <v>46079</v>
      </c>
    </row>
    <row r="1327" spans="2:28" x14ac:dyDescent="0.2">
      <c r="C1327" s="23">
        <v>1100578663</v>
      </c>
      <c r="E1327" s="23">
        <v>90</v>
      </c>
      <c r="F1327" s="23" t="s">
        <v>4163</v>
      </c>
      <c r="G1327" s="23" t="s">
        <v>4164</v>
      </c>
      <c r="H1327" s="24">
        <v>46114</v>
      </c>
      <c r="I1327" s="24">
        <v>46114</v>
      </c>
      <c r="J1327" s="23" t="s">
        <v>4148</v>
      </c>
      <c r="K1327" s="23" t="s">
        <v>4148</v>
      </c>
      <c r="L1327" s="23">
        <v>1</v>
      </c>
      <c r="M1327" s="23" t="s">
        <v>78</v>
      </c>
      <c r="N1327" s="23" t="s">
        <v>78</v>
      </c>
      <c r="O1327" s="23">
        <v>18.55</v>
      </c>
      <c r="P1327" s="23" t="s">
        <v>79</v>
      </c>
      <c r="Q1327" s="23" t="s">
        <v>83</v>
      </c>
      <c r="R1327" s="23">
        <v>11100176</v>
      </c>
      <c r="S1327" s="24">
        <v>46114</v>
      </c>
      <c r="T1327" s="24">
        <v>46085</v>
      </c>
      <c r="U1327" s="24" t="s">
        <v>80</v>
      </c>
      <c r="X1327" s="24">
        <v>46084</v>
      </c>
      <c r="Y1327" s="23">
        <v>1111</v>
      </c>
      <c r="Z1327" s="23">
        <v>11100137</v>
      </c>
      <c r="AA1327" s="23">
        <v>5051</v>
      </c>
      <c r="AB1327" s="24">
        <v>46079</v>
      </c>
    </row>
    <row r="1328" spans="2:28" x14ac:dyDescent="0.2">
      <c r="C1328" s="23">
        <v>1100578663</v>
      </c>
      <c r="E1328" s="23">
        <v>100</v>
      </c>
      <c r="F1328" s="23" t="s">
        <v>4165</v>
      </c>
      <c r="G1328" s="23" t="s">
        <v>4166</v>
      </c>
      <c r="H1328" s="24">
        <v>46114</v>
      </c>
      <c r="I1328" s="24">
        <v>46114</v>
      </c>
      <c r="J1328" s="23" t="s">
        <v>4148</v>
      </c>
      <c r="K1328" s="23" t="s">
        <v>4148</v>
      </c>
      <c r="L1328" s="23">
        <v>1</v>
      </c>
      <c r="M1328" s="23" t="s">
        <v>78</v>
      </c>
      <c r="N1328" s="23" t="s">
        <v>78</v>
      </c>
      <c r="O1328" s="23">
        <v>31.25</v>
      </c>
      <c r="P1328" s="23" t="s">
        <v>79</v>
      </c>
      <c r="Q1328" s="23" t="s">
        <v>83</v>
      </c>
      <c r="R1328" s="23">
        <v>11100176</v>
      </c>
      <c r="S1328" s="24">
        <v>46114</v>
      </c>
      <c r="T1328" s="24">
        <v>46085</v>
      </c>
      <c r="U1328" s="24" t="s">
        <v>80</v>
      </c>
      <c r="X1328" s="24">
        <v>46084</v>
      </c>
      <c r="Y1328" s="23">
        <v>1111</v>
      </c>
      <c r="Z1328" s="23">
        <v>11100137</v>
      </c>
      <c r="AA1328" s="23">
        <v>5051</v>
      </c>
      <c r="AB1328" s="24">
        <v>46079</v>
      </c>
    </row>
    <row r="1329" spans="3:28" x14ac:dyDescent="0.2">
      <c r="C1329" s="23">
        <v>1100578663</v>
      </c>
      <c r="E1329" s="23">
        <v>110</v>
      </c>
      <c r="F1329" s="23" t="s">
        <v>4167</v>
      </c>
      <c r="G1329" s="23" t="s">
        <v>4168</v>
      </c>
      <c r="H1329" s="24">
        <v>46114</v>
      </c>
      <c r="I1329" s="24">
        <v>46114</v>
      </c>
      <c r="J1329" s="23" t="s">
        <v>4148</v>
      </c>
      <c r="K1329" s="23" t="s">
        <v>4148</v>
      </c>
      <c r="L1329" s="23">
        <v>1</v>
      </c>
      <c r="M1329" s="23" t="s">
        <v>78</v>
      </c>
      <c r="N1329" s="23" t="s">
        <v>78</v>
      </c>
      <c r="O1329" s="23">
        <v>582.69000000000005</v>
      </c>
      <c r="P1329" s="23" t="s">
        <v>79</v>
      </c>
      <c r="Q1329" s="23" t="s">
        <v>83</v>
      </c>
      <c r="R1329" s="23">
        <v>11100176</v>
      </c>
      <c r="S1329" s="24">
        <v>46114</v>
      </c>
      <c r="T1329" s="24">
        <v>46085</v>
      </c>
      <c r="U1329" s="24" t="s">
        <v>80</v>
      </c>
      <c r="X1329" s="24">
        <v>46084</v>
      </c>
      <c r="Y1329" s="23">
        <v>1111</v>
      </c>
      <c r="Z1329" s="23">
        <v>11100137</v>
      </c>
      <c r="AA1329" s="23">
        <v>5051</v>
      </c>
      <c r="AB1329" s="24">
        <v>46079</v>
      </c>
    </row>
    <row r="1330" spans="3:28" x14ac:dyDescent="0.2">
      <c r="C1330" s="23">
        <v>1100578663</v>
      </c>
      <c r="E1330" s="23">
        <v>120</v>
      </c>
      <c r="F1330" s="23" t="s">
        <v>4169</v>
      </c>
      <c r="G1330" s="23" t="s">
        <v>4170</v>
      </c>
      <c r="H1330" s="24">
        <v>46114</v>
      </c>
      <c r="I1330" s="24">
        <v>46114</v>
      </c>
      <c r="J1330" s="23" t="s">
        <v>4148</v>
      </c>
      <c r="K1330" s="23" t="s">
        <v>4148</v>
      </c>
      <c r="L1330" s="23">
        <v>1</v>
      </c>
      <c r="M1330" s="23" t="s">
        <v>78</v>
      </c>
      <c r="N1330" s="23" t="s">
        <v>78</v>
      </c>
      <c r="O1330" s="23">
        <v>41.21</v>
      </c>
      <c r="P1330" s="23" t="s">
        <v>79</v>
      </c>
      <c r="Q1330" s="23" t="s">
        <v>83</v>
      </c>
      <c r="R1330" s="23">
        <v>11100176</v>
      </c>
      <c r="S1330" s="24">
        <v>46114</v>
      </c>
      <c r="T1330" s="24">
        <v>46085</v>
      </c>
      <c r="U1330" s="24" t="s">
        <v>80</v>
      </c>
      <c r="X1330" s="24">
        <v>46084</v>
      </c>
      <c r="Y1330" s="23">
        <v>1111</v>
      </c>
      <c r="Z1330" s="23">
        <v>11100137</v>
      </c>
      <c r="AA1330" s="23">
        <v>5051</v>
      </c>
      <c r="AB1330" s="24">
        <v>46079</v>
      </c>
    </row>
    <row r="1331" spans="3:28" x14ac:dyDescent="0.2">
      <c r="C1331" s="23">
        <v>1100578663</v>
      </c>
      <c r="E1331" s="23">
        <v>130</v>
      </c>
      <c r="F1331" s="23" t="s">
        <v>4171</v>
      </c>
      <c r="G1331" s="23" t="s">
        <v>4172</v>
      </c>
      <c r="H1331" s="24">
        <v>46114</v>
      </c>
      <c r="I1331" s="24">
        <v>46114</v>
      </c>
      <c r="J1331" s="23" t="s">
        <v>4148</v>
      </c>
      <c r="K1331" s="23" t="s">
        <v>4148</v>
      </c>
      <c r="L1331" s="23">
        <v>1</v>
      </c>
      <c r="M1331" s="23" t="s">
        <v>78</v>
      </c>
      <c r="N1331" s="23" t="s">
        <v>78</v>
      </c>
      <c r="O1331" s="23">
        <v>658.75</v>
      </c>
      <c r="P1331" s="23" t="s">
        <v>79</v>
      </c>
      <c r="Q1331" s="23" t="s">
        <v>83</v>
      </c>
      <c r="R1331" s="23">
        <v>11100176</v>
      </c>
      <c r="S1331" s="24">
        <v>46114</v>
      </c>
      <c r="T1331" s="24">
        <v>46085</v>
      </c>
      <c r="U1331" s="24" t="s">
        <v>80</v>
      </c>
      <c r="X1331" s="24">
        <v>46084</v>
      </c>
      <c r="Y1331" s="23">
        <v>1111</v>
      </c>
      <c r="Z1331" s="23">
        <v>11100137</v>
      </c>
      <c r="AA1331" s="23">
        <v>5051</v>
      </c>
      <c r="AB1331" s="24">
        <v>46079</v>
      </c>
    </row>
    <row r="1332" spans="3:28" x14ac:dyDescent="0.2">
      <c r="C1332" s="23">
        <v>1100578663</v>
      </c>
      <c r="E1332" s="23">
        <v>140</v>
      </c>
      <c r="F1332" s="23" t="s">
        <v>2181</v>
      </c>
      <c r="G1332" s="23" t="s">
        <v>2182</v>
      </c>
      <c r="H1332" s="24">
        <v>46114</v>
      </c>
      <c r="I1332" s="24">
        <v>46114</v>
      </c>
      <c r="J1332" s="23" t="s">
        <v>4148</v>
      </c>
      <c r="K1332" s="23" t="s">
        <v>4148</v>
      </c>
      <c r="L1332" s="23">
        <v>1</v>
      </c>
      <c r="M1332" s="23" t="s">
        <v>78</v>
      </c>
      <c r="N1332" s="23" t="s">
        <v>78</v>
      </c>
      <c r="O1332" s="23">
        <v>50.55</v>
      </c>
      <c r="P1332" s="23" t="s">
        <v>79</v>
      </c>
      <c r="Q1332" s="23" t="s">
        <v>83</v>
      </c>
      <c r="R1332" s="23">
        <v>11100176</v>
      </c>
      <c r="S1332" s="24">
        <v>46114</v>
      </c>
      <c r="T1332" s="24">
        <v>46085</v>
      </c>
      <c r="U1332" s="24" t="s">
        <v>80</v>
      </c>
      <c r="X1332" s="24">
        <v>46084</v>
      </c>
      <c r="Y1332" s="23">
        <v>1111</v>
      </c>
      <c r="Z1332" s="23">
        <v>11100137</v>
      </c>
      <c r="AA1332" s="23">
        <v>5051</v>
      </c>
      <c r="AB1332" s="24">
        <v>46079</v>
      </c>
    </row>
    <row r="1333" spans="3:28" x14ac:dyDescent="0.2">
      <c r="C1333" s="23">
        <v>1100578663</v>
      </c>
      <c r="E1333" s="23">
        <v>150</v>
      </c>
      <c r="F1333" s="23" t="s">
        <v>1773</v>
      </c>
      <c r="G1333" s="23" t="s">
        <v>1774</v>
      </c>
      <c r="H1333" s="24">
        <v>46114</v>
      </c>
      <c r="I1333" s="24">
        <v>46114</v>
      </c>
      <c r="J1333" s="23" t="s">
        <v>4148</v>
      </c>
      <c r="K1333" s="23" t="s">
        <v>4148</v>
      </c>
      <c r="L1333" s="23">
        <v>1</v>
      </c>
      <c r="M1333" s="23" t="s">
        <v>78</v>
      </c>
      <c r="N1333" s="23" t="s">
        <v>78</v>
      </c>
      <c r="O1333" s="23">
        <v>114.05</v>
      </c>
      <c r="P1333" s="23" t="s">
        <v>79</v>
      </c>
      <c r="Q1333" s="23" t="s">
        <v>83</v>
      </c>
      <c r="R1333" s="23">
        <v>11100176</v>
      </c>
      <c r="S1333" s="24">
        <v>46114</v>
      </c>
      <c r="T1333" s="24">
        <v>46085</v>
      </c>
      <c r="U1333" s="24" t="s">
        <v>80</v>
      </c>
      <c r="X1333" s="24">
        <v>46084</v>
      </c>
      <c r="Y1333" s="23">
        <v>1111</v>
      </c>
      <c r="Z1333" s="23">
        <v>11100137</v>
      </c>
      <c r="AA1333" s="23">
        <v>5051</v>
      </c>
      <c r="AB1333" s="24">
        <v>46079</v>
      </c>
    </row>
    <row r="1334" spans="3:28" x14ac:dyDescent="0.2">
      <c r="C1334" s="23">
        <v>1100578663</v>
      </c>
      <c r="E1334" s="23">
        <v>160</v>
      </c>
      <c r="F1334" s="23" t="s">
        <v>4173</v>
      </c>
      <c r="G1334" s="23" t="s">
        <v>4174</v>
      </c>
      <c r="H1334" s="24">
        <v>46114</v>
      </c>
      <c r="I1334" s="24">
        <v>46114</v>
      </c>
      <c r="J1334" s="23" t="s">
        <v>4148</v>
      </c>
      <c r="K1334" s="23" t="s">
        <v>4148</v>
      </c>
      <c r="L1334" s="23">
        <v>3</v>
      </c>
      <c r="M1334" s="23" t="s">
        <v>78</v>
      </c>
      <c r="N1334" s="23" t="s">
        <v>78</v>
      </c>
      <c r="O1334" s="23">
        <v>158.85</v>
      </c>
      <c r="P1334" s="23" t="s">
        <v>79</v>
      </c>
      <c r="Q1334" s="23" t="s">
        <v>83</v>
      </c>
      <c r="R1334" s="23">
        <v>11100176</v>
      </c>
      <c r="S1334" s="24">
        <v>46114</v>
      </c>
      <c r="T1334" s="24">
        <v>46085</v>
      </c>
      <c r="U1334" s="24" t="s">
        <v>80</v>
      </c>
      <c r="X1334" s="24">
        <v>46084</v>
      </c>
      <c r="Y1334" s="23">
        <v>1111</v>
      </c>
      <c r="Z1334" s="23">
        <v>11100137</v>
      </c>
      <c r="AA1334" s="23">
        <v>5051</v>
      </c>
      <c r="AB1334" s="24">
        <v>46079</v>
      </c>
    </row>
    <row r="1335" spans="3:28" x14ac:dyDescent="0.2">
      <c r="C1335" s="23">
        <v>1100578663</v>
      </c>
      <c r="E1335" s="23">
        <v>170</v>
      </c>
      <c r="F1335" s="23" t="s">
        <v>4175</v>
      </c>
      <c r="G1335" s="23" t="s">
        <v>4176</v>
      </c>
      <c r="H1335" s="24">
        <v>46114</v>
      </c>
      <c r="I1335" s="24">
        <v>46114</v>
      </c>
      <c r="J1335" s="23" t="s">
        <v>4148</v>
      </c>
      <c r="K1335" s="23" t="s">
        <v>4148</v>
      </c>
      <c r="L1335" s="23">
        <v>1</v>
      </c>
      <c r="M1335" s="23" t="s">
        <v>78</v>
      </c>
      <c r="N1335" s="23" t="s">
        <v>78</v>
      </c>
      <c r="O1335" s="23">
        <v>10.59</v>
      </c>
      <c r="P1335" s="23" t="s">
        <v>79</v>
      </c>
      <c r="Q1335" s="23" t="s">
        <v>83</v>
      </c>
      <c r="R1335" s="23">
        <v>11100176</v>
      </c>
      <c r="S1335" s="24">
        <v>46114</v>
      </c>
      <c r="T1335" s="24">
        <v>46085</v>
      </c>
      <c r="U1335" s="24" t="s">
        <v>80</v>
      </c>
      <c r="X1335" s="24">
        <v>46084</v>
      </c>
      <c r="Y1335" s="23">
        <v>1111</v>
      </c>
      <c r="Z1335" s="23">
        <v>11100137</v>
      </c>
      <c r="AA1335" s="23">
        <v>5051</v>
      </c>
      <c r="AB1335" s="24">
        <v>46079</v>
      </c>
    </row>
    <row r="1336" spans="3:28" x14ac:dyDescent="0.2">
      <c r="C1336" s="23">
        <v>1100578663</v>
      </c>
      <c r="E1336" s="23">
        <v>180</v>
      </c>
      <c r="F1336" s="23" t="s">
        <v>1770</v>
      </c>
      <c r="G1336" s="23" t="s">
        <v>1771</v>
      </c>
      <c r="H1336" s="24">
        <v>46114</v>
      </c>
      <c r="I1336" s="24">
        <v>46114</v>
      </c>
      <c r="J1336" s="23" t="s">
        <v>4148</v>
      </c>
      <c r="K1336" s="23" t="s">
        <v>4148</v>
      </c>
      <c r="L1336" s="23">
        <v>1</v>
      </c>
      <c r="M1336" s="23" t="s">
        <v>78</v>
      </c>
      <c r="N1336" s="23" t="s">
        <v>78</v>
      </c>
      <c r="O1336" s="23">
        <v>4.3499999999999996</v>
      </c>
      <c r="P1336" s="23" t="s">
        <v>79</v>
      </c>
      <c r="Q1336" s="23" t="s">
        <v>83</v>
      </c>
      <c r="R1336" s="23">
        <v>11100176</v>
      </c>
      <c r="S1336" s="24">
        <v>46114</v>
      </c>
      <c r="T1336" s="24">
        <v>46085</v>
      </c>
      <c r="U1336" s="24" t="s">
        <v>80</v>
      </c>
      <c r="X1336" s="24">
        <v>46084</v>
      </c>
      <c r="Y1336" s="23">
        <v>1111</v>
      </c>
      <c r="Z1336" s="23">
        <v>11100137</v>
      </c>
      <c r="AA1336" s="23">
        <v>5051</v>
      </c>
      <c r="AB1336" s="24">
        <v>46079</v>
      </c>
    </row>
    <row r="1337" spans="3:28" x14ac:dyDescent="0.2">
      <c r="C1337" s="23">
        <v>1100578663</v>
      </c>
      <c r="E1337" s="23">
        <v>190</v>
      </c>
      <c r="F1337" s="23" t="s">
        <v>4177</v>
      </c>
      <c r="G1337" s="23" t="s">
        <v>4178</v>
      </c>
      <c r="H1337" s="24">
        <v>46114</v>
      </c>
      <c r="I1337" s="24">
        <v>46114</v>
      </c>
      <c r="J1337" s="23" t="s">
        <v>4148</v>
      </c>
      <c r="K1337" s="23" t="s">
        <v>4148</v>
      </c>
      <c r="L1337" s="23">
        <v>2</v>
      </c>
      <c r="M1337" s="23" t="s">
        <v>78</v>
      </c>
      <c r="N1337" s="23" t="s">
        <v>78</v>
      </c>
      <c r="O1337" s="23">
        <v>2.68</v>
      </c>
      <c r="P1337" s="23" t="s">
        <v>79</v>
      </c>
      <c r="Q1337" s="23" t="s">
        <v>83</v>
      </c>
      <c r="R1337" s="23">
        <v>11100176</v>
      </c>
      <c r="S1337" s="24">
        <v>46114</v>
      </c>
      <c r="T1337" s="24">
        <v>46085</v>
      </c>
      <c r="U1337" s="24" t="s">
        <v>80</v>
      </c>
      <c r="X1337" s="24">
        <v>46084</v>
      </c>
      <c r="Y1337" s="23">
        <v>1111</v>
      </c>
      <c r="Z1337" s="23">
        <v>11100137</v>
      </c>
      <c r="AA1337" s="23">
        <v>5051</v>
      </c>
      <c r="AB1337" s="24">
        <v>46079</v>
      </c>
    </row>
    <row r="1338" spans="3:28" x14ac:dyDescent="0.2">
      <c r="C1338" s="23">
        <v>1100578663</v>
      </c>
      <c r="E1338" s="23">
        <v>200</v>
      </c>
      <c r="F1338" s="23" t="s">
        <v>4179</v>
      </c>
      <c r="G1338" s="23" t="s">
        <v>4180</v>
      </c>
      <c r="H1338" s="24">
        <v>46114</v>
      </c>
      <c r="I1338" s="24">
        <v>46114</v>
      </c>
      <c r="J1338" s="23" t="s">
        <v>4148</v>
      </c>
      <c r="K1338" s="23" t="s">
        <v>4148</v>
      </c>
      <c r="L1338" s="23">
        <v>2</v>
      </c>
      <c r="M1338" s="23" t="s">
        <v>78</v>
      </c>
      <c r="N1338" s="23" t="s">
        <v>78</v>
      </c>
      <c r="O1338" s="23">
        <v>23.86</v>
      </c>
      <c r="P1338" s="23" t="s">
        <v>79</v>
      </c>
      <c r="Q1338" s="23" t="s">
        <v>83</v>
      </c>
      <c r="R1338" s="23">
        <v>11100176</v>
      </c>
      <c r="S1338" s="24">
        <v>46114</v>
      </c>
      <c r="T1338" s="24">
        <v>46085</v>
      </c>
      <c r="U1338" s="24" t="s">
        <v>80</v>
      </c>
      <c r="X1338" s="24">
        <v>46084</v>
      </c>
      <c r="Y1338" s="23">
        <v>1111</v>
      </c>
      <c r="Z1338" s="23">
        <v>11100137</v>
      </c>
      <c r="AA1338" s="23">
        <v>5051</v>
      </c>
      <c r="AB1338" s="24">
        <v>46079</v>
      </c>
    </row>
    <row r="1339" spans="3:28" x14ac:dyDescent="0.2">
      <c r="C1339" s="23">
        <v>1100578663</v>
      </c>
      <c r="E1339" s="23">
        <v>210</v>
      </c>
      <c r="F1339" s="23" t="s">
        <v>4181</v>
      </c>
      <c r="G1339" s="23" t="s">
        <v>4182</v>
      </c>
      <c r="H1339" s="24">
        <v>46114</v>
      </c>
      <c r="I1339" s="24">
        <v>46114</v>
      </c>
      <c r="J1339" s="23" t="s">
        <v>4148</v>
      </c>
      <c r="K1339" s="23" t="s">
        <v>4148</v>
      </c>
      <c r="L1339" s="23">
        <v>2</v>
      </c>
      <c r="M1339" s="23" t="s">
        <v>78</v>
      </c>
      <c r="N1339" s="23" t="s">
        <v>78</v>
      </c>
      <c r="O1339" s="23">
        <v>520.82000000000005</v>
      </c>
      <c r="P1339" s="23" t="s">
        <v>79</v>
      </c>
      <c r="Q1339" s="23" t="s">
        <v>83</v>
      </c>
      <c r="R1339" s="23">
        <v>11100176</v>
      </c>
      <c r="S1339" s="24">
        <v>46114</v>
      </c>
      <c r="T1339" s="24">
        <v>46085</v>
      </c>
      <c r="U1339" s="24" t="s">
        <v>80</v>
      </c>
      <c r="X1339" s="24">
        <v>46084</v>
      </c>
      <c r="Y1339" s="23">
        <v>1111</v>
      </c>
      <c r="Z1339" s="23">
        <v>11100137</v>
      </c>
      <c r="AA1339" s="23">
        <v>5051</v>
      </c>
      <c r="AB1339" s="24">
        <v>46079</v>
      </c>
    </row>
    <row r="1340" spans="3:28" x14ac:dyDescent="0.2">
      <c r="C1340" s="23">
        <v>1100578663</v>
      </c>
      <c r="E1340" s="23">
        <v>220</v>
      </c>
      <c r="F1340" s="23" t="s">
        <v>4183</v>
      </c>
      <c r="G1340" s="23" t="s">
        <v>4184</v>
      </c>
      <c r="H1340" s="24">
        <v>46114</v>
      </c>
      <c r="I1340" s="24">
        <v>46114</v>
      </c>
      <c r="J1340" s="23" t="s">
        <v>4148</v>
      </c>
      <c r="K1340" s="23" t="s">
        <v>4148</v>
      </c>
      <c r="L1340" s="23">
        <v>1</v>
      </c>
      <c r="M1340" s="23" t="s">
        <v>78</v>
      </c>
      <c r="N1340" s="23" t="s">
        <v>78</v>
      </c>
      <c r="O1340" s="23">
        <v>554.89</v>
      </c>
      <c r="P1340" s="23" t="s">
        <v>79</v>
      </c>
      <c r="Q1340" s="23" t="s">
        <v>83</v>
      </c>
      <c r="R1340" s="23">
        <v>11100176</v>
      </c>
      <c r="S1340" s="24">
        <v>46114</v>
      </c>
      <c r="T1340" s="24">
        <v>46085</v>
      </c>
      <c r="U1340" s="24" t="s">
        <v>80</v>
      </c>
      <c r="X1340" s="24">
        <v>46084</v>
      </c>
      <c r="Y1340" s="23">
        <v>1111</v>
      </c>
      <c r="Z1340" s="23">
        <v>11100137</v>
      </c>
      <c r="AA1340" s="23">
        <v>5051</v>
      </c>
      <c r="AB1340" s="24">
        <v>46079</v>
      </c>
    </row>
    <row r="1341" spans="3:28" x14ac:dyDescent="0.2">
      <c r="C1341" s="23">
        <v>1100578663</v>
      </c>
      <c r="E1341" s="23">
        <v>230</v>
      </c>
      <c r="F1341" s="23" t="s">
        <v>4185</v>
      </c>
      <c r="G1341" s="23" t="s">
        <v>4186</v>
      </c>
      <c r="H1341" s="24">
        <v>46114</v>
      </c>
      <c r="I1341" s="24">
        <v>46114</v>
      </c>
      <c r="J1341" s="23" t="s">
        <v>4148</v>
      </c>
      <c r="K1341" s="23" t="s">
        <v>4148</v>
      </c>
      <c r="L1341" s="23">
        <v>1</v>
      </c>
      <c r="M1341" s="23" t="s">
        <v>78</v>
      </c>
      <c r="N1341" s="23" t="s">
        <v>78</v>
      </c>
      <c r="O1341" s="23">
        <v>898.49</v>
      </c>
      <c r="P1341" s="23" t="s">
        <v>79</v>
      </c>
      <c r="Q1341" s="23" t="s">
        <v>83</v>
      </c>
      <c r="R1341" s="23">
        <v>11100176</v>
      </c>
      <c r="S1341" s="24">
        <v>46114</v>
      </c>
      <c r="T1341" s="24">
        <v>46085</v>
      </c>
      <c r="U1341" s="24" t="s">
        <v>80</v>
      </c>
      <c r="X1341" s="24">
        <v>46084</v>
      </c>
      <c r="Y1341" s="23">
        <v>1111</v>
      </c>
      <c r="Z1341" s="23">
        <v>11100137</v>
      </c>
      <c r="AA1341" s="23">
        <v>5051</v>
      </c>
      <c r="AB1341" s="24">
        <v>46079</v>
      </c>
    </row>
    <row r="1342" spans="3:28" x14ac:dyDescent="0.2">
      <c r="C1342" s="23">
        <v>1100578663</v>
      </c>
      <c r="E1342" s="23">
        <v>240</v>
      </c>
      <c r="F1342" s="23" t="s">
        <v>927</v>
      </c>
      <c r="G1342" s="23" t="s">
        <v>928</v>
      </c>
      <c r="H1342" s="24">
        <v>46114</v>
      </c>
      <c r="I1342" s="24">
        <v>46114</v>
      </c>
      <c r="J1342" s="23" t="s">
        <v>4148</v>
      </c>
      <c r="K1342" s="23" t="s">
        <v>4148</v>
      </c>
      <c r="L1342" s="23">
        <v>1</v>
      </c>
      <c r="M1342" s="23" t="s">
        <v>78</v>
      </c>
      <c r="N1342" s="23" t="s">
        <v>78</v>
      </c>
      <c r="O1342" s="23">
        <v>359.7</v>
      </c>
      <c r="P1342" s="23" t="s">
        <v>79</v>
      </c>
      <c r="Q1342" s="23" t="s">
        <v>83</v>
      </c>
      <c r="R1342" s="23">
        <v>11100176</v>
      </c>
      <c r="S1342" s="24">
        <v>46114</v>
      </c>
      <c r="T1342" s="24">
        <v>46085</v>
      </c>
      <c r="U1342" s="24" t="s">
        <v>80</v>
      </c>
      <c r="X1342" s="24">
        <v>46084</v>
      </c>
      <c r="Y1342" s="23">
        <v>1111</v>
      </c>
      <c r="Z1342" s="23">
        <v>11100137</v>
      </c>
      <c r="AA1342" s="23">
        <v>5051</v>
      </c>
      <c r="AB1342" s="24">
        <v>46079</v>
      </c>
    </row>
    <row r="1343" spans="3:28" x14ac:dyDescent="0.2">
      <c r="C1343" s="23">
        <v>1100578663</v>
      </c>
      <c r="E1343" s="23">
        <v>250</v>
      </c>
      <c r="F1343" s="23" t="s">
        <v>4187</v>
      </c>
      <c r="G1343" s="23" t="s">
        <v>4188</v>
      </c>
      <c r="H1343" s="24">
        <v>46114</v>
      </c>
      <c r="I1343" s="24">
        <v>46114</v>
      </c>
      <c r="J1343" s="23" t="s">
        <v>4148</v>
      </c>
      <c r="K1343" s="23" t="s">
        <v>4148</v>
      </c>
      <c r="L1343" s="23">
        <v>1</v>
      </c>
      <c r="M1343" s="23" t="s">
        <v>78</v>
      </c>
      <c r="N1343" s="23" t="s">
        <v>78</v>
      </c>
      <c r="O1343" s="23">
        <v>640.6</v>
      </c>
      <c r="P1343" s="23" t="s">
        <v>79</v>
      </c>
      <c r="Q1343" s="23" t="s">
        <v>83</v>
      </c>
      <c r="R1343" s="23">
        <v>11100176</v>
      </c>
      <c r="S1343" s="24">
        <v>46114</v>
      </c>
      <c r="T1343" s="24">
        <v>46085</v>
      </c>
      <c r="U1343" s="24" t="s">
        <v>80</v>
      </c>
      <c r="X1343" s="24">
        <v>46084</v>
      </c>
      <c r="Y1343" s="23">
        <v>1111</v>
      </c>
      <c r="Z1343" s="23">
        <v>11100137</v>
      </c>
      <c r="AA1343" s="23">
        <v>5051</v>
      </c>
      <c r="AB1343" s="24">
        <v>46079</v>
      </c>
    </row>
    <row r="1344" spans="3:28" x14ac:dyDescent="0.2">
      <c r="C1344" s="23">
        <v>1100578663</v>
      </c>
      <c r="E1344" s="23">
        <v>260</v>
      </c>
      <c r="F1344" s="23" t="s">
        <v>4189</v>
      </c>
      <c r="G1344" s="23" t="s">
        <v>4190</v>
      </c>
      <c r="H1344" s="24">
        <v>46114</v>
      </c>
      <c r="I1344" s="24">
        <v>46114</v>
      </c>
      <c r="J1344" s="23" t="s">
        <v>4148</v>
      </c>
      <c r="K1344" s="23" t="s">
        <v>4148</v>
      </c>
      <c r="L1344" s="23">
        <v>2</v>
      </c>
      <c r="M1344" s="23" t="s">
        <v>78</v>
      </c>
      <c r="N1344" s="23" t="s">
        <v>78</v>
      </c>
      <c r="O1344" s="23">
        <v>2196.1799999999998</v>
      </c>
      <c r="P1344" s="23" t="s">
        <v>79</v>
      </c>
      <c r="Q1344" s="23" t="s">
        <v>83</v>
      </c>
      <c r="R1344" s="23">
        <v>11100176</v>
      </c>
      <c r="S1344" s="24">
        <v>46114</v>
      </c>
      <c r="T1344" s="24">
        <v>46085</v>
      </c>
      <c r="U1344" s="24" t="s">
        <v>80</v>
      </c>
      <c r="X1344" s="24">
        <v>46084</v>
      </c>
      <c r="Y1344" s="23">
        <v>1111</v>
      </c>
      <c r="Z1344" s="23">
        <v>11100137</v>
      </c>
      <c r="AA1344" s="23">
        <v>5051</v>
      </c>
      <c r="AB1344" s="24">
        <v>46079</v>
      </c>
    </row>
    <row r="1345" spans="2:28" x14ac:dyDescent="0.2">
      <c r="C1345" s="23">
        <v>1100578663</v>
      </c>
      <c r="E1345" s="23">
        <v>270</v>
      </c>
      <c r="F1345" s="23" t="s">
        <v>82</v>
      </c>
      <c r="G1345" s="23" t="s">
        <v>139</v>
      </c>
      <c r="H1345" s="24">
        <v>46114</v>
      </c>
      <c r="I1345" s="24">
        <v>46114</v>
      </c>
      <c r="J1345" s="23" t="s">
        <v>4148</v>
      </c>
      <c r="K1345" s="23" t="s">
        <v>4148</v>
      </c>
      <c r="L1345" s="23">
        <v>1</v>
      </c>
      <c r="M1345" s="23" t="s">
        <v>78</v>
      </c>
      <c r="N1345" s="23" t="s">
        <v>78</v>
      </c>
      <c r="O1345" s="23">
        <v>0.01</v>
      </c>
      <c r="P1345" s="23" t="s">
        <v>79</v>
      </c>
      <c r="Q1345" s="23" t="s">
        <v>83</v>
      </c>
      <c r="R1345" s="23">
        <v>11100176</v>
      </c>
      <c r="S1345" s="24" t="s">
        <v>80</v>
      </c>
      <c r="T1345" s="24">
        <v>46085</v>
      </c>
      <c r="U1345" s="24" t="s">
        <v>80</v>
      </c>
      <c r="X1345" s="24">
        <v>46084</v>
      </c>
      <c r="Y1345" s="23">
        <v>1111</v>
      </c>
      <c r="Z1345" s="23">
        <v>11100137</v>
      </c>
      <c r="AA1345" s="23">
        <v>5051</v>
      </c>
      <c r="AB1345" s="24">
        <v>46079</v>
      </c>
    </row>
    <row r="1346" spans="2:28" x14ac:dyDescent="0.2">
      <c r="B1346" s="23" t="s">
        <v>81</v>
      </c>
      <c r="C1346" s="23">
        <v>1100578663</v>
      </c>
      <c r="H1346" s="24">
        <v>46114</v>
      </c>
      <c r="O1346" s="23">
        <v>8915.18</v>
      </c>
      <c r="P1346" s="23" t="s">
        <v>79</v>
      </c>
    </row>
    <row r="1347" spans="2:28" x14ac:dyDescent="0.2">
      <c r="C1347" s="23">
        <v>1100567379</v>
      </c>
      <c r="E1347" s="23">
        <v>10</v>
      </c>
      <c r="F1347" s="23" t="s">
        <v>1135</v>
      </c>
      <c r="G1347" s="23" t="s">
        <v>1136</v>
      </c>
      <c r="H1347" s="24">
        <v>46115</v>
      </c>
      <c r="I1347" s="24">
        <v>46115</v>
      </c>
      <c r="J1347" s="23" t="s">
        <v>1166</v>
      </c>
      <c r="K1347" s="23" t="s">
        <v>1166</v>
      </c>
      <c r="L1347" s="23">
        <v>2</v>
      </c>
      <c r="M1347" s="23" t="s">
        <v>78</v>
      </c>
      <c r="N1347" s="23" t="s">
        <v>78</v>
      </c>
      <c r="O1347" s="23">
        <v>10.96</v>
      </c>
      <c r="P1347" s="23" t="s">
        <v>79</v>
      </c>
      <c r="Q1347" s="23" t="s">
        <v>83</v>
      </c>
      <c r="R1347" s="23">
        <v>11100299</v>
      </c>
      <c r="S1347" s="24">
        <v>46045</v>
      </c>
      <c r="T1347" s="24">
        <v>45959</v>
      </c>
      <c r="U1347" s="24" t="s">
        <v>80</v>
      </c>
      <c r="X1347" s="24">
        <v>45951</v>
      </c>
      <c r="Y1347" s="23">
        <v>1111</v>
      </c>
      <c r="Z1347" s="23">
        <v>11600003</v>
      </c>
      <c r="AA1347" s="23">
        <v>515103</v>
      </c>
      <c r="AB1347" s="24">
        <v>45939</v>
      </c>
    </row>
    <row r="1348" spans="2:28" x14ac:dyDescent="0.2">
      <c r="C1348" s="23">
        <v>1100567379</v>
      </c>
      <c r="E1348" s="23">
        <v>20</v>
      </c>
      <c r="F1348" s="23" t="s">
        <v>1846</v>
      </c>
      <c r="G1348" s="23" t="s">
        <v>1847</v>
      </c>
      <c r="H1348" s="24">
        <v>46115</v>
      </c>
      <c r="I1348" s="24">
        <v>46115</v>
      </c>
      <c r="J1348" s="23" t="s">
        <v>1166</v>
      </c>
      <c r="K1348" s="23" t="s">
        <v>1166</v>
      </c>
      <c r="L1348" s="23">
        <v>14</v>
      </c>
      <c r="M1348" s="23" t="s">
        <v>78</v>
      </c>
      <c r="N1348" s="23" t="s">
        <v>78</v>
      </c>
      <c r="O1348" s="23">
        <v>1008</v>
      </c>
      <c r="P1348" s="23" t="s">
        <v>79</v>
      </c>
      <c r="Q1348" s="23" t="s">
        <v>83</v>
      </c>
      <c r="R1348" s="23">
        <v>11100299</v>
      </c>
      <c r="S1348" s="24">
        <v>46045</v>
      </c>
      <c r="T1348" s="24">
        <v>45959</v>
      </c>
      <c r="U1348" s="24" t="s">
        <v>80</v>
      </c>
      <c r="X1348" s="24">
        <v>45951</v>
      </c>
      <c r="Y1348" s="23">
        <v>1111</v>
      </c>
      <c r="Z1348" s="23">
        <v>11600003</v>
      </c>
      <c r="AA1348" s="23">
        <v>515103</v>
      </c>
      <c r="AB1348" s="24">
        <v>45939</v>
      </c>
    </row>
    <row r="1349" spans="2:28" x14ac:dyDescent="0.2">
      <c r="C1349" s="23">
        <v>1100567379</v>
      </c>
      <c r="E1349" s="23">
        <v>30</v>
      </c>
      <c r="F1349" s="23" t="s">
        <v>912</v>
      </c>
      <c r="G1349" s="23" t="s">
        <v>913</v>
      </c>
      <c r="H1349" s="24">
        <v>46115</v>
      </c>
      <c r="I1349" s="24">
        <v>46115</v>
      </c>
      <c r="J1349" s="23" t="s">
        <v>1166</v>
      </c>
      <c r="K1349" s="23" t="s">
        <v>1166</v>
      </c>
      <c r="L1349" s="23">
        <v>1</v>
      </c>
      <c r="M1349" s="23" t="s">
        <v>78</v>
      </c>
      <c r="N1349" s="23" t="s">
        <v>78</v>
      </c>
      <c r="O1349" s="23">
        <v>1549.35</v>
      </c>
      <c r="P1349" s="23" t="s">
        <v>79</v>
      </c>
      <c r="Q1349" s="23" t="s">
        <v>83</v>
      </c>
      <c r="R1349" s="23">
        <v>11100299</v>
      </c>
      <c r="S1349" s="24">
        <v>46045</v>
      </c>
      <c r="T1349" s="24">
        <v>45959</v>
      </c>
      <c r="U1349" s="24" t="s">
        <v>80</v>
      </c>
      <c r="X1349" s="24">
        <v>45951</v>
      </c>
      <c r="Y1349" s="23">
        <v>1111</v>
      </c>
      <c r="Z1349" s="23">
        <v>11600003</v>
      </c>
      <c r="AA1349" s="23">
        <v>515103</v>
      </c>
      <c r="AB1349" s="24">
        <v>45939</v>
      </c>
    </row>
    <row r="1350" spans="2:28" x14ac:dyDescent="0.2">
      <c r="C1350" s="23">
        <v>1100567379</v>
      </c>
      <c r="E1350" s="23">
        <v>40</v>
      </c>
      <c r="F1350" s="23" t="s">
        <v>918</v>
      </c>
      <c r="G1350" s="23" t="s">
        <v>919</v>
      </c>
      <c r="H1350" s="24">
        <v>46115</v>
      </c>
      <c r="I1350" s="24">
        <v>46115</v>
      </c>
      <c r="J1350" s="23" t="s">
        <v>1166</v>
      </c>
      <c r="K1350" s="23" t="s">
        <v>1166</v>
      </c>
      <c r="L1350" s="23">
        <v>5</v>
      </c>
      <c r="M1350" s="23" t="s">
        <v>78</v>
      </c>
      <c r="N1350" s="23" t="s">
        <v>78</v>
      </c>
      <c r="O1350" s="23">
        <v>213.8</v>
      </c>
      <c r="P1350" s="23" t="s">
        <v>79</v>
      </c>
      <c r="Q1350" s="23" t="s">
        <v>83</v>
      </c>
      <c r="R1350" s="23">
        <v>11100299</v>
      </c>
      <c r="S1350" s="24">
        <v>46045</v>
      </c>
      <c r="T1350" s="24">
        <v>45959</v>
      </c>
      <c r="U1350" s="24" t="s">
        <v>80</v>
      </c>
      <c r="X1350" s="24">
        <v>45951</v>
      </c>
      <c r="Y1350" s="23">
        <v>1111</v>
      </c>
      <c r="Z1350" s="23">
        <v>11600003</v>
      </c>
      <c r="AA1350" s="23">
        <v>515103</v>
      </c>
      <c r="AB1350" s="24">
        <v>45939</v>
      </c>
    </row>
    <row r="1351" spans="2:28" x14ac:dyDescent="0.2">
      <c r="C1351" s="23">
        <v>1100567379</v>
      </c>
      <c r="E1351" s="23">
        <v>50</v>
      </c>
      <c r="F1351" s="23" t="s">
        <v>1848</v>
      </c>
      <c r="G1351" s="23" t="s">
        <v>1849</v>
      </c>
      <c r="H1351" s="24">
        <v>46115</v>
      </c>
      <c r="I1351" s="24">
        <v>46115</v>
      </c>
      <c r="J1351" s="23" t="s">
        <v>1166</v>
      </c>
      <c r="K1351" s="23" t="s">
        <v>1166</v>
      </c>
      <c r="L1351" s="23">
        <v>1</v>
      </c>
      <c r="M1351" s="23" t="s">
        <v>78</v>
      </c>
      <c r="N1351" s="23" t="s">
        <v>78</v>
      </c>
      <c r="O1351" s="23">
        <v>157.9</v>
      </c>
      <c r="P1351" s="23" t="s">
        <v>79</v>
      </c>
      <c r="Q1351" s="23" t="s">
        <v>83</v>
      </c>
      <c r="R1351" s="23">
        <v>11100299</v>
      </c>
      <c r="S1351" s="24">
        <v>46045</v>
      </c>
      <c r="T1351" s="24">
        <v>45959</v>
      </c>
      <c r="U1351" s="24" t="s">
        <v>80</v>
      </c>
      <c r="X1351" s="24">
        <v>45951</v>
      </c>
      <c r="Y1351" s="23">
        <v>1111</v>
      </c>
      <c r="Z1351" s="23">
        <v>11600003</v>
      </c>
      <c r="AA1351" s="23">
        <v>515103</v>
      </c>
      <c r="AB1351" s="24">
        <v>45939</v>
      </c>
    </row>
    <row r="1352" spans="2:28" x14ac:dyDescent="0.2">
      <c r="C1352" s="23">
        <v>1100567379</v>
      </c>
      <c r="E1352" s="23">
        <v>60</v>
      </c>
      <c r="F1352" s="23" t="s">
        <v>1131</v>
      </c>
      <c r="G1352" s="23" t="s">
        <v>1132</v>
      </c>
      <c r="H1352" s="24">
        <v>46115</v>
      </c>
      <c r="I1352" s="24">
        <v>46115</v>
      </c>
      <c r="J1352" s="23" t="s">
        <v>1166</v>
      </c>
      <c r="K1352" s="23" t="s">
        <v>1166</v>
      </c>
      <c r="L1352" s="23">
        <v>1</v>
      </c>
      <c r="M1352" s="23" t="s">
        <v>78</v>
      </c>
      <c r="N1352" s="23" t="s">
        <v>78</v>
      </c>
      <c r="O1352" s="23">
        <v>26.32</v>
      </c>
      <c r="P1352" s="23" t="s">
        <v>79</v>
      </c>
      <c r="Q1352" s="23" t="s">
        <v>83</v>
      </c>
      <c r="R1352" s="23">
        <v>11100299</v>
      </c>
      <c r="S1352" s="24">
        <v>46045</v>
      </c>
      <c r="T1352" s="24">
        <v>45959</v>
      </c>
      <c r="U1352" s="24" t="s">
        <v>80</v>
      </c>
      <c r="X1352" s="24">
        <v>45951</v>
      </c>
      <c r="Y1352" s="23">
        <v>1111</v>
      </c>
      <c r="Z1352" s="23">
        <v>11600003</v>
      </c>
      <c r="AA1352" s="23">
        <v>515103</v>
      </c>
      <c r="AB1352" s="24">
        <v>45939</v>
      </c>
    </row>
    <row r="1353" spans="2:28" x14ac:dyDescent="0.2">
      <c r="C1353" s="23">
        <v>1100567379</v>
      </c>
      <c r="E1353" s="23">
        <v>70</v>
      </c>
      <c r="F1353" s="23" t="s">
        <v>1137</v>
      </c>
      <c r="G1353" s="23" t="s">
        <v>1138</v>
      </c>
      <c r="H1353" s="24">
        <v>46115</v>
      </c>
      <c r="I1353" s="24">
        <v>46115</v>
      </c>
      <c r="J1353" s="23" t="s">
        <v>1166</v>
      </c>
      <c r="K1353" s="23" t="s">
        <v>1166</v>
      </c>
      <c r="L1353" s="23">
        <v>1</v>
      </c>
      <c r="M1353" s="23" t="s">
        <v>78</v>
      </c>
      <c r="N1353" s="23" t="s">
        <v>78</v>
      </c>
      <c r="O1353" s="23">
        <v>63.6</v>
      </c>
      <c r="P1353" s="23" t="s">
        <v>79</v>
      </c>
      <c r="Q1353" s="23" t="s">
        <v>83</v>
      </c>
      <c r="R1353" s="23">
        <v>11100299</v>
      </c>
      <c r="S1353" s="24">
        <v>46045</v>
      </c>
      <c r="T1353" s="24">
        <v>45959</v>
      </c>
      <c r="U1353" s="24" t="s">
        <v>80</v>
      </c>
      <c r="X1353" s="24">
        <v>45951</v>
      </c>
      <c r="Y1353" s="23">
        <v>1111</v>
      </c>
      <c r="Z1353" s="23">
        <v>11600003</v>
      </c>
      <c r="AA1353" s="23">
        <v>515103</v>
      </c>
      <c r="AB1353" s="24">
        <v>45939</v>
      </c>
    </row>
    <row r="1354" spans="2:28" x14ac:dyDescent="0.2">
      <c r="C1354" s="23">
        <v>1100567379</v>
      </c>
      <c r="E1354" s="23">
        <v>80</v>
      </c>
      <c r="F1354" s="23" t="s">
        <v>1850</v>
      </c>
      <c r="G1354" s="23" t="s">
        <v>1851</v>
      </c>
      <c r="H1354" s="24">
        <v>46115</v>
      </c>
      <c r="I1354" s="24">
        <v>46115</v>
      </c>
      <c r="J1354" s="23" t="s">
        <v>1166</v>
      </c>
      <c r="K1354" s="23" t="s">
        <v>1166</v>
      </c>
      <c r="L1354" s="23">
        <v>1</v>
      </c>
      <c r="M1354" s="23" t="s">
        <v>78</v>
      </c>
      <c r="N1354" s="23" t="s">
        <v>78</v>
      </c>
      <c r="O1354" s="23">
        <v>5.48</v>
      </c>
      <c r="P1354" s="23" t="s">
        <v>79</v>
      </c>
      <c r="Q1354" s="23" t="s">
        <v>83</v>
      </c>
      <c r="R1354" s="23">
        <v>11100299</v>
      </c>
      <c r="S1354" s="24">
        <v>46045</v>
      </c>
      <c r="T1354" s="24">
        <v>45959</v>
      </c>
      <c r="U1354" s="24" t="s">
        <v>80</v>
      </c>
      <c r="X1354" s="24">
        <v>45951</v>
      </c>
      <c r="Y1354" s="23">
        <v>1111</v>
      </c>
      <c r="Z1354" s="23">
        <v>11600003</v>
      </c>
      <c r="AA1354" s="23">
        <v>515103</v>
      </c>
      <c r="AB1354" s="24">
        <v>45939</v>
      </c>
    </row>
    <row r="1355" spans="2:28" x14ac:dyDescent="0.2">
      <c r="C1355" s="23">
        <v>1100567379</v>
      </c>
      <c r="E1355" s="23">
        <v>90</v>
      </c>
      <c r="F1355" s="23" t="s">
        <v>1852</v>
      </c>
      <c r="G1355" s="23" t="s">
        <v>1853</v>
      </c>
      <c r="H1355" s="24">
        <v>46115</v>
      </c>
      <c r="I1355" s="24">
        <v>46115</v>
      </c>
      <c r="J1355" s="23" t="s">
        <v>1166</v>
      </c>
      <c r="K1355" s="23" t="s">
        <v>1166</v>
      </c>
      <c r="L1355" s="23">
        <v>1</v>
      </c>
      <c r="M1355" s="23" t="s">
        <v>78</v>
      </c>
      <c r="N1355" s="23" t="s">
        <v>78</v>
      </c>
      <c r="O1355" s="23">
        <v>4955</v>
      </c>
      <c r="P1355" s="23" t="s">
        <v>79</v>
      </c>
      <c r="Q1355" s="23" t="s">
        <v>83</v>
      </c>
      <c r="R1355" s="23">
        <v>11100299</v>
      </c>
      <c r="S1355" s="24">
        <v>46045</v>
      </c>
      <c r="T1355" s="24">
        <v>45959</v>
      </c>
      <c r="U1355" s="24" t="s">
        <v>80</v>
      </c>
      <c r="X1355" s="24">
        <v>45951</v>
      </c>
      <c r="Y1355" s="23">
        <v>1111</v>
      </c>
      <c r="Z1355" s="23">
        <v>11600003</v>
      </c>
      <c r="AA1355" s="23">
        <v>515103</v>
      </c>
      <c r="AB1355" s="24">
        <v>45939</v>
      </c>
    </row>
    <row r="1356" spans="2:28" x14ac:dyDescent="0.2">
      <c r="C1356" s="23">
        <v>1100567379</v>
      </c>
      <c r="E1356" s="23">
        <v>100</v>
      </c>
      <c r="F1356" s="23" t="s">
        <v>910</v>
      </c>
      <c r="G1356" s="23" t="s">
        <v>911</v>
      </c>
      <c r="H1356" s="24">
        <v>46115</v>
      </c>
      <c r="I1356" s="24">
        <v>46115</v>
      </c>
      <c r="J1356" s="23" t="s">
        <v>1166</v>
      </c>
      <c r="K1356" s="23" t="s">
        <v>1166</v>
      </c>
      <c r="L1356" s="23">
        <v>1</v>
      </c>
      <c r="M1356" s="23" t="s">
        <v>78</v>
      </c>
      <c r="N1356" s="23" t="s">
        <v>78</v>
      </c>
      <c r="O1356" s="23">
        <v>157.9</v>
      </c>
      <c r="P1356" s="23" t="s">
        <v>79</v>
      </c>
      <c r="Q1356" s="23" t="s">
        <v>83</v>
      </c>
      <c r="R1356" s="23">
        <v>11100299</v>
      </c>
      <c r="S1356" s="24">
        <v>46045</v>
      </c>
      <c r="T1356" s="24">
        <v>45959</v>
      </c>
      <c r="U1356" s="24" t="s">
        <v>80</v>
      </c>
      <c r="X1356" s="24">
        <v>45951</v>
      </c>
      <c r="Y1356" s="23">
        <v>1111</v>
      </c>
      <c r="Z1356" s="23">
        <v>11600003</v>
      </c>
      <c r="AA1356" s="23">
        <v>515103</v>
      </c>
      <c r="AB1356" s="24">
        <v>45939</v>
      </c>
    </row>
    <row r="1357" spans="2:28" x14ac:dyDescent="0.2">
      <c r="C1357" s="23">
        <v>1100567379</v>
      </c>
      <c r="E1357" s="23">
        <v>110</v>
      </c>
      <c r="F1357" s="23" t="s">
        <v>906</v>
      </c>
      <c r="G1357" s="23" t="s">
        <v>907</v>
      </c>
      <c r="H1357" s="24">
        <v>46115</v>
      </c>
      <c r="I1357" s="24">
        <v>46115</v>
      </c>
      <c r="J1357" s="23" t="s">
        <v>1166</v>
      </c>
      <c r="K1357" s="23" t="s">
        <v>1166</v>
      </c>
      <c r="L1357" s="23">
        <v>1</v>
      </c>
      <c r="M1357" s="23" t="s">
        <v>78</v>
      </c>
      <c r="N1357" s="23" t="s">
        <v>78</v>
      </c>
      <c r="O1357" s="23">
        <v>1974.8</v>
      </c>
      <c r="P1357" s="23" t="s">
        <v>79</v>
      </c>
      <c r="Q1357" s="23" t="s">
        <v>83</v>
      </c>
      <c r="R1357" s="23">
        <v>11100299</v>
      </c>
      <c r="S1357" s="24">
        <v>46045</v>
      </c>
      <c r="T1357" s="24">
        <v>45959</v>
      </c>
      <c r="U1357" s="24" t="s">
        <v>80</v>
      </c>
      <c r="X1357" s="24">
        <v>45951</v>
      </c>
      <c r="Y1357" s="23">
        <v>1111</v>
      </c>
      <c r="Z1357" s="23">
        <v>11600003</v>
      </c>
      <c r="AA1357" s="23">
        <v>515103</v>
      </c>
      <c r="AB1357" s="24">
        <v>45939</v>
      </c>
    </row>
    <row r="1358" spans="2:28" x14ac:dyDescent="0.2">
      <c r="C1358" s="23">
        <v>1100567379</v>
      </c>
      <c r="E1358" s="23">
        <v>120</v>
      </c>
      <c r="F1358" s="23" t="s">
        <v>1854</v>
      </c>
      <c r="G1358" s="23" t="s">
        <v>1855</v>
      </c>
      <c r="H1358" s="24">
        <v>46115</v>
      </c>
      <c r="I1358" s="24">
        <v>46115</v>
      </c>
      <c r="J1358" s="23" t="s">
        <v>1166</v>
      </c>
      <c r="K1358" s="23" t="s">
        <v>1166</v>
      </c>
      <c r="L1358" s="23">
        <v>1</v>
      </c>
      <c r="M1358" s="23" t="s">
        <v>78</v>
      </c>
      <c r="N1358" s="23" t="s">
        <v>78</v>
      </c>
      <c r="O1358" s="23">
        <v>1787.3</v>
      </c>
      <c r="P1358" s="23" t="s">
        <v>79</v>
      </c>
      <c r="Q1358" s="23" t="s">
        <v>83</v>
      </c>
      <c r="R1358" s="23">
        <v>11100299</v>
      </c>
      <c r="S1358" s="24">
        <v>46045</v>
      </c>
      <c r="T1358" s="24">
        <v>45959</v>
      </c>
      <c r="U1358" s="24" t="s">
        <v>80</v>
      </c>
      <c r="X1358" s="24">
        <v>45951</v>
      </c>
      <c r="Y1358" s="23">
        <v>1111</v>
      </c>
      <c r="Z1358" s="23">
        <v>11600003</v>
      </c>
      <c r="AA1358" s="23">
        <v>515103</v>
      </c>
      <c r="AB1358" s="24">
        <v>45939</v>
      </c>
    </row>
    <row r="1359" spans="2:28" x14ac:dyDescent="0.2">
      <c r="C1359" s="23">
        <v>1100567379</v>
      </c>
      <c r="E1359" s="23">
        <v>130</v>
      </c>
      <c r="F1359" s="23" t="s">
        <v>1133</v>
      </c>
      <c r="G1359" s="23" t="s">
        <v>1134</v>
      </c>
      <c r="H1359" s="24">
        <v>46115</v>
      </c>
      <c r="I1359" s="24">
        <v>46115</v>
      </c>
      <c r="J1359" s="23" t="s">
        <v>1166</v>
      </c>
      <c r="K1359" s="23" t="s">
        <v>1166</v>
      </c>
      <c r="L1359" s="23">
        <v>1</v>
      </c>
      <c r="M1359" s="23" t="s">
        <v>78</v>
      </c>
      <c r="N1359" s="23" t="s">
        <v>78</v>
      </c>
      <c r="O1359" s="23">
        <v>15.35</v>
      </c>
      <c r="P1359" s="23" t="s">
        <v>79</v>
      </c>
      <c r="Q1359" s="23" t="s">
        <v>83</v>
      </c>
      <c r="R1359" s="23">
        <v>11100299</v>
      </c>
      <c r="S1359" s="24">
        <v>46045</v>
      </c>
      <c r="T1359" s="24">
        <v>45959</v>
      </c>
      <c r="U1359" s="24" t="s">
        <v>80</v>
      </c>
      <c r="X1359" s="24">
        <v>45951</v>
      </c>
      <c r="Y1359" s="23">
        <v>1111</v>
      </c>
      <c r="Z1359" s="23">
        <v>11600003</v>
      </c>
      <c r="AA1359" s="23">
        <v>515103</v>
      </c>
      <c r="AB1359" s="24">
        <v>45939</v>
      </c>
    </row>
    <row r="1360" spans="2:28" x14ac:dyDescent="0.2">
      <c r="C1360" s="23">
        <v>1100567379</v>
      </c>
      <c r="E1360" s="23">
        <v>140</v>
      </c>
      <c r="F1360" s="23" t="s">
        <v>1856</v>
      </c>
      <c r="G1360" s="23" t="s">
        <v>1857</v>
      </c>
      <c r="H1360" s="24">
        <v>46115</v>
      </c>
      <c r="I1360" s="24">
        <v>46115</v>
      </c>
      <c r="J1360" s="23" t="s">
        <v>1166</v>
      </c>
      <c r="K1360" s="23" t="s">
        <v>1166</v>
      </c>
      <c r="L1360" s="23">
        <v>1</v>
      </c>
      <c r="M1360" s="23" t="s">
        <v>78</v>
      </c>
      <c r="N1360" s="23" t="s">
        <v>78</v>
      </c>
      <c r="O1360" s="23">
        <v>11689.79</v>
      </c>
      <c r="P1360" s="23" t="s">
        <v>79</v>
      </c>
      <c r="Q1360" s="23" t="s">
        <v>83</v>
      </c>
      <c r="R1360" s="23">
        <v>11100299</v>
      </c>
      <c r="S1360" s="24">
        <v>46045</v>
      </c>
      <c r="T1360" s="24">
        <v>45959</v>
      </c>
      <c r="U1360" s="24" t="s">
        <v>80</v>
      </c>
      <c r="X1360" s="24">
        <v>45951</v>
      </c>
      <c r="Y1360" s="23">
        <v>1111</v>
      </c>
      <c r="Z1360" s="23">
        <v>11600003</v>
      </c>
      <c r="AA1360" s="23">
        <v>515103</v>
      </c>
      <c r="AB1360" s="24">
        <v>45939</v>
      </c>
    </row>
    <row r="1361" spans="2:28" x14ac:dyDescent="0.2">
      <c r="C1361" s="23">
        <v>1100567379</v>
      </c>
      <c r="E1361" s="23">
        <v>150</v>
      </c>
      <c r="F1361" s="23" t="s">
        <v>908</v>
      </c>
      <c r="G1361" s="23" t="s">
        <v>909</v>
      </c>
      <c r="H1361" s="24">
        <v>46115</v>
      </c>
      <c r="I1361" s="24">
        <v>46115</v>
      </c>
      <c r="J1361" s="23" t="s">
        <v>1166</v>
      </c>
      <c r="K1361" s="23" t="s">
        <v>1166</v>
      </c>
      <c r="L1361" s="23">
        <v>1</v>
      </c>
      <c r="M1361" s="23" t="s">
        <v>78</v>
      </c>
      <c r="N1361" s="23" t="s">
        <v>78</v>
      </c>
      <c r="O1361" s="23">
        <v>1745.63</v>
      </c>
      <c r="P1361" s="23" t="s">
        <v>79</v>
      </c>
      <c r="Q1361" s="23" t="s">
        <v>83</v>
      </c>
      <c r="R1361" s="23">
        <v>11100299</v>
      </c>
      <c r="S1361" s="24">
        <v>46045</v>
      </c>
      <c r="T1361" s="24">
        <v>45959</v>
      </c>
      <c r="U1361" s="24" t="s">
        <v>80</v>
      </c>
      <c r="X1361" s="24">
        <v>45951</v>
      </c>
      <c r="Y1361" s="23">
        <v>1111</v>
      </c>
      <c r="Z1361" s="23">
        <v>11600003</v>
      </c>
      <c r="AA1361" s="23">
        <v>515103</v>
      </c>
      <c r="AB1361" s="24">
        <v>45939</v>
      </c>
    </row>
    <row r="1362" spans="2:28" x14ac:dyDescent="0.2">
      <c r="C1362" s="23">
        <v>1100567379</v>
      </c>
      <c r="E1362" s="23">
        <v>160</v>
      </c>
      <c r="F1362" s="23" t="s">
        <v>916</v>
      </c>
      <c r="G1362" s="23" t="s">
        <v>917</v>
      </c>
      <c r="H1362" s="24">
        <v>46115</v>
      </c>
      <c r="I1362" s="24">
        <v>46115</v>
      </c>
      <c r="J1362" s="23" t="s">
        <v>1166</v>
      </c>
      <c r="K1362" s="23" t="s">
        <v>1166</v>
      </c>
      <c r="L1362" s="23">
        <v>2</v>
      </c>
      <c r="M1362" s="23" t="s">
        <v>78</v>
      </c>
      <c r="N1362" s="23" t="s">
        <v>78</v>
      </c>
      <c r="O1362" s="23">
        <v>4131.62</v>
      </c>
      <c r="P1362" s="23" t="s">
        <v>79</v>
      </c>
      <c r="Q1362" s="23" t="s">
        <v>83</v>
      </c>
      <c r="R1362" s="23">
        <v>11100299</v>
      </c>
      <c r="S1362" s="24">
        <v>46045</v>
      </c>
      <c r="T1362" s="24">
        <v>45959</v>
      </c>
      <c r="U1362" s="24" t="s">
        <v>80</v>
      </c>
      <c r="X1362" s="24">
        <v>45951</v>
      </c>
      <c r="Y1362" s="23">
        <v>1111</v>
      </c>
      <c r="Z1362" s="23">
        <v>11600003</v>
      </c>
      <c r="AA1362" s="23">
        <v>515103</v>
      </c>
      <c r="AB1362" s="24">
        <v>45939</v>
      </c>
    </row>
    <row r="1363" spans="2:28" x14ac:dyDescent="0.2">
      <c r="C1363" s="23">
        <v>1100567379</v>
      </c>
      <c r="E1363" s="23">
        <v>170</v>
      </c>
      <c r="F1363" s="23" t="s">
        <v>914</v>
      </c>
      <c r="G1363" s="23" t="s">
        <v>915</v>
      </c>
      <c r="H1363" s="24">
        <v>46115</v>
      </c>
      <c r="I1363" s="24">
        <v>46115</v>
      </c>
      <c r="J1363" s="23" t="s">
        <v>1166</v>
      </c>
      <c r="K1363" s="23" t="s">
        <v>1166</v>
      </c>
      <c r="L1363" s="23">
        <v>1</v>
      </c>
      <c r="M1363" s="23" t="s">
        <v>566</v>
      </c>
      <c r="N1363" s="23" t="s">
        <v>566</v>
      </c>
      <c r="O1363" s="23">
        <v>2293.88</v>
      </c>
      <c r="P1363" s="23" t="s">
        <v>79</v>
      </c>
      <c r="Q1363" s="23" t="s">
        <v>83</v>
      </c>
      <c r="R1363" s="23">
        <v>11100299</v>
      </c>
      <c r="S1363" s="24">
        <v>46045</v>
      </c>
      <c r="T1363" s="24">
        <v>45959</v>
      </c>
      <c r="U1363" s="24" t="s">
        <v>80</v>
      </c>
      <c r="X1363" s="24">
        <v>45951</v>
      </c>
      <c r="Y1363" s="23">
        <v>1111</v>
      </c>
      <c r="Z1363" s="23">
        <v>11600003</v>
      </c>
      <c r="AA1363" s="23">
        <v>515103</v>
      </c>
      <c r="AB1363" s="24">
        <v>45939</v>
      </c>
    </row>
    <row r="1364" spans="2:28" x14ac:dyDescent="0.2">
      <c r="C1364" s="23">
        <v>1100567379</v>
      </c>
      <c r="E1364" s="23">
        <v>180</v>
      </c>
      <c r="F1364" s="23" t="s">
        <v>297</v>
      </c>
      <c r="G1364" s="23" t="s">
        <v>298</v>
      </c>
      <c r="H1364" s="24">
        <v>46115</v>
      </c>
      <c r="I1364" s="24">
        <v>46115</v>
      </c>
      <c r="J1364" s="23" t="s">
        <v>1166</v>
      </c>
      <c r="K1364" s="23" t="s">
        <v>1166</v>
      </c>
      <c r="L1364" s="23">
        <v>1</v>
      </c>
      <c r="M1364" s="23" t="s">
        <v>78</v>
      </c>
      <c r="N1364" s="23" t="s">
        <v>78</v>
      </c>
      <c r="O1364" s="23">
        <v>0.01</v>
      </c>
      <c r="P1364" s="23" t="s">
        <v>79</v>
      </c>
      <c r="Q1364" s="23" t="s">
        <v>83</v>
      </c>
      <c r="R1364" s="23">
        <v>11100299</v>
      </c>
      <c r="S1364" s="24">
        <v>46045</v>
      </c>
      <c r="T1364" s="24">
        <v>45959</v>
      </c>
      <c r="U1364" s="24" t="s">
        <v>80</v>
      </c>
      <c r="X1364" s="24">
        <v>45951</v>
      </c>
      <c r="Y1364" s="23">
        <v>1111</v>
      </c>
      <c r="Z1364" s="23">
        <v>11600003</v>
      </c>
      <c r="AA1364" s="23">
        <v>515103</v>
      </c>
      <c r="AB1364" s="24">
        <v>45939</v>
      </c>
    </row>
    <row r="1365" spans="2:28" x14ac:dyDescent="0.2">
      <c r="C1365" s="23">
        <v>1100567379</v>
      </c>
      <c r="E1365" s="23">
        <v>190</v>
      </c>
      <c r="F1365" s="23" t="s">
        <v>82</v>
      </c>
      <c r="G1365" s="23" t="s">
        <v>139</v>
      </c>
      <c r="H1365" s="24">
        <v>46115</v>
      </c>
      <c r="I1365" s="24">
        <v>46115</v>
      </c>
      <c r="J1365" s="23" t="s">
        <v>1166</v>
      </c>
      <c r="K1365" s="23" t="s">
        <v>1166</v>
      </c>
      <c r="L1365" s="23">
        <v>1</v>
      </c>
      <c r="M1365" s="23" t="s">
        <v>78</v>
      </c>
      <c r="N1365" s="23" t="s">
        <v>78</v>
      </c>
      <c r="O1365" s="23">
        <v>0.01</v>
      </c>
      <c r="P1365" s="23" t="s">
        <v>79</v>
      </c>
      <c r="Q1365" s="23" t="s">
        <v>83</v>
      </c>
      <c r="R1365" s="23">
        <v>11100299</v>
      </c>
      <c r="S1365" s="24">
        <v>46045</v>
      </c>
      <c r="T1365" s="24">
        <v>45959</v>
      </c>
      <c r="U1365" s="24" t="s">
        <v>80</v>
      </c>
      <c r="X1365" s="24">
        <v>45951</v>
      </c>
      <c r="Y1365" s="23">
        <v>1111</v>
      </c>
      <c r="Z1365" s="23">
        <v>11600003</v>
      </c>
      <c r="AA1365" s="23">
        <v>515103</v>
      </c>
      <c r="AB1365" s="24">
        <v>45939</v>
      </c>
    </row>
    <row r="1366" spans="2:28" x14ac:dyDescent="0.2">
      <c r="B1366" s="23" t="s">
        <v>81</v>
      </c>
      <c r="C1366" s="23">
        <v>1100567379</v>
      </c>
      <c r="H1366" s="24">
        <v>46115</v>
      </c>
      <c r="O1366" s="23">
        <v>31786.7</v>
      </c>
      <c r="P1366" s="23" t="s">
        <v>79</v>
      </c>
    </row>
    <row r="1367" spans="2:28" x14ac:dyDescent="0.2">
      <c r="C1367" s="23">
        <v>1100569096</v>
      </c>
      <c r="E1367" s="23">
        <v>20</v>
      </c>
      <c r="F1367" s="23" t="s">
        <v>904</v>
      </c>
      <c r="G1367" s="23" t="s">
        <v>905</v>
      </c>
      <c r="H1367" s="24">
        <v>46115</v>
      </c>
      <c r="I1367" s="24">
        <v>46115</v>
      </c>
      <c r="J1367" s="23" t="s">
        <v>499</v>
      </c>
      <c r="K1367" s="23" t="s">
        <v>499</v>
      </c>
      <c r="L1367" s="23">
        <v>1</v>
      </c>
      <c r="M1367" s="23" t="s">
        <v>78</v>
      </c>
      <c r="N1367" s="23" t="s">
        <v>78</v>
      </c>
      <c r="O1367" s="23">
        <v>7815.95</v>
      </c>
      <c r="P1367" s="23" t="s">
        <v>79</v>
      </c>
      <c r="Q1367" s="23" t="s">
        <v>83</v>
      </c>
      <c r="R1367" s="23">
        <v>11100299</v>
      </c>
      <c r="S1367" s="24">
        <v>46084</v>
      </c>
      <c r="T1367" s="24">
        <v>45979</v>
      </c>
      <c r="U1367" s="24">
        <v>46114</v>
      </c>
      <c r="X1367" s="24">
        <v>45975</v>
      </c>
      <c r="Y1367" s="23">
        <v>1111</v>
      </c>
      <c r="Z1367" s="23">
        <v>11400742</v>
      </c>
      <c r="AA1367" s="23">
        <v>335103</v>
      </c>
      <c r="AB1367" s="24">
        <v>45975</v>
      </c>
    </row>
    <row r="1368" spans="2:28" x14ac:dyDescent="0.2">
      <c r="B1368" s="23" t="s">
        <v>81</v>
      </c>
      <c r="C1368" s="23">
        <v>1100569096</v>
      </c>
      <c r="H1368" s="24">
        <v>46115</v>
      </c>
      <c r="O1368" s="23">
        <v>7815.95</v>
      </c>
      <c r="P1368" s="23" t="s">
        <v>79</v>
      </c>
    </row>
    <row r="1369" spans="2:28" x14ac:dyDescent="0.2">
      <c r="C1369" s="23">
        <v>1100572678</v>
      </c>
      <c r="E1369" s="23">
        <v>10</v>
      </c>
      <c r="F1369" s="23" t="s">
        <v>2036</v>
      </c>
      <c r="G1369" s="23" t="s">
        <v>2037</v>
      </c>
      <c r="H1369" s="24">
        <v>46115</v>
      </c>
      <c r="I1369" s="24">
        <v>46115</v>
      </c>
      <c r="J1369" s="23" t="s">
        <v>313</v>
      </c>
      <c r="K1369" s="23" t="s">
        <v>313</v>
      </c>
      <c r="L1369" s="23">
        <v>1</v>
      </c>
      <c r="M1369" s="23" t="s">
        <v>78</v>
      </c>
      <c r="N1369" s="23" t="s">
        <v>78</v>
      </c>
      <c r="O1369" s="23">
        <v>0</v>
      </c>
      <c r="P1369" s="23" t="s">
        <v>79</v>
      </c>
      <c r="Q1369" s="23" t="s">
        <v>83</v>
      </c>
      <c r="R1369" s="23">
        <v>11100008</v>
      </c>
      <c r="S1369" s="24" t="s">
        <v>80</v>
      </c>
      <c r="T1369" s="24">
        <v>46024</v>
      </c>
      <c r="U1369" s="24" t="s">
        <v>80</v>
      </c>
      <c r="X1369" s="24">
        <v>46024</v>
      </c>
      <c r="Y1369" s="23">
        <v>1111</v>
      </c>
      <c r="Z1369" s="23">
        <v>11400606</v>
      </c>
      <c r="AA1369" s="23">
        <v>5001</v>
      </c>
      <c r="AB1369" s="24">
        <v>46024</v>
      </c>
    </row>
    <row r="1370" spans="2:28" x14ac:dyDescent="0.2">
      <c r="B1370" s="23" t="s">
        <v>81</v>
      </c>
      <c r="C1370" s="23">
        <v>1100572678</v>
      </c>
      <c r="H1370" s="24">
        <v>46115</v>
      </c>
      <c r="O1370" s="23">
        <v>0</v>
      </c>
      <c r="P1370" s="23" t="s">
        <v>79</v>
      </c>
    </row>
    <row r="1371" spans="2:28" x14ac:dyDescent="0.2">
      <c r="C1371" s="23">
        <v>1100573865</v>
      </c>
      <c r="E1371" s="23">
        <v>10</v>
      </c>
      <c r="F1371" s="23" t="s">
        <v>3296</v>
      </c>
      <c r="G1371" s="23" t="s">
        <v>3297</v>
      </c>
      <c r="H1371" s="24">
        <v>46115</v>
      </c>
      <c r="I1371" s="24">
        <v>46115</v>
      </c>
      <c r="J1371" s="23" t="s">
        <v>3298</v>
      </c>
      <c r="K1371" s="23" t="s">
        <v>3298</v>
      </c>
      <c r="L1371" s="23">
        <v>2</v>
      </c>
      <c r="M1371" s="23" t="s">
        <v>78</v>
      </c>
      <c r="N1371" s="23" t="s">
        <v>78</v>
      </c>
      <c r="O1371" s="23">
        <v>5142.92</v>
      </c>
      <c r="P1371" s="23" t="s">
        <v>79</v>
      </c>
      <c r="Q1371" s="23" t="s">
        <v>83</v>
      </c>
      <c r="R1371" s="23">
        <v>11100176</v>
      </c>
      <c r="S1371" s="24">
        <v>46066</v>
      </c>
      <c r="T1371" s="24">
        <v>46037</v>
      </c>
      <c r="U1371" s="24" t="s">
        <v>80</v>
      </c>
      <c r="X1371" s="24">
        <v>46037</v>
      </c>
      <c r="Y1371" s="23">
        <v>1111</v>
      </c>
      <c r="Z1371" s="23">
        <v>11400789</v>
      </c>
      <c r="AA1371" s="23">
        <v>5251</v>
      </c>
      <c r="AB1371" s="24">
        <v>46035</v>
      </c>
    </row>
    <row r="1372" spans="2:28" x14ac:dyDescent="0.2">
      <c r="C1372" s="23">
        <v>1100573865</v>
      </c>
      <c r="E1372" s="23">
        <v>20</v>
      </c>
      <c r="F1372" s="23" t="s">
        <v>82</v>
      </c>
      <c r="G1372" s="23" t="s">
        <v>139</v>
      </c>
      <c r="H1372" s="24">
        <v>46115</v>
      </c>
      <c r="I1372" s="24">
        <v>46115</v>
      </c>
      <c r="J1372" s="23" t="s">
        <v>3298</v>
      </c>
      <c r="K1372" s="23" t="s">
        <v>3298</v>
      </c>
      <c r="L1372" s="23">
        <v>1</v>
      </c>
      <c r="M1372" s="23" t="s">
        <v>78</v>
      </c>
      <c r="N1372" s="23" t="s">
        <v>78</v>
      </c>
      <c r="O1372" s="23">
        <v>0</v>
      </c>
      <c r="P1372" s="23" t="s">
        <v>79</v>
      </c>
      <c r="Q1372" s="23" t="s">
        <v>83</v>
      </c>
      <c r="R1372" s="23">
        <v>11100176</v>
      </c>
      <c r="S1372" s="24" t="s">
        <v>80</v>
      </c>
      <c r="T1372" s="24">
        <v>46037</v>
      </c>
      <c r="U1372" s="24" t="s">
        <v>80</v>
      </c>
      <c r="X1372" s="24">
        <v>46037</v>
      </c>
      <c r="Y1372" s="23">
        <v>1111</v>
      </c>
      <c r="Z1372" s="23">
        <v>11400789</v>
      </c>
      <c r="AA1372" s="23">
        <v>5251</v>
      </c>
      <c r="AB1372" s="24">
        <v>46035</v>
      </c>
    </row>
    <row r="1373" spans="2:28" x14ac:dyDescent="0.2">
      <c r="B1373" s="23" t="s">
        <v>81</v>
      </c>
      <c r="C1373" s="23">
        <v>1100573865</v>
      </c>
      <c r="H1373" s="24">
        <v>46115</v>
      </c>
      <c r="O1373" s="23">
        <v>5142.92</v>
      </c>
      <c r="P1373" s="23" t="s">
        <v>79</v>
      </c>
    </row>
    <row r="1374" spans="2:28" x14ac:dyDescent="0.2">
      <c r="C1374" s="23">
        <v>1100574186</v>
      </c>
      <c r="E1374" s="23">
        <v>10</v>
      </c>
      <c r="F1374" s="23" t="s">
        <v>3299</v>
      </c>
      <c r="G1374" s="23" t="s">
        <v>3300</v>
      </c>
      <c r="H1374" s="24">
        <v>46115</v>
      </c>
      <c r="I1374" s="24">
        <v>46115</v>
      </c>
      <c r="J1374" s="23" t="s">
        <v>978</v>
      </c>
      <c r="K1374" s="23" t="s">
        <v>978</v>
      </c>
      <c r="L1374" s="23">
        <v>1</v>
      </c>
      <c r="M1374" s="23" t="s">
        <v>78</v>
      </c>
      <c r="N1374" s="23" t="s">
        <v>78</v>
      </c>
      <c r="O1374" s="23">
        <v>6707</v>
      </c>
      <c r="P1374" s="23" t="s">
        <v>79</v>
      </c>
      <c r="Q1374" s="23" t="s">
        <v>83</v>
      </c>
      <c r="R1374" s="23">
        <v>11100008</v>
      </c>
      <c r="S1374" s="24">
        <v>46126</v>
      </c>
      <c r="T1374" s="24">
        <v>46042</v>
      </c>
      <c r="U1374" s="24" t="s">
        <v>80</v>
      </c>
      <c r="X1374" s="24">
        <v>46038</v>
      </c>
      <c r="Y1374" s="23">
        <v>1111</v>
      </c>
      <c r="Z1374" s="23">
        <v>11400124</v>
      </c>
      <c r="AA1374" s="23">
        <v>3958</v>
      </c>
      <c r="AB1374" s="24">
        <v>47118</v>
      </c>
    </row>
    <row r="1375" spans="2:28" x14ac:dyDescent="0.2">
      <c r="C1375" s="23">
        <v>1100574186</v>
      </c>
      <c r="E1375" s="23">
        <v>20</v>
      </c>
      <c r="F1375" s="23" t="s">
        <v>84</v>
      </c>
      <c r="G1375" s="23" t="s">
        <v>123</v>
      </c>
      <c r="H1375" s="24">
        <v>46115</v>
      </c>
      <c r="I1375" s="24">
        <v>46115</v>
      </c>
      <c r="J1375" s="23" t="s">
        <v>978</v>
      </c>
      <c r="K1375" s="23" t="s">
        <v>978</v>
      </c>
      <c r="L1375" s="23">
        <v>1</v>
      </c>
      <c r="M1375" s="23" t="s">
        <v>78</v>
      </c>
      <c r="N1375" s="23" t="s">
        <v>78</v>
      </c>
      <c r="O1375" s="23">
        <v>0.01</v>
      </c>
      <c r="P1375" s="23" t="s">
        <v>79</v>
      </c>
      <c r="Q1375" s="23" t="s">
        <v>83</v>
      </c>
      <c r="R1375" s="23">
        <v>11100008</v>
      </c>
      <c r="S1375" s="24">
        <v>46126</v>
      </c>
      <c r="T1375" s="24">
        <v>46042</v>
      </c>
      <c r="U1375" s="24" t="s">
        <v>80</v>
      </c>
      <c r="X1375" s="24">
        <v>46038</v>
      </c>
      <c r="Y1375" s="23">
        <v>1111</v>
      </c>
      <c r="Z1375" s="23">
        <v>11400124</v>
      </c>
      <c r="AA1375" s="23">
        <v>3958</v>
      </c>
      <c r="AB1375" s="24">
        <v>47118</v>
      </c>
    </row>
    <row r="1376" spans="2:28" x14ac:dyDescent="0.2">
      <c r="C1376" s="23">
        <v>1100574186</v>
      </c>
      <c r="E1376" s="23">
        <v>30</v>
      </c>
      <c r="F1376" s="23" t="s">
        <v>96</v>
      </c>
      <c r="G1376" s="23" t="s">
        <v>97</v>
      </c>
      <c r="H1376" s="24">
        <v>46115</v>
      </c>
      <c r="I1376" s="24">
        <v>46115</v>
      </c>
      <c r="J1376" s="23" t="s">
        <v>978</v>
      </c>
      <c r="K1376" s="23" t="s">
        <v>978</v>
      </c>
      <c r="L1376" s="23">
        <v>1</v>
      </c>
      <c r="M1376" s="23" t="s">
        <v>78</v>
      </c>
      <c r="N1376" s="23" t="s">
        <v>78</v>
      </c>
      <c r="O1376" s="23">
        <v>0.01</v>
      </c>
      <c r="P1376" s="23" t="s">
        <v>79</v>
      </c>
      <c r="Q1376" s="23" t="s">
        <v>83</v>
      </c>
      <c r="R1376" s="23">
        <v>11100008</v>
      </c>
      <c r="S1376" s="24">
        <v>46126</v>
      </c>
      <c r="T1376" s="24">
        <v>46042</v>
      </c>
      <c r="U1376" s="24" t="s">
        <v>80</v>
      </c>
      <c r="X1376" s="24">
        <v>46038</v>
      </c>
      <c r="Y1376" s="23">
        <v>1111</v>
      </c>
      <c r="Z1376" s="23">
        <v>11400124</v>
      </c>
      <c r="AA1376" s="23">
        <v>3958</v>
      </c>
      <c r="AB1376" s="24">
        <v>47118</v>
      </c>
    </row>
    <row r="1377" spans="2:28" x14ac:dyDescent="0.2">
      <c r="B1377" s="23" t="s">
        <v>81</v>
      </c>
      <c r="C1377" s="23">
        <v>1100574186</v>
      </c>
      <c r="H1377" s="24">
        <v>46115</v>
      </c>
      <c r="O1377" s="23">
        <v>6707.02</v>
      </c>
      <c r="P1377" s="23" t="s">
        <v>79</v>
      </c>
    </row>
    <row r="1378" spans="2:28" x14ac:dyDescent="0.2">
      <c r="C1378" s="23">
        <v>1100574226</v>
      </c>
      <c r="E1378" s="23">
        <v>10</v>
      </c>
      <c r="F1378" s="23" t="s">
        <v>3301</v>
      </c>
      <c r="G1378" s="23" t="s">
        <v>3302</v>
      </c>
      <c r="H1378" s="24">
        <v>46115</v>
      </c>
      <c r="I1378" s="24">
        <v>46115</v>
      </c>
      <c r="J1378" s="23" t="s">
        <v>3063</v>
      </c>
      <c r="K1378" s="23" t="s">
        <v>3063</v>
      </c>
      <c r="L1378" s="23">
        <v>1</v>
      </c>
      <c r="M1378" s="23" t="s">
        <v>78</v>
      </c>
      <c r="N1378" s="23" t="s">
        <v>78</v>
      </c>
      <c r="O1378" s="23">
        <v>1079.44</v>
      </c>
      <c r="P1378" s="23" t="s">
        <v>79</v>
      </c>
      <c r="Q1378" s="23" t="s">
        <v>83</v>
      </c>
      <c r="R1378" s="23">
        <v>11100176</v>
      </c>
      <c r="S1378" s="24">
        <v>46115</v>
      </c>
      <c r="T1378" s="24">
        <v>46042</v>
      </c>
      <c r="U1378" s="24" t="s">
        <v>80</v>
      </c>
      <c r="X1378" s="24">
        <v>45996</v>
      </c>
      <c r="Y1378" s="23">
        <v>1111</v>
      </c>
      <c r="Z1378" s="23">
        <v>11100320</v>
      </c>
      <c r="AA1378" s="23">
        <v>3951</v>
      </c>
      <c r="AB1378" s="24">
        <v>46036</v>
      </c>
    </row>
    <row r="1379" spans="2:28" x14ac:dyDescent="0.2">
      <c r="C1379" s="23">
        <v>1100574226</v>
      </c>
      <c r="E1379" s="23">
        <v>20</v>
      </c>
      <c r="F1379" s="23" t="s">
        <v>82</v>
      </c>
      <c r="G1379" s="23" t="s">
        <v>139</v>
      </c>
      <c r="H1379" s="24">
        <v>46115</v>
      </c>
      <c r="I1379" s="24">
        <v>46115</v>
      </c>
      <c r="J1379" s="23" t="s">
        <v>3063</v>
      </c>
      <c r="K1379" s="23" t="s">
        <v>3063</v>
      </c>
      <c r="L1379" s="23">
        <v>1</v>
      </c>
      <c r="M1379" s="23" t="s">
        <v>78</v>
      </c>
      <c r="N1379" s="23" t="s">
        <v>78</v>
      </c>
      <c r="O1379" s="23">
        <v>0.01</v>
      </c>
      <c r="P1379" s="23" t="s">
        <v>79</v>
      </c>
      <c r="Q1379" s="23" t="s">
        <v>83</v>
      </c>
      <c r="R1379" s="23">
        <v>11100176</v>
      </c>
      <c r="S1379" s="24">
        <v>46115</v>
      </c>
      <c r="T1379" s="24">
        <v>46042</v>
      </c>
      <c r="U1379" s="24" t="s">
        <v>80</v>
      </c>
      <c r="X1379" s="24">
        <v>45996</v>
      </c>
      <c r="Y1379" s="23">
        <v>1111</v>
      </c>
      <c r="Z1379" s="23">
        <v>11100320</v>
      </c>
      <c r="AA1379" s="23">
        <v>3951</v>
      </c>
      <c r="AB1379" s="24">
        <v>46036</v>
      </c>
    </row>
    <row r="1380" spans="2:28" x14ac:dyDescent="0.2">
      <c r="B1380" s="23" t="s">
        <v>81</v>
      </c>
      <c r="C1380" s="23">
        <v>1100574226</v>
      </c>
      <c r="H1380" s="24">
        <v>46115</v>
      </c>
      <c r="O1380" s="23">
        <v>1079.45</v>
      </c>
      <c r="P1380" s="23" t="s">
        <v>79</v>
      </c>
    </row>
    <row r="1381" spans="2:28" x14ac:dyDescent="0.2">
      <c r="C1381" s="23">
        <v>1100574655</v>
      </c>
      <c r="E1381" s="23">
        <v>10</v>
      </c>
      <c r="F1381" s="23" t="s">
        <v>3303</v>
      </c>
      <c r="G1381" s="23" t="s">
        <v>3304</v>
      </c>
      <c r="H1381" s="24">
        <v>46115</v>
      </c>
      <c r="I1381" s="24">
        <v>46115</v>
      </c>
      <c r="J1381" s="23" t="s">
        <v>668</v>
      </c>
      <c r="K1381" s="23" t="s">
        <v>668</v>
      </c>
      <c r="L1381" s="23">
        <v>2</v>
      </c>
      <c r="M1381" s="23" t="s">
        <v>78</v>
      </c>
      <c r="N1381" s="23" t="s">
        <v>78</v>
      </c>
      <c r="O1381" s="23">
        <v>1043.8599999999999</v>
      </c>
      <c r="P1381" s="23" t="s">
        <v>79</v>
      </c>
      <c r="Q1381" s="23" t="s">
        <v>83</v>
      </c>
      <c r="R1381" s="23">
        <v>11100176</v>
      </c>
      <c r="S1381" s="24">
        <v>46115</v>
      </c>
      <c r="T1381" s="24">
        <v>46045</v>
      </c>
      <c r="U1381" s="24" t="s">
        <v>80</v>
      </c>
      <c r="X1381" s="24">
        <v>46044</v>
      </c>
      <c r="Y1381" s="23">
        <v>1111</v>
      </c>
      <c r="Z1381" s="23">
        <v>11400811</v>
      </c>
      <c r="AA1381" s="23">
        <v>3351</v>
      </c>
      <c r="AB1381" s="24">
        <v>46044</v>
      </c>
    </row>
    <row r="1382" spans="2:28" x14ac:dyDescent="0.2">
      <c r="C1382" s="23">
        <v>1100574655</v>
      </c>
      <c r="E1382" s="23">
        <v>20</v>
      </c>
      <c r="F1382" s="23" t="s">
        <v>82</v>
      </c>
      <c r="G1382" s="23" t="s">
        <v>139</v>
      </c>
      <c r="H1382" s="24">
        <v>46115</v>
      </c>
      <c r="I1382" s="24">
        <v>46115</v>
      </c>
      <c r="J1382" s="23" t="s">
        <v>668</v>
      </c>
      <c r="K1382" s="23" t="s">
        <v>668</v>
      </c>
      <c r="L1382" s="23">
        <v>1</v>
      </c>
      <c r="M1382" s="23" t="s">
        <v>78</v>
      </c>
      <c r="N1382" s="23" t="s">
        <v>78</v>
      </c>
      <c r="O1382" s="23">
        <v>0.01</v>
      </c>
      <c r="P1382" s="23" t="s">
        <v>79</v>
      </c>
      <c r="Q1382" s="23" t="s">
        <v>83</v>
      </c>
      <c r="R1382" s="23">
        <v>11100176</v>
      </c>
      <c r="S1382" s="24" t="s">
        <v>80</v>
      </c>
      <c r="T1382" s="24">
        <v>46045</v>
      </c>
      <c r="U1382" s="24" t="s">
        <v>80</v>
      </c>
      <c r="X1382" s="24">
        <v>46044</v>
      </c>
      <c r="Y1382" s="23">
        <v>1111</v>
      </c>
      <c r="Z1382" s="23">
        <v>11400811</v>
      </c>
      <c r="AA1382" s="23">
        <v>3351</v>
      </c>
      <c r="AB1382" s="24">
        <v>46044</v>
      </c>
    </row>
    <row r="1383" spans="2:28" x14ac:dyDescent="0.2">
      <c r="B1383" s="23" t="s">
        <v>81</v>
      </c>
      <c r="C1383" s="23">
        <v>1100574655</v>
      </c>
      <c r="H1383" s="24">
        <v>46115</v>
      </c>
      <c r="O1383" s="23">
        <v>1043.8699999999999</v>
      </c>
      <c r="P1383" s="23" t="s">
        <v>79</v>
      </c>
    </row>
    <row r="1384" spans="2:28" x14ac:dyDescent="0.2">
      <c r="C1384" s="23">
        <v>1100574689</v>
      </c>
      <c r="E1384" s="23">
        <v>10</v>
      </c>
      <c r="F1384" s="23" t="s">
        <v>1864</v>
      </c>
      <c r="G1384" s="23" t="s">
        <v>1865</v>
      </c>
      <c r="H1384" s="24">
        <v>46115</v>
      </c>
      <c r="I1384" s="24">
        <v>46115</v>
      </c>
      <c r="J1384" s="23" t="s">
        <v>1401</v>
      </c>
      <c r="K1384" s="23" t="s">
        <v>1401</v>
      </c>
      <c r="L1384" s="23">
        <v>1</v>
      </c>
      <c r="M1384" s="23" t="s">
        <v>78</v>
      </c>
      <c r="N1384" s="23" t="s">
        <v>78</v>
      </c>
      <c r="O1384" s="23">
        <v>2957.39</v>
      </c>
      <c r="P1384" s="23" t="s">
        <v>79</v>
      </c>
      <c r="Q1384" s="23" t="s">
        <v>83</v>
      </c>
      <c r="R1384" s="23">
        <v>11100176</v>
      </c>
      <c r="S1384" s="24">
        <v>46115</v>
      </c>
      <c r="T1384" s="24">
        <v>46045</v>
      </c>
      <c r="U1384" s="24" t="s">
        <v>80</v>
      </c>
      <c r="X1384" s="24">
        <v>46044</v>
      </c>
      <c r="Y1384" s="23">
        <v>1111</v>
      </c>
      <c r="Z1384" s="23">
        <v>11400606</v>
      </c>
      <c r="AA1384" s="23">
        <v>3351</v>
      </c>
      <c r="AB1384" s="24">
        <v>46044</v>
      </c>
    </row>
    <row r="1385" spans="2:28" x14ac:dyDescent="0.2">
      <c r="B1385" s="23" t="s">
        <v>81</v>
      </c>
      <c r="C1385" s="23">
        <v>1100574689</v>
      </c>
      <c r="H1385" s="24">
        <v>46115</v>
      </c>
      <c r="O1385" s="23">
        <v>2957.39</v>
      </c>
      <c r="P1385" s="23" t="s">
        <v>79</v>
      </c>
    </row>
    <row r="1386" spans="2:28" x14ac:dyDescent="0.2">
      <c r="C1386" s="23">
        <v>1100574770</v>
      </c>
      <c r="E1386" s="23">
        <v>10</v>
      </c>
      <c r="F1386" s="23" t="s">
        <v>229</v>
      </c>
      <c r="G1386" s="23" t="s">
        <v>230</v>
      </c>
      <c r="H1386" s="24">
        <v>46115</v>
      </c>
      <c r="I1386" s="24">
        <v>46115</v>
      </c>
      <c r="J1386" s="23" t="s">
        <v>1401</v>
      </c>
      <c r="K1386" s="23" t="s">
        <v>1401</v>
      </c>
      <c r="L1386" s="23">
        <v>1</v>
      </c>
      <c r="M1386" s="23" t="s">
        <v>78</v>
      </c>
      <c r="N1386" s="23" t="s">
        <v>78</v>
      </c>
      <c r="O1386" s="23">
        <v>1605.1</v>
      </c>
      <c r="P1386" s="23" t="s">
        <v>79</v>
      </c>
      <c r="Q1386" s="23" t="s">
        <v>83</v>
      </c>
      <c r="R1386" s="23">
        <v>11100176</v>
      </c>
      <c r="S1386" s="24">
        <v>46115</v>
      </c>
      <c r="T1386" s="24">
        <v>46046</v>
      </c>
      <c r="U1386" s="24" t="s">
        <v>80</v>
      </c>
      <c r="X1386" s="24">
        <v>46045</v>
      </c>
      <c r="Y1386" s="23">
        <v>1111</v>
      </c>
      <c r="Z1386" s="23">
        <v>11400606</v>
      </c>
      <c r="AA1386" s="23">
        <v>3351</v>
      </c>
      <c r="AB1386" s="24">
        <v>46045</v>
      </c>
    </row>
    <row r="1387" spans="2:28" x14ac:dyDescent="0.2">
      <c r="B1387" s="23" t="s">
        <v>81</v>
      </c>
      <c r="C1387" s="23">
        <v>1100574770</v>
      </c>
      <c r="H1387" s="24">
        <v>46115</v>
      </c>
      <c r="O1387" s="23">
        <v>1605.1</v>
      </c>
      <c r="P1387" s="23" t="s">
        <v>79</v>
      </c>
    </row>
    <row r="1388" spans="2:28" x14ac:dyDescent="0.2">
      <c r="C1388" s="23">
        <v>1100575564</v>
      </c>
      <c r="E1388" s="23">
        <v>10</v>
      </c>
      <c r="F1388" s="23" t="s">
        <v>3305</v>
      </c>
      <c r="G1388" s="23" t="s">
        <v>3306</v>
      </c>
      <c r="H1388" s="24">
        <v>46115</v>
      </c>
      <c r="I1388" s="24">
        <v>46115</v>
      </c>
      <c r="J1388" s="23" t="s">
        <v>3307</v>
      </c>
      <c r="K1388" s="23" t="s">
        <v>3307</v>
      </c>
      <c r="L1388" s="23">
        <v>1</v>
      </c>
      <c r="M1388" s="23" t="s">
        <v>78</v>
      </c>
      <c r="N1388" s="23" t="s">
        <v>78</v>
      </c>
      <c r="O1388" s="23">
        <v>4533.58</v>
      </c>
      <c r="P1388" s="23" t="s">
        <v>79</v>
      </c>
      <c r="Q1388" s="23" t="s">
        <v>83</v>
      </c>
      <c r="R1388" s="23">
        <v>11100176</v>
      </c>
      <c r="S1388" s="24">
        <v>46115</v>
      </c>
      <c r="T1388" s="24">
        <v>46052</v>
      </c>
      <c r="U1388" s="24" t="s">
        <v>80</v>
      </c>
      <c r="X1388" s="24">
        <v>46031</v>
      </c>
      <c r="Y1388" s="23">
        <v>1111</v>
      </c>
      <c r="Z1388" s="23">
        <v>11400704</v>
      </c>
      <c r="AA1388" s="23">
        <v>3951</v>
      </c>
      <c r="AB1388" s="24">
        <v>46028</v>
      </c>
    </row>
    <row r="1389" spans="2:28" x14ac:dyDescent="0.2">
      <c r="C1389" s="23">
        <v>1100575564</v>
      </c>
      <c r="E1389" s="23">
        <v>20</v>
      </c>
      <c r="F1389" s="23" t="s">
        <v>84</v>
      </c>
      <c r="G1389" s="23" t="s">
        <v>123</v>
      </c>
      <c r="H1389" s="24">
        <v>46115</v>
      </c>
      <c r="I1389" s="24">
        <v>46115</v>
      </c>
      <c r="J1389" s="23" t="s">
        <v>3307</v>
      </c>
      <c r="K1389" s="23" t="s">
        <v>3307</v>
      </c>
      <c r="L1389" s="23">
        <v>1</v>
      </c>
      <c r="M1389" s="23" t="s">
        <v>78</v>
      </c>
      <c r="N1389" s="23" t="s">
        <v>78</v>
      </c>
      <c r="O1389" s="23">
        <v>0.01</v>
      </c>
      <c r="P1389" s="23" t="s">
        <v>79</v>
      </c>
      <c r="Q1389" s="23" t="s">
        <v>83</v>
      </c>
      <c r="R1389" s="23">
        <v>11100176</v>
      </c>
      <c r="S1389" s="24" t="s">
        <v>80</v>
      </c>
      <c r="T1389" s="24">
        <v>46052</v>
      </c>
      <c r="U1389" s="24" t="s">
        <v>80</v>
      </c>
      <c r="X1389" s="24">
        <v>46031</v>
      </c>
      <c r="Y1389" s="23">
        <v>1111</v>
      </c>
      <c r="Z1389" s="23">
        <v>11400704</v>
      </c>
      <c r="AA1389" s="23">
        <v>3951</v>
      </c>
      <c r="AB1389" s="24">
        <v>46028</v>
      </c>
    </row>
    <row r="1390" spans="2:28" x14ac:dyDescent="0.2">
      <c r="B1390" s="23" t="s">
        <v>81</v>
      </c>
      <c r="C1390" s="23">
        <v>1100575564</v>
      </c>
      <c r="H1390" s="24">
        <v>46115</v>
      </c>
      <c r="O1390" s="23">
        <v>4533.59</v>
      </c>
      <c r="P1390" s="23" t="s">
        <v>79</v>
      </c>
    </row>
    <row r="1391" spans="2:28" x14ac:dyDescent="0.2">
      <c r="C1391" s="23">
        <v>1100575623</v>
      </c>
      <c r="E1391" s="23">
        <v>10</v>
      </c>
      <c r="F1391" s="23" t="s">
        <v>3308</v>
      </c>
      <c r="G1391" s="23" t="s">
        <v>3309</v>
      </c>
      <c r="H1391" s="24">
        <v>46115</v>
      </c>
      <c r="I1391" s="24">
        <v>46115</v>
      </c>
      <c r="J1391" s="23" t="s">
        <v>1401</v>
      </c>
      <c r="K1391" s="23" t="s">
        <v>1401</v>
      </c>
      <c r="L1391" s="23">
        <v>5</v>
      </c>
      <c r="M1391" s="23" t="s">
        <v>78</v>
      </c>
      <c r="N1391" s="23" t="s">
        <v>78</v>
      </c>
      <c r="O1391" s="23">
        <v>3249.27</v>
      </c>
      <c r="P1391" s="23" t="s">
        <v>79</v>
      </c>
      <c r="Q1391" s="23" t="s">
        <v>83</v>
      </c>
      <c r="R1391" s="23">
        <v>11100176</v>
      </c>
      <c r="S1391" s="24">
        <v>46115</v>
      </c>
      <c r="T1391" s="24">
        <v>46055</v>
      </c>
      <c r="U1391" s="24" t="s">
        <v>80</v>
      </c>
      <c r="X1391" s="24">
        <v>46055</v>
      </c>
      <c r="Y1391" s="23">
        <v>1111</v>
      </c>
      <c r="Z1391" s="23">
        <v>11100137</v>
      </c>
      <c r="AA1391" s="23">
        <v>3351</v>
      </c>
      <c r="AB1391" s="24">
        <v>46055</v>
      </c>
    </row>
    <row r="1392" spans="2:28" x14ac:dyDescent="0.2">
      <c r="C1392" s="23">
        <v>1100575623</v>
      </c>
      <c r="E1392" s="23">
        <v>20</v>
      </c>
      <c r="F1392" s="23" t="s">
        <v>394</v>
      </c>
      <c r="G1392" s="23" t="s">
        <v>395</v>
      </c>
      <c r="H1392" s="24">
        <v>46115</v>
      </c>
      <c r="I1392" s="24">
        <v>46115</v>
      </c>
      <c r="J1392" s="23" t="s">
        <v>1401</v>
      </c>
      <c r="K1392" s="23" t="s">
        <v>1401</v>
      </c>
      <c r="L1392" s="23">
        <v>5</v>
      </c>
      <c r="M1392" s="23" t="s">
        <v>78</v>
      </c>
      <c r="N1392" s="23" t="s">
        <v>78</v>
      </c>
      <c r="O1392" s="23">
        <v>3361.23</v>
      </c>
      <c r="P1392" s="23" t="s">
        <v>79</v>
      </c>
      <c r="Q1392" s="23" t="s">
        <v>83</v>
      </c>
      <c r="R1392" s="23">
        <v>11100176</v>
      </c>
      <c r="S1392" s="24">
        <v>46115</v>
      </c>
      <c r="T1392" s="24">
        <v>46055</v>
      </c>
      <c r="U1392" s="24" t="s">
        <v>80</v>
      </c>
      <c r="X1392" s="24">
        <v>46055</v>
      </c>
      <c r="Y1392" s="23">
        <v>1111</v>
      </c>
      <c r="Z1392" s="23">
        <v>11100137</v>
      </c>
      <c r="AA1392" s="23">
        <v>3351</v>
      </c>
      <c r="AB1392" s="24">
        <v>46055</v>
      </c>
    </row>
    <row r="1393" spans="2:28" x14ac:dyDescent="0.2">
      <c r="C1393" s="23">
        <v>1100575623</v>
      </c>
      <c r="E1393" s="23">
        <v>30</v>
      </c>
      <c r="F1393" s="23" t="s">
        <v>3308</v>
      </c>
      <c r="G1393" s="23" t="s">
        <v>3309</v>
      </c>
      <c r="H1393" s="24">
        <v>46115</v>
      </c>
      <c r="I1393" s="24">
        <v>46122</v>
      </c>
      <c r="J1393" s="23" t="s">
        <v>1401</v>
      </c>
      <c r="K1393" s="23" t="s">
        <v>1401</v>
      </c>
      <c r="L1393" s="23">
        <v>5</v>
      </c>
      <c r="M1393" s="23" t="s">
        <v>78</v>
      </c>
      <c r="N1393" s="23" t="s">
        <v>78</v>
      </c>
      <c r="O1393" s="23">
        <v>3249.27</v>
      </c>
      <c r="P1393" s="23" t="s">
        <v>79</v>
      </c>
      <c r="Q1393" s="23" t="s">
        <v>83</v>
      </c>
      <c r="R1393" s="23">
        <v>11100176</v>
      </c>
      <c r="S1393" s="24">
        <v>46122</v>
      </c>
      <c r="T1393" s="24">
        <v>46055</v>
      </c>
      <c r="U1393" s="24" t="s">
        <v>80</v>
      </c>
      <c r="X1393" s="24">
        <v>46055</v>
      </c>
      <c r="Y1393" s="23">
        <v>1111</v>
      </c>
      <c r="Z1393" s="23">
        <v>11100137</v>
      </c>
      <c r="AA1393" s="23">
        <v>3351</v>
      </c>
      <c r="AB1393" s="24">
        <v>46055</v>
      </c>
    </row>
    <row r="1394" spans="2:28" x14ac:dyDescent="0.2">
      <c r="C1394" s="23">
        <v>1100575623</v>
      </c>
      <c r="E1394" s="23">
        <v>40</v>
      </c>
      <c r="F1394" s="23" t="s">
        <v>3308</v>
      </c>
      <c r="G1394" s="23" t="s">
        <v>3309</v>
      </c>
      <c r="H1394" s="24">
        <v>46115</v>
      </c>
      <c r="I1394" s="24">
        <v>46129</v>
      </c>
      <c r="J1394" s="23" t="s">
        <v>1401</v>
      </c>
      <c r="K1394" s="23" t="s">
        <v>1401</v>
      </c>
      <c r="L1394" s="23">
        <v>5</v>
      </c>
      <c r="M1394" s="23" t="s">
        <v>78</v>
      </c>
      <c r="N1394" s="23" t="s">
        <v>78</v>
      </c>
      <c r="O1394" s="23">
        <v>3249.27</v>
      </c>
      <c r="P1394" s="23" t="s">
        <v>79</v>
      </c>
      <c r="Q1394" s="23" t="s">
        <v>83</v>
      </c>
      <c r="R1394" s="23">
        <v>11100176</v>
      </c>
      <c r="S1394" s="24">
        <v>46129</v>
      </c>
      <c r="T1394" s="24">
        <v>46055</v>
      </c>
      <c r="U1394" s="24" t="s">
        <v>80</v>
      </c>
      <c r="X1394" s="24">
        <v>46055</v>
      </c>
      <c r="Y1394" s="23">
        <v>1111</v>
      </c>
      <c r="Z1394" s="23">
        <v>11100137</v>
      </c>
      <c r="AA1394" s="23">
        <v>3351</v>
      </c>
      <c r="AB1394" s="24">
        <v>46055</v>
      </c>
    </row>
    <row r="1395" spans="2:28" x14ac:dyDescent="0.2">
      <c r="C1395" s="23">
        <v>1100575623</v>
      </c>
      <c r="E1395" s="23">
        <v>50</v>
      </c>
      <c r="F1395" s="23" t="s">
        <v>3308</v>
      </c>
      <c r="G1395" s="23" t="s">
        <v>3309</v>
      </c>
      <c r="H1395" s="24">
        <v>46115</v>
      </c>
      <c r="I1395" s="24">
        <v>46136</v>
      </c>
      <c r="J1395" s="23" t="s">
        <v>1401</v>
      </c>
      <c r="K1395" s="23" t="s">
        <v>1401</v>
      </c>
      <c r="L1395" s="23">
        <v>5</v>
      </c>
      <c r="M1395" s="23" t="s">
        <v>78</v>
      </c>
      <c r="N1395" s="23" t="s">
        <v>78</v>
      </c>
      <c r="O1395" s="23">
        <v>3249.27</v>
      </c>
      <c r="P1395" s="23" t="s">
        <v>79</v>
      </c>
      <c r="Q1395" s="23" t="s">
        <v>83</v>
      </c>
      <c r="R1395" s="23">
        <v>11100176</v>
      </c>
      <c r="S1395" s="24">
        <v>46136</v>
      </c>
      <c r="T1395" s="24">
        <v>46055</v>
      </c>
      <c r="U1395" s="24" t="s">
        <v>80</v>
      </c>
      <c r="X1395" s="24">
        <v>46055</v>
      </c>
      <c r="Y1395" s="23">
        <v>1111</v>
      </c>
      <c r="Z1395" s="23">
        <v>11100137</v>
      </c>
      <c r="AA1395" s="23">
        <v>3351</v>
      </c>
      <c r="AB1395" s="24">
        <v>46055</v>
      </c>
    </row>
    <row r="1396" spans="2:28" x14ac:dyDescent="0.2">
      <c r="C1396" s="23">
        <v>1100575623</v>
      </c>
      <c r="E1396" s="23">
        <v>60</v>
      </c>
      <c r="F1396" s="23" t="s">
        <v>394</v>
      </c>
      <c r="G1396" s="23" t="s">
        <v>395</v>
      </c>
      <c r="H1396" s="24">
        <v>46115</v>
      </c>
      <c r="I1396" s="24">
        <v>46122</v>
      </c>
      <c r="J1396" s="23" t="s">
        <v>1401</v>
      </c>
      <c r="K1396" s="23" t="s">
        <v>1401</v>
      </c>
      <c r="L1396" s="23">
        <v>5</v>
      </c>
      <c r="M1396" s="23" t="s">
        <v>78</v>
      </c>
      <c r="N1396" s="23" t="s">
        <v>78</v>
      </c>
      <c r="O1396" s="23">
        <v>3361.23</v>
      </c>
      <c r="P1396" s="23" t="s">
        <v>79</v>
      </c>
      <c r="Q1396" s="23" t="s">
        <v>83</v>
      </c>
      <c r="R1396" s="23">
        <v>11100176</v>
      </c>
      <c r="S1396" s="24">
        <v>46122</v>
      </c>
      <c r="T1396" s="24">
        <v>46055</v>
      </c>
      <c r="U1396" s="24" t="s">
        <v>80</v>
      </c>
      <c r="X1396" s="24">
        <v>46055</v>
      </c>
      <c r="Y1396" s="23">
        <v>1111</v>
      </c>
      <c r="Z1396" s="23">
        <v>11100137</v>
      </c>
      <c r="AA1396" s="23">
        <v>3351</v>
      </c>
      <c r="AB1396" s="24">
        <v>46055</v>
      </c>
    </row>
    <row r="1397" spans="2:28" x14ac:dyDescent="0.2">
      <c r="C1397" s="23">
        <v>1100575623</v>
      </c>
      <c r="E1397" s="23">
        <v>70</v>
      </c>
      <c r="F1397" s="23" t="s">
        <v>394</v>
      </c>
      <c r="G1397" s="23" t="s">
        <v>395</v>
      </c>
      <c r="H1397" s="24">
        <v>46115</v>
      </c>
      <c r="I1397" s="24">
        <v>46129</v>
      </c>
      <c r="J1397" s="23" t="s">
        <v>1401</v>
      </c>
      <c r="K1397" s="23" t="s">
        <v>1401</v>
      </c>
      <c r="L1397" s="23">
        <v>5</v>
      </c>
      <c r="M1397" s="23" t="s">
        <v>78</v>
      </c>
      <c r="N1397" s="23" t="s">
        <v>78</v>
      </c>
      <c r="O1397" s="23">
        <v>3361.23</v>
      </c>
      <c r="P1397" s="23" t="s">
        <v>79</v>
      </c>
      <c r="Q1397" s="23" t="s">
        <v>83</v>
      </c>
      <c r="R1397" s="23">
        <v>11100176</v>
      </c>
      <c r="S1397" s="24">
        <v>46129</v>
      </c>
      <c r="T1397" s="24">
        <v>46055</v>
      </c>
      <c r="U1397" s="24" t="s">
        <v>80</v>
      </c>
      <c r="X1397" s="24">
        <v>46055</v>
      </c>
      <c r="Y1397" s="23">
        <v>1111</v>
      </c>
      <c r="Z1397" s="23">
        <v>11100137</v>
      </c>
      <c r="AA1397" s="23">
        <v>3351</v>
      </c>
      <c r="AB1397" s="24">
        <v>46055</v>
      </c>
    </row>
    <row r="1398" spans="2:28" x14ac:dyDescent="0.2">
      <c r="C1398" s="23">
        <v>1100575623</v>
      </c>
      <c r="E1398" s="23">
        <v>80</v>
      </c>
      <c r="F1398" s="23" t="s">
        <v>394</v>
      </c>
      <c r="G1398" s="23" t="s">
        <v>395</v>
      </c>
      <c r="H1398" s="24">
        <v>46115</v>
      </c>
      <c r="I1398" s="24">
        <v>46136</v>
      </c>
      <c r="J1398" s="23" t="s">
        <v>1401</v>
      </c>
      <c r="K1398" s="23" t="s">
        <v>1401</v>
      </c>
      <c r="L1398" s="23">
        <v>5</v>
      </c>
      <c r="M1398" s="23" t="s">
        <v>78</v>
      </c>
      <c r="N1398" s="23" t="s">
        <v>78</v>
      </c>
      <c r="O1398" s="23">
        <v>3361.23</v>
      </c>
      <c r="P1398" s="23" t="s">
        <v>79</v>
      </c>
      <c r="Q1398" s="23" t="s">
        <v>83</v>
      </c>
      <c r="R1398" s="23">
        <v>11100176</v>
      </c>
      <c r="S1398" s="24">
        <v>46136</v>
      </c>
      <c r="T1398" s="24">
        <v>46055</v>
      </c>
      <c r="U1398" s="24" t="s">
        <v>80</v>
      </c>
      <c r="X1398" s="24">
        <v>46055</v>
      </c>
      <c r="Y1398" s="23">
        <v>1111</v>
      </c>
      <c r="Z1398" s="23">
        <v>11100137</v>
      </c>
      <c r="AA1398" s="23">
        <v>3351</v>
      </c>
      <c r="AB1398" s="24">
        <v>46055</v>
      </c>
    </row>
    <row r="1399" spans="2:28" x14ac:dyDescent="0.2">
      <c r="B1399" s="23" t="s">
        <v>81</v>
      </c>
      <c r="C1399" s="23">
        <v>1100575623</v>
      </c>
      <c r="H1399" s="24">
        <v>46115</v>
      </c>
      <c r="O1399" s="23">
        <v>26442</v>
      </c>
      <c r="P1399" s="23" t="s">
        <v>79</v>
      </c>
    </row>
    <row r="1400" spans="2:28" x14ac:dyDescent="0.2">
      <c r="C1400" s="23">
        <v>1100575917</v>
      </c>
      <c r="E1400" s="23">
        <v>10</v>
      </c>
      <c r="F1400" s="23" t="s">
        <v>2058</v>
      </c>
      <c r="G1400" s="23" t="s">
        <v>2059</v>
      </c>
      <c r="H1400" s="24">
        <v>46115</v>
      </c>
      <c r="I1400" s="24">
        <v>46115</v>
      </c>
      <c r="J1400" s="23" t="s">
        <v>3310</v>
      </c>
      <c r="K1400" s="23" t="s">
        <v>3310</v>
      </c>
      <c r="L1400" s="23">
        <v>1</v>
      </c>
      <c r="M1400" s="23" t="s">
        <v>78</v>
      </c>
      <c r="N1400" s="23" t="s">
        <v>78</v>
      </c>
      <c r="O1400" s="23">
        <v>1475</v>
      </c>
      <c r="P1400" s="23" t="s">
        <v>79</v>
      </c>
      <c r="Q1400" s="23" t="s">
        <v>83</v>
      </c>
      <c r="R1400" s="23">
        <v>11100176</v>
      </c>
      <c r="S1400" s="24">
        <v>46107</v>
      </c>
      <c r="T1400" s="24">
        <v>46057</v>
      </c>
      <c r="U1400" s="24">
        <v>47116</v>
      </c>
      <c r="X1400" s="24">
        <v>46056</v>
      </c>
      <c r="Y1400" s="23">
        <v>1111</v>
      </c>
      <c r="Z1400" s="23">
        <v>11100137</v>
      </c>
      <c r="AA1400" s="23">
        <v>5051</v>
      </c>
      <c r="AB1400" s="24">
        <v>46056</v>
      </c>
    </row>
    <row r="1401" spans="2:28" x14ac:dyDescent="0.2">
      <c r="B1401" s="23" t="s">
        <v>81</v>
      </c>
      <c r="C1401" s="23">
        <v>1100575917</v>
      </c>
      <c r="H1401" s="24">
        <v>46115</v>
      </c>
      <c r="O1401" s="23">
        <v>1475</v>
      </c>
      <c r="P1401" s="23" t="s">
        <v>79</v>
      </c>
    </row>
    <row r="1402" spans="2:28" x14ac:dyDescent="0.2">
      <c r="C1402" s="23">
        <v>1100575930</v>
      </c>
      <c r="E1402" s="23">
        <v>10</v>
      </c>
      <c r="F1402" s="23" t="s">
        <v>3311</v>
      </c>
      <c r="G1402" s="23" t="s">
        <v>3312</v>
      </c>
      <c r="H1402" s="24">
        <v>46115</v>
      </c>
      <c r="I1402" s="24">
        <v>46115</v>
      </c>
      <c r="J1402" s="23" t="s">
        <v>92</v>
      </c>
      <c r="K1402" s="23" t="s">
        <v>92</v>
      </c>
      <c r="L1402" s="23">
        <v>1</v>
      </c>
      <c r="M1402" s="23" t="s">
        <v>78</v>
      </c>
      <c r="N1402" s="23" t="s">
        <v>78</v>
      </c>
      <c r="O1402" s="23">
        <v>75.989999999999995</v>
      </c>
      <c r="P1402" s="23" t="s">
        <v>79</v>
      </c>
      <c r="Q1402" s="23" t="s">
        <v>83</v>
      </c>
      <c r="R1402" s="23">
        <v>11100176</v>
      </c>
      <c r="S1402" s="24">
        <v>46085</v>
      </c>
      <c r="T1402" s="24">
        <v>46057</v>
      </c>
      <c r="U1402" s="24">
        <v>47116</v>
      </c>
      <c r="X1402" s="24">
        <v>46056</v>
      </c>
      <c r="Y1402" s="23">
        <v>1111</v>
      </c>
      <c r="Z1402" s="23">
        <v>11400937</v>
      </c>
      <c r="AA1402" s="23">
        <v>525103</v>
      </c>
      <c r="AB1402" s="24">
        <v>46056</v>
      </c>
    </row>
    <row r="1403" spans="2:28" x14ac:dyDescent="0.2">
      <c r="B1403" s="23" t="s">
        <v>81</v>
      </c>
      <c r="C1403" s="23">
        <v>1100575930</v>
      </c>
      <c r="H1403" s="24">
        <v>46115</v>
      </c>
      <c r="O1403" s="23">
        <v>75.989999999999995</v>
      </c>
      <c r="P1403" s="23" t="s">
        <v>79</v>
      </c>
    </row>
    <row r="1404" spans="2:28" x14ac:dyDescent="0.2">
      <c r="C1404" s="23">
        <v>1100576067</v>
      </c>
      <c r="E1404" s="23">
        <v>10</v>
      </c>
      <c r="F1404" s="23" t="s">
        <v>3313</v>
      </c>
      <c r="G1404" s="23" t="s">
        <v>3314</v>
      </c>
      <c r="H1404" s="24">
        <v>46115</v>
      </c>
      <c r="I1404" s="24">
        <v>46115</v>
      </c>
      <c r="J1404" s="23" t="s">
        <v>3315</v>
      </c>
      <c r="K1404" s="23" t="s">
        <v>3315</v>
      </c>
      <c r="L1404" s="23">
        <v>3</v>
      </c>
      <c r="M1404" s="23" t="s">
        <v>78</v>
      </c>
      <c r="N1404" s="23" t="s">
        <v>78</v>
      </c>
      <c r="O1404" s="23">
        <v>3674.37</v>
      </c>
      <c r="P1404" s="23" t="s">
        <v>79</v>
      </c>
      <c r="Q1404" s="23" t="s">
        <v>83</v>
      </c>
      <c r="R1404" s="23">
        <v>11100176</v>
      </c>
      <c r="S1404" s="24">
        <v>46115</v>
      </c>
      <c r="T1404" s="24">
        <v>46058</v>
      </c>
      <c r="U1404" s="24">
        <v>47116</v>
      </c>
      <c r="X1404" s="24">
        <v>46056</v>
      </c>
      <c r="Y1404" s="23">
        <v>1111</v>
      </c>
      <c r="Z1404" s="23">
        <v>11400606</v>
      </c>
      <c r="AA1404" s="23">
        <v>335103</v>
      </c>
      <c r="AB1404" s="24">
        <v>46058</v>
      </c>
    </row>
    <row r="1405" spans="2:28" x14ac:dyDescent="0.2">
      <c r="C1405" s="23">
        <v>1100576067</v>
      </c>
      <c r="E1405" s="23">
        <v>20</v>
      </c>
      <c r="F1405" s="23" t="s">
        <v>3316</v>
      </c>
      <c r="G1405" s="23" t="s">
        <v>3317</v>
      </c>
      <c r="H1405" s="24">
        <v>46115</v>
      </c>
      <c r="I1405" s="24">
        <v>46115</v>
      </c>
      <c r="J1405" s="23" t="s">
        <v>3315</v>
      </c>
      <c r="K1405" s="23" t="s">
        <v>3315</v>
      </c>
      <c r="L1405" s="23">
        <v>3</v>
      </c>
      <c r="M1405" s="23" t="s">
        <v>78</v>
      </c>
      <c r="N1405" s="23" t="s">
        <v>78</v>
      </c>
      <c r="O1405" s="23">
        <v>3674.37</v>
      </c>
      <c r="P1405" s="23" t="s">
        <v>79</v>
      </c>
      <c r="Q1405" s="23" t="s">
        <v>83</v>
      </c>
      <c r="R1405" s="23">
        <v>11100176</v>
      </c>
      <c r="S1405" s="24">
        <v>46115</v>
      </c>
      <c r="T1405" s="24">
        <v>46058</v>
      </c>
      <c r="U1405" s="24">
        <v>47116</v>
      </c>
      <c r="X1405" s="24">
        <v>46056</v>
      </c>
      <c r="Y1405" s="23">
        <v>1111</v>
      </c>
      <c r="Z1405" s="23">
        <v>11400606</v>
      </c>
      <c r="AA1405" s="23">
        <v>335103</v>
      </c>
      <c r="AB1405" s="24">
        <v>46058</v>
      </c>
    </row>
    <row r="1406" spans="2:28" x14ac:dyDescent="0.2">
      <c r="B1406" s="23" t="s">
        <v>81</v>
      </c>
      <c r="C1406" s="23">
        <v>1100576067</v>
      </c>
      <c r="H1406" s="24">
        <v>46115</v>
      </c>
      <c r="O1406" s="23">
        <v>7348.74</v>
      </c>
      <c r="P1406" s="23" t="s">
        <v>79</v>
      </c>
    </row>
    <row r="1407" spans="2:28" x14ac:dyDescent="0.2">
      <c r="C1407" s="23">
        <v>1100576187</v>
      </c>
      <c r="E1407" s="23">
        <v>10</v>
      </c>
      <c r="F1407" s="23" t="s">
        <v>3318</v>
      </c>
      <c r="G1407" s="23" t="s">
        <v>3319</v>
      </c>
      <c r="H1407" s="24">
        <v>46115</v>
      </c>
      <c r="I1407" s="24">
        <v>46115</v>
      </c>
      <c r="J1407" s="23" t="s">
        <v>238</v>
      </c>
      <c r="K1407" s="23" t="s">
        <v>238</v>
      </c>
      <c r="L1407" s="23">
        <v>4</v>
      </c>
      <c r="M1407" s="23" t="s">
        <v>78</v>
      </c>
      <c r="N1407" s="23" t="s">
        <v>78</v>
      </c>
      <c r="O1407" s="23">
        <v>4418.2</v>
      </c>
      <c r="P1407" s="23" t="s">
        <v>79</v>
      </c>
      <c r="Q1407" s="23" t="s">
        <v>83</v>
      </c>
      <c r="R1407" s="23">
        <v>11100176</v>
      </c>
      <c r="S1407" s="24">
        <v>46115</v>
      </c>
      <c r="T1407" s="24">
        <v>46059</v>
      </c>
      <c r="U1407" s="24" t="s">
        <v>80</v>
      </c>
      <c r="X1407" s="24">
        <v>46058</v>
      </c>
      <c r="Y1407" s="23">
        <v>1111</v>
      </c>
      <c r="Z1407" s="23">
        <v>11100137</v>
      </c>
      <c r="AA1407" s="23">
        <v>3351</v>
      </c>
      <c r="AB1407" s="24">
        <v>46051</v>
      </c>
    </row>
    <row r="1408" spans="2:28" x14ac:dyDescent="0.2">
      <c r="C1408" s="23">
        <v>1100576187</v>
      </c>
      <c r="E1408" s="23">
        <v>20</v>
      </c>
      <c r="F1408" s="23" t="s">
        <v>82</v>
      </c>
      <c r="G1408" s="23" t="s">
        <v>139</v>
      </c>
      <c r="H1408" s="24">
        <v>46115</v>
      </c>
      <c r="I1408" s="24">
        <v>46115</v>
      </c>
      <c r="J1408" s="23" t="s">
        <v>238</v>
      </c>
      <c r="K1408" s="23" t="s">
        <v>238</v>
      </c>
      <c r="L1408" s="23">
        <v>1</v>
      </c>
      <c r="M1408" s="23" t="s">
        <v>78</v>
      </c>
      <c r="N1408" s="23" t="s">
        <v>78</v>
      </c>
      <c r="O1408" s="23">
        <v>0.01</v>
      </c>
      <c r="P1408" s="23" t="s">
        <v>79</v>
      </c>
      <c r="Q1408" s="23" t="s">
        <v>83</v>
      </c>
      <c r="R1408" s="23">
        <v>11100176</v>
      </c>
      <c r="S1408" s="24" t="s">
        <v>80</v>
      </c>
      <c r="T1408" s="24">
        <v>46059</v>
      </c>
      <c r="U1408" s="24" t="s">
        <v>80</v>
      </c>
      <c r="X1408" s="24">
        <v>46058</v>
      </c>
      <c r="Y1408" s="23">
        <v>1111</v>
      </c>
      <c r="Z1408" s="23">
        <v>11100137</v>
      </c>
      <c r="AA1408" s="23">
        <v>3351</v>
      </c>
      <c r="AB1408" s="24">
        <v>46051</v>
      </c>
    </row>
    <row r="1409" spans="2:28" x14ac:dyDescent="0.2">
      <c r="B1409" s="23" t="s">
        <v>81</v>
      </c>
      <c r="C1409" s="23">
        <v>1100576187</v>
      </c>
      <c r="H1409" s="24">
        <v>46115</v>
      </c>
      <c r="O1409" s="23">
        <v>4418.21</v>
      </c>
      <c r="P1409" s="23" t="s">
        <v>79</v>
      </c>
    </row>
    <row r="1410" spans="2:28" x14ac:dyDescent="0.2">
      <c r="C1410" s="23">
        <v>1100576234</v>
      </c>
      <c r="E1410" s="23">
        <v>10</v>
      </c>
      <c r="F1410" s="23" t="s">
        <v>3320</v>
      </c>
      <c r="G1410" s="23" t="s">
        <v>3321</v>
      </c>
      <c r="H1410" s="24">
        <v>46115</v>
      </c>
      <c r="I1410" s="24">
        <v>46115</v>
      </c>
      <c r="J1410" s="23" t="s">
        <v>664</v>
      </c>
      <c r="K1410" s="23" t="s">
        <v>664</v>
      </c>
      <c r="L1410" s="23">
        <v>1</v>
      </c>
      <c r="M1410" s="23" t="s">
        <v>78</v>
      </c>
      <c r="N1410" s="23" t="s">
        <v>78</v>
      </c>
      <c r="O1410" s="23">
        <v>2872.05</v>
      </c>
      <c r="P1410" s="23" t="s">
        <v>79</v>
      </c>
      <c r="Q1410" s="23" t="s">
        <v>83</v>
      </c>
      <c r="R1410" s="23">
        <v>11100176</v>
      </c>
      <c r="S1410" s="24">
        <v>46115</v>
      </c>
      <c r="T1410" s="24">
        <v>46062</v>
      </c>
      <c r="U1410" s="24" t="s">
        <v>80</v>
      </c>
      <c r="X1410" s="24">
        <v>46058</v>
      </c>
      <c r="Y1410" s="23">
        <v>1111</v>
      </c>
      <c r="Z1410" s="23">
        <v>11600003</v>
      </c>
      <c r="AA1410" s="23">
        <v>335103</v>
      </c>
      <c r="AB1410" s="24">
        <v>46055</v>
      </c>
    </row>
    <row r="1411" spans="2:28" x14ac:dyDescent="0.2">
      <c r="C1411" s="23">
        <v>1100576234</v>
      </c>
      <c r="E1411" s="23">
        <v>20</v>
      </c>
      <c r="F1411" s="23" t="s">
        <v>82</v>
      </c>
      <c r="G1411" s="23" t="s">
        <v>139</v>
      </c>
      <c r="H1411" s="24">
        <v>46115</v>
      </c>
      <c r="I1411" s="24">
        <v>46115</v>
      </c>
      <c r="J1411" s="23" t="s">
        <v>664</v>
      </c>
      <c r="K1411" s="23" t="s">
        <v>664</v>
      </c>
      <c r="L1411" s="23">
        <v>1</v>
      </c>
      <c r="M1411" s="23" t="s">
        <v>78</v>
      </c>
      <c r="N1411" s="23" t="s">
        <v>78</v>
      </c>
      <c r="O1411" s="23">
        <v>0.01</v>
      </c>
      <c r="P1411" s="23" t="s">
        <v>79</v>
      </c>
      <c r="Q1411" s="23" t="s">
        <v>83</v>
      </c>
      <c r="R1411" s="23">
        <v>11100176</v>
      </c>
      <c r="S1411" s="24">
        <v>46115</v>
      </c>
      <c r="T1411" s="24">
        <v>46062</v>
      </c>
      <c r="U1411" s="24" t="s">
        <v>80</v>
      </c>
      <c r="X1411" s="24">
        <v>46058</v>
      </c>
      <c r="Y1411" s="23">
        <v>1111</v>
      </c>
      <c r="Z1411" s="23">
        <v>11600003</v>
      </c>
      <c r="AA1411" s="23">
        <v>335103</v>
      </c>
      <c r="AB1411" s="24">
        <v>46055</v>
      </c>
    </row>
    <row r="1412" spans="2:28" x14ac:dyDescent="0.2">
      <c r="B1412" s="23" t="s">
        <v>81</v>
      </c>
      <c r="C1412" s="23">
        <v>1100576234</v>
      </c>
      <c r="H1412" s="24">
        <v>46115</v>
      </c>
      <c r="O1412" s="23">
        <v>2872.06</v>
      </c>
      <c r="P1412" s="23" t="s">
        <v>79</v>
      </c>
    </row>
    <row r="1413" spans="2:28" x14ac:dyDescent="0.2">
      <c r="C1413" s="23">
        <v>1100576704</v>
      </c>
      <c r="E1413" s="23">
        <v>10</v>
      </c>
      <c r="F1413" s="23" t="s">
        <v>3322</v>
      </c>
      <c r="G1413" s="23" t="s">
        <v>3323</v>
      </c>
      <c r="H1413" s="24">
        <v>46115</v>
      </c>
      <c r="I1413" s="24">
        <v>46115</v>
      </c>
      <c r="J1413" s="23" t="s">
        <v>2206</v>
      </c>
      <c r="K1413" s="23" t="s">
        <v>2206</v>
      </c>
      <c r="L1413" s="23">
        <v>4</v>
      </c>
      <c r="M1413" s="23" t="s">
        <v>78</v>
      </c>
      <c r="N1413" s="23" t="s">
        <v>78</v>
      </c>
      <c r="O1413" s="23">
        <v>2268.56</v>
      </c>
      <c r="P1413" s="23" t="s">
        <v>79</v>
      </c>
      <c r="Q1413" s="23" t="s">
        <v>83</v>
      </c>
      <c r="R1413" s="23">
        <v>11100176</v>
      </c>
      <c r="S1413" s="24">
        <v>46115</v>
      </c>
      <c r="T1413" s="24">
        <v>46065</v>
      </c>
      <c r="U1413" s="24" t="s">
        <v>80</v>
      </c>
      <c r="X1413" s="24">
        <v>46064</v>
      </c>
      <c r="Y1413" s="23">
        <v>1111</v>
      </c>
      <c r="Z1413" s="23">
        <v>11400797</v>
      </c>
      <c r="AA1413" s="23">
        <v>3951</v>
      </c>
      <c r="AB1413" s="24">
        <v>46063</v>
      </c>
    </row>
    <row r="1414" spans="2:28" x14ac:dyDescent="0.2">
      <c r="C1414" s="23">
        <v>1100576704</v>
      </c>
      <c r="E1414" s="23">
        <v>20</v>
      </c>
      <c r="F1414" s="23" t="s">
        <v>82</v>
      </c>
      <c r="G1414" s="23" t="s">
        <v>139</v>
      </c>
      <c r="H1414" s="24">
        <v>46115</v>
      </c>
      <c r="I1414" s="24">
        <v>46115</v>
      </c>
      <c r="J1414" s="23" t="s">
        <v>2206</v>
      </c>
      <c r="K1414" s="23" t="s">
        <v>2206</v>
      </c>
      <c r="L1414" s="23">
        <v>1</v>
      </c>
      <c r="M1414" s="23" t="s">
        <v>78</v>
      </c>
      <c r="N1414" s="23" t="s">
        <v>78</v>
      </c>
      <c r="O1414" s="23">
        <v>0.01</v>
      </c>
      <c r="P1414" s="23" t="s">
        <v>79</v>
      </c>
      <c r="Q1414" s="23" t="s">
        <v>83</v>
      </c>
      <c r="R1414" s="23">
        <v>11100176</v>
      </c>
      <c r="S1414" s="24" t="s">
        <v>80</v>
      </c>
      <c r="T1414" s="24">
        <v>46065</v>
      </c>
      <c r="U1414" s="24" t="s">
        <v>80</v>
      </c>
      <c r="X1414" s="24">
        <v>46064</v>
      </c>
      <c r="Y1414" s="23">
        <v>1111</v>
      </c>
      <c r="Z1414" s="23">
        <v>11400797</v>
      </c>
      <c r="AA1414" s="23">
        <v>3951</v>
      </c>
      <c r="AB1414" s="24">
        <v>46063</v>
      </c>
    </row>
    <row r="1415" spans="2:28" x14ac:dyDescent="0.2">
      <c r="B1415" s="23" t="s">
        <v>81</v>
      </c>
      <c r="C1415" s="23">
        <v>1100576704</v>
      </c>
      <c r="H1415" s="24">
        <v>46115</v>
      </c>
      <c r="O1415" s="23">
        <v>2268.5700000000002</v>
      </c>
      <c r="P1415" s="23" t="s">
        <v>79</v>
      </c>
    </row>
    <row r="1416" spans="2:28" x14ac:dyDescent="0.2">
      <c r="C1416" s="23">
        <v>1100576956</v>
      </c>
      <c r="E1416" s="23">
        <v>10</v>
      </c>
      <c r="F1416" s="23" t="s">
        <v>3324</v>
      </c>
      <c r="G1416" s="23" t="s">
        <v>3325</v>
      </c>
      <c r="H1416" s="24">
        <v>46115</v>
      </c>
      <c r="I1416" s="24">
        <v>46115</v>
      </c>
      <c r="J1416" s="23" t="s">
        <v>3326</v>
      </c>
      <c r="K1416" s="23" t="s">
        <v>3326</v>
      </c>
      <c r="L1416" s="23">
        <v>2</v>
      </c>
      <c r="M1416" s="23" t="s">
        <v>78</v>
      </c>
      <c r="N1416" s="23" t="s">
        <v>78</v>
      </c>
      <c r="O1416" s="23">
        <v>1017.8</v>
      </c>
      <c r="P1416" s="23" t="s">
        <v>79</v>
      </c>
      <c r="Q1416" s="23" t="s">
        <v>83</v>
      </c>
      <c r="R1416" s="23">
        <v>11100176</v>
      </c>
      <c r="S1416" s="24">
        <v>46115</v>
      </c>
      <c r="T1416" s="24">
        <v>46070</v>
      </c>
      <c r="U1416" s="24" t="s">
        <v>80</v>
      </c>
      <c r="X1416" s="24">
        <v>46065</v>
      </c>
      <c r="Y1416" s="23">
        <v>1111</v>
      </c>
      <c r="Z1416" s="23">
        <v>11100137</v>
      </c>
      <c r="AA1416" s="23">
        <v>3951</v>
      </c>
      <c r="AB1416" s="24">
        <v>46062</v>
      </c>
    </row>
    <row r="1417" spans="2:28" x14ac:dyDescent="0.2">
      <c r="B1417" s="23" t="s">
        <v>81</v>
      </c>
      <c r="C1417" s="23">
        <v>1100576956</v>
      </c>
      <c r="H1417" s="24">
        <v>46115</v>
      </c>
      <c r="O1417" s="23">
        <v>1017.8</v>
      </c>
      <c r="P1417" s="23" t="s">
        <v>79</v>
      </c>
    </row>
    <row r="1418" spans="2:28" x14ac:dyDescent="0.2">
      <c r="C1418" s="23">
        <v>1100577058</v>
      </c>
      <c r="E1418" s="23">
        <v>10</v>
      </c>
      <c r="F1418" s="23" t="s">
        <v>1067</v>
      </c>
      <c r="G1418" s="23" t="s">
        <v>1068</v>
      </c>
      <c r="H1418" s="24">
        <v>46115</v>
      </c>
      <c r="I1418" s="24">
        <v>46846</v>
      </c>
      <c r="J1418" s="23" t="s">
        <v>260</v>
      </c>
      <c r="K1418" s="23" t="s">
        <v>260</v>
      </c>
      <c r="L1418" s="23">
        <v>1</v>
      </c>
      <c r="M1418" s="23" t="s">
        <v>78</v>
      </c>
      <c r="N1418" s="23" t="s">
        <v>78</v>
      </c>
      <c r="O1418" s="23">
        <v>528.47</v>
      </c>
      <c r="P1418" s="23" t="s">
        <v>79</v>
      </c>
      <c r="Q1418" s="23" t="s">
        <v>83</v>
      </c>
      <c r="R1418" s="23">
        <v>11100176</v>
      </c>
      <c r="S1418" s="24">
        <v>46115</v>
      </c>
      <c r="T1418" s="24">
        <v>46071</v>
      </c>
      <c r="U1418" s="24" t="s">
        <v>80</v>
      </c>
      <c r="X1418" s="24">
        <v>46069</v>
      </c>
      <c r="Y1418" s="23">
        <v>1111</v>
      </c>
      <c r="Z1418" s="23">
        <v>11100137</v>
      </c>
      <c r="AA1418" s="23">
        <v>3151</v>
      </c>
      <c r="AB1418" s="24">
        <v>46065</v>
      </c>
    </row>
    <row r="1419" spans="2:28" x14ac:dyDescent="0.2">
      <c r="C1419" s="23">
        <v>1100577058</v>
      </c>
      <c r="E1419" s="23">
        <v>20</v>
      </c>
      <c r="F1419" s="23" t="s">
        <v>3327</v>
      </c>
      <c r="G1419" s="23" t="s">
        <v>3328</v>
      </c>
      <c r="H1419" s="24">
        <v>46115</v>
      </c>
      <c r="I1419" s="24">
        <v>46115</v>
      </c>
      <c r="J1419" s="23" t="s">
        <v>260</v>
      </c>
      <c r="K1419" s="23" t="s">
        <v>260</v>
      </c>
      <c r="L1419" s="23">
        <v>1</v>
      </c>
      <c r="M1419" s="23" t="s">
        <v>78</v>
      </c>
      <c r="N1419" s="23" t="s">
        <v>78</v>
      </c>
      <c r="O1419" s="23">
        <v>323.39999999999998</v>
      </c>
      <c r="P1419" s="23" t="s">
        <v>79</v>
      </c>
      <c r="Q1419" s="23" t="s">
        <v>83</v>
      </c>
      <c r="R1419" s="23">
        <v>11100176</v>
      </c>
      <c r="S1419" s="24">
        <v>46115</v>
      </c>
      <c r="T1419" s="24">
        <v>46071</v>
      </c>
      <c r="U1419" s="24" t="s">
        <v>80</v>
      </c>
      <c r="X1419" s="24">
        <v>46069</v>
      </c>
      <c r="Y1419" s="23">
        <v>1111</v>
      </c>
      <c r="Z1419" s="23">
        <v>11100137</v>
      </c>
      <c r="AA1419" s="23">
        <v>3151</v>
      </c>
      <c r="AB1419" s="24">
        <v>46065</v>
      </c>
    </row>
    <row r="1420" spans="2:28" x14ac:dyDescent="0.2">
      <c r="C1420" s="23">
        <v>1100577058</v>
      </c>
      <c r="E1420" s="23">
        <v>30</v>
      </c>
      <c r="F1420" s="23" t="s">
        <v>3329</v>
      </c>
      <c r="G1420" s="23" t="s">
        <v>3330</v>
      </c>
      <c r="H1420" s="24">
        <v>46115</v>
      </c>
      <c r="I1420" s="24">
        <v>46115</v>
      </c>
      <c r="J1420" s="23" t="s">
        <v>260</v>
      </c>
      <c r="K1420" s="23" t="s">
        <v>260</v>
      </c>
      <c r="L1420" s="23">
        <v>1</v>
      </c>
      <c r="M1420" s="23" t="s">
        <v>78</v>
      </c>
      <c r="N1420" s="23" t="s">
        <v>78</v>
      </c>
      <c r="O1420" s="23">
        <v>425.57</v>
      </c>
      <c r="P1420" s="23" t="s">
        <v>79</v>
      </c>
      <c r="Q1420" s="23" t="s">
        <v>83</v>
      </c>
      <c r="R1420" s="23">
        <v>11100176</v>
      </c>
      <c r="S1420" s="24">
        <v>46115</v>
      </c>
      <c r="T1420" s="24">
        <v>46071</v>
      </c>
      <c r="U1420" s="24" t="s">
        <v>80</v>
      </c>
      <c r="X1420" s="24">
        <v>46069</v>
      </c>
      <c r="Y1420" s="23">
        <v>1111</v>
      </c>
      <c r="Z1420" s="23">
        <v>11100137</v>
      </c>
      <c r="AA1420" s="23">
        <v>3151</v>
      </c>
      <c r="AB1420" s="24">
        <v>46065</v>
      </c>
    </row>
    <row r="1421" spans="2:28" x14ac:dyDescent="0.2">
      <c r="C1421" s="23">
        <v>1100577058</v>
      </c>
      <c r="E1421" s="23">
        <v>40</v>
      </c>
      <c r="F1421" s="23" t="s">
        <v>1069</v>
      </c>
      <c r="G1421" s="23" t="s">
        <v>1070</v>
      </c>
      <c r="H1421" s="24">
        <v>46115</v>
      </c>
      <c r="I1421" s="24">
        <v>46115</v>
      </c>
      <c r="J1421" s="23" t="s">
        <v>260</v>
      </c>
      <c r="K1421" s="23" t="s">
        <v>260</v>
      </c>
      <c r="L1421" s="23">
        <v>2</v>
      </c>
      <c r="M1421" s="23" t="s">
        <v>78</v>
      </c>
      <c r="N1421" s="23" t="s">
        <v>78</v>
      </c>
      <c r="O1421" s="23">
        <v>646.79999999999995</v>
      </c>
      <c r="P1421" s="23" t="s">
        <v>79</v>
      </c>
      <c r="Q1421" s="23" t="s">
        <v>83</v>
      </c>
      <c r="R1421" s="23">
        <v>11100176</v>
      </c>
      <c r="S1421" s="24">
        <v>46115</v>
      </c>
      <c r="T1421" s="24">
        <v>46071</v>
      </c>
      <c r="U1421" s="24" t="s">
        <v>80</v>
      </c>
      <c r="X1421" s="24">
        <v>46069</v>
      </c>
      <c r="Y1421" s="23">
        <v>1111</v>
      </c>
      <c r="Z1421" s="23">
        <v>11100137</v>
      </c>
      <c r="AA1421" s="23">
        <v>3151</v>
      </c>
      <c r="AB1421" s="24">
        <v>46065</v>
      </c>
    </row>
    <row r="1422" spans="2:28" x14ac:dyDescent="0.2">
      <c r="C1422" s="23">
        <v>1100577058</v>
      </c>
      <c r="E1422" s="23">
        <v>50</v>
      </c>
      <c r="F1422" s="23" t="s">
        <v>1729</v>
      </c>
      <c r="G1422" s="23" t="s">
        <v>1730</v>
      </c>
      <c r="H1422" s="24">
        <v>46115</v>
      </c>
      <c r="I1422" s="24">
        <v>46846</v>
      </c>
      <c r="J1422" s="23" t="s">
        <v>260</v>
      </c>
      <c r="K1422" s="23" t="s">
        <v>260</v>
      </c>
      <c r="L1422" s="23">
        <v>3</v>
      </c>
      <c r="M1422" s="23" t="s">
        <v>78</v>
      </c>
      <c r="N1422" s="23" t="s">
        <v>78</v>
      </c>
      <c r="O1422" s="23">
        <v>783.84</v>
      </c>
      <c r="P1422" s="23" t="s">
        <v>79</v>
      </c>
      <c r="Q1422" s="23" t="s">
        <v>83</v>
      </c>
      <c r="R1422" s="23">
        <v>11100176</v>
      </c>
      <c r="S1422" s="24">
        <v>46115</v>
      </c>
      <c r="T1422" s="24">
        <v>46071</v>
      </c>
      <c r="U1422" s="24" t="s">
        <v>80</v>
      </c>
      <c r="X1422" s="24">
        <v>46069</v>
      </c>
      <c r="Y1422" s="23">
        <v>1111</v>
      </c>
      <c r="Z1422" s="23">
        <v>11100137</v>
      </c>
      <c r="AA1422" s="23">
        <v>3151</v>
      </c>
      <c r="AB1422" s="24">
        <v>46065</v>
      </c>
    </row>
    <row r="1423" spans="2:28" x14ac:dyDescent="0.2">
      <c r="C1423" s="23">
        <v>1100577058</v>
      </c>
      <c r="E1423" s="23">
        <v>60</v>
      </c>
      <c r="F1423" s="23" t="s">
        <v>3331</v>
      </c>
      <c r="G1423" s="23" t="s">
        <v>3332</v>
      </c>
      <c r="H1423" s="24">
        <v>46115</v>
      </c>
      <c r="I1423" s="24">
        <v>46115</v>
      </c>
      <c r="J1423" s="23" t="s">
        <v>260</v>
      </c>
      <c r="K1423" s="23" t="s">
        <v>260</v>
      </c>
      <c r="L1423" s="23">
        <v>1</v>
      </c>
      <c r="M1423" s="23" t="s">
        <v>78</v>
      </c>
      <c r="N1423" s="23" t="s">
        <v>78</v>
      </c>
      <c r="O1423" s="23">
        <v>259.45999999999998</v>
      </c>
      <c r="P1423" s="23" t="s">
        <v>79</v>
      </c>
      <c r="Q1423" s="23" t="s">
        <v>83</v>
      </c>
      <c r="R1423" s="23">
        <v>11100176</v>
      </c>
      <c r="S1423" s="24">
        <v>46115</v>
      </c>
      <c r="T1423" s="24">
        <v>46071</v>
      </c>
      <c r="U1423" s="24" t="s">
        <v>80</v>
      </c>
      <c r="X1423" s="24">
        <v>46069</v>
      </c>
      <c r="Y1423" s="23">
        <v>1111</v>
      </c>
      <c r="Z1423" s="23">
        <v>11100137</v>
      </c>
      <c r="AA1423" s="23">
        <v>3151</v>
      </c>
      <c r="AB1423" s="24">
        <v>46065</v>
      </c>
    </row>
    <row r="1424" spans="2:28" x14ac:dyDescent="0.2">
      <c r="C1424" s="23">
        <v>1100577058</v>
      </c>
      <c r="E1424" s="23">
        <v>70</v>
      </c>
      <c r="F1424" s="23" t="s">
        <v>263</v>
      </c>
      <c r="G1424" s="23" t="s">
        <v>264</v>
      </c>
      <c r="H1424" s="24">
        <v>46115</v>
      </c>
      <c r="I1424" s="24">
        <v>46115</v>
      </c>
      <c r="J1424" s="23" t="s">
        <v>260</v>
      </c>
      <c r="K1424" s="23" t="s">
        <v>260</v>
      </c>
      <c r="L1424" s="23">
        <v>1</v>
      </c>
      <c r="M1424" s="23" t="s">
        <v>78</v>
      </c>
      <c r="N1424" s="23" t="s">
        <v>78</v>
      </c>
      <c r="O1424" s="23">
        <v>320.41000000000003</v>
      </c>
      <c r="P1424" s="23" t="s">
        <v>79</v>
      </c>
      <c r="Q1424" s="23" t="s">
        <v>83</v>
      </c>
      <c r="R1424" s="23">
        <v>11100176</v>
      </c>
      <c r="S1424" s="24">
        <v>46115</v>
      </c>
      <c r="T1424" s="24">
        <v>46071</v>
      </c>
      <c r="U1424" s="24" t="s">
        <v>80</v>
      </c>
      <c r="X1424" s="24">
        <v>46069</v>
      </c>
      <c r="Y1424" s="23">
        <v>1111</v>
      </c>
      <c r="Z1424" s="23">
        <v>11100137</v>
      </c>
      <c r="AA1424" s="23">
        <v>3151</v>
      </c>
      <c r="AB1424" s="24">
        <v>46065</v>
      </c>
    </row>
    <row r="1425" spans="2:28" x14ac:dyDescent="0.2">
      <c r="B1425" s="23" t="s">
        <v>81</v>
      </c>
      <c r="C1425" s="23">
        <v>1100577058</v>
      </c>
      <c r="H1425" s="24">
        <v>46115</v>
      </c>
      <c r="O1425" s="23">
        <v>3287.95</v>
      </c>
      <c r="P1425" s="23" t="s">
        <v>79</v>
      </c>
    </row>
    <row r="1426" spans="2:28" x14ac:dyDescent="0.2">
      <c r="C1426" s="23">
        <v>1100577192</v>
      </c>
      <c r="E1426" s="23">
        <v>10</v>
      </c>
      <c r="F1426" s="23" t="s">
        <v>3333</v>
      </c>
      <c r="G1426" s="23" t="s">
        <v>3334</v>
      </c>
      <c r="H1426" s="24">
        <v>46115</v>
      </c>
      <c r="I1426" s="24">
        <v>46115</v>
      </c>
      <c r="J1426" s="23" t="s">
        <v>3335</v>
      </c>
      <c r="K1426" s="23" t="s">
        <v>3335</v>
      </c>
      <c r="L1426" s="23">
        <v>1</v>
      </c>
      <c r="M1426" s="23" t="s">
        <v>78</v>
      </c>
      <c r="N1426" s="23" t="s">
        <v>78</v>
      </c>
      <c r="O1426" s="23">
        <v>716.6</v>
      </c>
      <c r="P1426" s="23" t="s">
        <v>79</v>
      </c>
      <c r="Q1426" s="23" t="s">
        <v>83</v>
      </c>
      <c r="R1426" s="23">
        <v>11100176</v>
      </c>
      <c r="S1426" s="24">
        <v>46100</v>
      </c>
      <c r="T1426" s="24">
        <v>46072</v>
      </c>
      <c r="U1426" s="24" t="s">
        <v>80</v>
      </c>
      <c r="X1426" s="24">
        <v>46070</v>
      </c>
      <c r="Y1426" s="23">
        <v>1111</v>
      </c>
      <c r="Z1426" s="23">
        <v>11400937</v>
      </c>
      <c r="AA1426" s="23">
        <v>3351</v>
      </c>
      <c r="AB1426" s="24">
        <v>46070</v>
      </c>
    </row>
    <row r="1427" spans="2:28" x14ac:dyDescent="0.2">
      <c r="C1427" s="23">
        <v>1100577192</v>
      </c>
      <c r="E1427" s="23">
        <v>20</v>
      </c>
      <c r="F1427" s="23" t="s">
        <v>82</v>
      </c>
      <c r="G1427" s="23" t="s">
        <v>139</v>
      </c>
      <c r="H1427" s="24">
        <v>46115</v>
      </c>
      <c r="I1427" s="24">
        <v>46115</v>
      </c>
      <c r="J1427" s="23" t="s">
        <v>3335</v>
      </c>
      <c r="K1427" s="23" t="s">
        <v>3335</v>
      </c>
      <c r="L1427" s="23">
        <v>1</v>
      </c>
      <c r="M1427" s="23" t="s">
        <v>78</v>
      </c>
      <c r="N1427" s="23" t="s">
        <v>78</v>
      </c>
      <c r="O1427" s="23">
        <v>0.01</v>
      </c>
      <c r="P1427" s="23" t="s">
        <v>79</v>
      </c>
      <c r="Q1427" s="23" t="s">
        <v>83</v>
      </c>
      <c r="R1427" s="23">
        <v>11100176</v>
      </c>
      <c r="S1427" s="24" t="s">
        <v>80</v>
      </c>
      <c r="T1427" s="24">
        <v>46072</v>
      </c>
      <c r="U1427" s="24" t="s">
        <v>80</v>
      </c>
      <c r="X1427" s="24">
        <v>46070</v>
      </c>
      <c r="Y1427" s="23">
        <v>1111</v>
      </c>
      <c r="Z1427" s="23">
        <v>11400937</v>
      </c>
      <c r="AA1427" s="23">
        <v>3351</v>
      </c>
      <c r="AB1427" s="24">
        <v>46070</v>
      </c>
    </row>
    <row r="1428" spans="2:28" x14ac:dyDescent="0.2">
      <c r="B1428" s="23" t="s">
        <v>81</v>
      </c>
      <c r="C1428" s="23">
        <v>1100577192</v>
      </c>
      <c r="H1428" s="24">
        <v>46115</v>
      </c>
      <c r="O1428" s="23">
        <v>716.61</v>
      </c>
      <c r="P1428" s="23" t="s">
        <v>79</v>
      </c>
    </row>
    <row r="1429" spans="2:28" x14ac:dyDescent="0.2">
      <c r="C1429" s="23">
        <v>1100577248</v>
      </c>
      <c r="E1429" s="23">
        <v>20</v>
      </c>
      <c r="F1429" s="23" t="s">
        <v>263</v>
      </c>
      <c r="G1429" s="23" t="s">
        <v>264</v>
      </c>
      <c r="H1429" s="24">
        <v>46115</v>
      </c>
      <c r="I1429" s="24">
        <v>46115</v>
      </c>
      <c r="J1429" s="23" t="s">
        <v>1113</v>
      </c>
      <c r="K1429" s="23" t="s">
        <v>1113</v>
      </c>
      <c r="L1429" s="23">
        <v>1</v>
      </c>
      <c r="M1429" s="23" t="s">
        <v>78</v>
      </c>
      <c r="N1429" s="23" t="s">
        <v>78</v>
      </c>
      <c r="O1429" s="23">
        <v>1292.96</v>
      </c>
      <c r="P1429" s="23" t="s">
        <v>79</v>
      </c>
      <c r="Q1429" s="23" t="s">
        <v>83</v>
      </c>
      <c r="R1429" s="23">
        <v>11100176</v>
      </c>
      <c r="S1429" s="24">
        <v>46114</v>
      </c>
      <c r="T1429" s="24">
        <v>46072</v>
      </c>
      <c r="U1429" s="24">
        <v>47116</v>
      </c>
      <c r="X1429" s="24">
        <v>46070</v>
      </c>
      <c r="Y1429" s="23">
        <v>1111</v>
      </c>
      <c r="Z1429" s="23">
        <v>11400811</v>
      </c>
      <c r="AA1429" s="23">
        <v>3951</v>
      </c>
      <c r="AB1429" s="24">
        <v>46063</v>
      </c>
    </row>
    <row r="1430" spans="2:28" x14ac:dyDescent="0.2">
      <c r="C1430" s="23">
        <v>1100577248</v>
      </c>
      <c r="E1430" s="23">
        <v>30</v>
      </c>
      <c r="F1430" s="23" t="s">
        <v>1923</v>
      </c>
      <c r="G1430" s="23" t="s">
        <v>1924</v>
      </c>
      <c r="H1430" s="24">
        <v>46115</v>
      </c>
      <c r="I1430" s="24">
        <v>46115</v>
      </c>
      <c r="J1430" s="23" t="s">
        <v>1113</v>
      </c>
      <c r="K1430" s="23" t="s">
        <v>1113</v>
      </c>
      <c r="L1430" s="23">
        <v>1</v>
      </c>
      <c r="M1430" s="23" t="s">
        <v>78</v>
      </c>
      <c r="N1430" s="23" t="s">
        <v>78</v>
      </c>
      <c r="O1430" s="23">
        <v>953.78</v>
      </c>
      <c r="P1430" s="23" t="s">
        <v>79</v>
      </c>
      <c r="Q1430" s="23" t="s">
        <v>83</v>
      </c>
      <c r="R1430" s="23">
        <v>11100176</v>
      </c>
      <c r="S1430" s="24">
        <v>46114</v>
      </c>
      <c r="T1430" s="24">
        <v>46072</v>
      </c>
      <c r="U1430" s="24">
        <v>47116</v>
      </c>
      <c r="X1430" s="24">
        <v>46070</v>
      </c>
      <c r="Y1430" s="23">
        <v>1111</v>
      </c>
      <c r="Z1430" s="23">
        <v>11400811</v>
      </c>
      <c r="AA1430" s="23">
        <v>3951</v>
      </c>
      <c r="AB1430" s="24">
        <v>46063</v>
      </c>
    </row>
    <row r="1431" spans="2:28" x14ac:dyDescent="0.2">
      <c r="B1431" s="23" t="s">
        <v>81</v>
      </c>
      <c r="C1431" s="23">
        <v>1100577248</v>
      </c>
      <c r="H1431" s="24">
        <v>46115</v>
      </c>
      <c r="O1431" s="23">
        <v>2246.7399999999998</v>
      </c>
      <c r="P1431" s="23" t="s">
        <v>79</v>
      </c>
    </row>
    <row r="1432" spans="2:28" x14ac:dyDescent="0.2">
      <c r="C1432" s="23">
        <v>1100577287</v>
      </c>
      <c r="E1432" s="23">
        <v>10</v>
      </c>
      <c r="F1432" s="23" t="s">
        <v>3336</v>
      </c>
      <c r="G1432" s="23" t="s">
        <v>3337</v>
      </c>
      <c r="H1432" s="24">
        <v>46115</v>
      </c>
      <c r="I1432" s="24">
        <v>46115</v>
      </c>
      <c r="J1432" s="23" t="s">
        <v>3338</v>
      </c>
      <c r="K1432" s="23" t="s">
        <v>3338</v>
      </c>
      <c r="L1432" s="23">
        <v>2</v>
      </c>
      <c r="M1432" s="23" t="s">
        <v>78</v>
      </c>
      <c r="N1432" s="23" t="s">
        <v>78</v>
      </c>
      <c r="O1432" s="23">
        <v>1162.1400000000001</v>
      </c>
      <c r="P1432" s="23" t="s">
        <v>79</v>
      </c>
      <c r="Q1432" s="23" t="s">
        <v>83</v>
      </c>
      <c r="R1432" s="23">
        <v>11100176</v>
      </c>
      <c r="S1432" s="24">
        <v>46115</v>
      </c>
      <c r="T1432" s="24">
        <v>46072</v>
      </c>
      <c r="U1432" s="24" t="s">
        <v>80</v>
      </c>
      <c r="X1432" s="24">
        <v>46058</v>
      </c>
      <c r="Y1432" s="23">
        <v>1111</v>
      </c>
      <c r="Z1432" s="23">
        <v>11400606</v>
      </c>
      <c r="AA1432" s="23">
        <v>3351</v>
      </c>
      <c r="AB1432" s="24">
        <v>46066</v>
      </c>
    </row>
    <row r="1433" spans="2:28" x14ac:dyDescent="0.2">
      <c r="C1433" s="23">
        <v>1100577287</v>
      </c>
      <c r="E1433" s="23">
        <v>20</v>
      </c>
      <c r="F1433" s="23" t="s">
        <v>82</v>
      </c>
      <c r="G1433" s="23" t="s">
        <v>139</v>
      </c>
      <c r="H1433" s="24">
        <v>46115</v>
      </c>
      <c r="I1433" s="24">
        <v>46115</v>
      </c>
      <c r="J1433" s="23" t="s">
        <v>3338</v>
      </c>
      <c r="K1433" s="23" t="s">
        <v>3338</v>
      </c>
      <c r="L1433" s="23">
        <v>1</v>
      </c>
      <c r="M1433" s="23" t="s">
        <v>78</v>
      </c>
      <c r="N1433" s="23" t="s">
        <v>78</v>
      </c>
      <c r="O1433" s="23">
        <v>0.01</v>
      </c>
      <c r="P1433" s="23" t="s">
        <v>79</v>
      </c>
      <c r="Q1433" s="23" t="s">
        <v>83</v>
      </c>
      <c r="R1433" s="23">
        <v>11100176</v>
      </c>
      <c r="S1433" s="24" t="s">
        <v>80</v>
      </c>
      <c r="T1433" s="24">
        <v>46072</v>
      </c>
      <c r="U1433" s="24" t="s">
        <v>80</v>
      </c>
      <c r="X1433" s="24">
        <v>46058</v>
      </c>
      <c r="Y1433" s="23">
        <v>1111</v>
      </c>
      <c r="Z1433" s="23">
        <v>11400606</v>
      </c>
      <c r="AA1433" s="23">
        <v>3351</v>
      </c>
      <c r="AB1433" s="24">
        <v>46066</v>
      </c>
    </row>
    <row r="1434" spans="2:28" x14ac:dyDescent="0.2">
      <c r="B1434" s="23" t="s">
        <v>81</v>
      </c>
      <c r="C1434" s="23">
        <v>1100577287</v>
      </c>
      <c r="H1434" s="24">
        <v>46115</v>
      </c>
      <c r="O1434" s="23">
        <v>1162.1500000000001</v>
      </c>
      <c r="P1434" s="23" t="s">
        <v>79</v>
      </c>
    </row>
    <row r="1435" spans="2:28" x14ac:dyDescent="0.2">
      <c r="C1435" s="23">
        <v>1100577347</v>
      </c>
      <c r="E1435" s="23">
        <v>10</v>
      </c>
      <c r="F1435" s="23" t="s">
        <v>87</v>
      </c>
      <c r="G1435" s="23" t="s">
        <v>3339</v>
      </c>
      <c r="H1435" s="24">
        <v>46115</v>
      </c>
      <c r="I1435" s="24">
        <v>46129</v>
      </c>
      <c r="J1435" s="23" t="s">
        <v>2299</v>
      </c>
      <c r="K1435" s="23" t="s">
        <v>2299</v>
      </c>
      <c r="L1435" s="23">
        <v>2</v>
      </c>
      <c r="M1435" s="23" t="s">
        <v>78</v>
      </c>
      <c r="N1435" s="23" t="s">
        <v>78</v>
      </c>
      <c r="O1435" s="23">
        <v>1496.74</v>
      </c>
      <c r="P1435" s="23" t="s">
        <v>79</v>
      </c>
      <c r="Q1435" s="23" t="s">
        <v>83</v>
      </c>
      <c r="R1435" s="23">
        <v>11100176</v>
      </c>
      <c r="S1435" s="24">
        <v>46129</v>
      </c>
      <c r="T1435" s="24">
        <v>46073</v>
      </c>
      <c r="U1435" s="24" t="s">
        <v>80</v>
      </c>
      <c r="X1435" s="24">
        <v>46070</v>
      </c>
      <c r="Y1435" s="23">
        <v>1111</v>
      </c>
      <c r="Z1435" s="23">
        <v>11400937</v>
      </c>
      <c r="AA1435" s="23">
        <v>3351</v>
      </c>
      <c r="AB1435" s="24">
        <v>46071</v>
      </c>
    </row>
    <row r="1436" spans="2:28" x14ac:dyDescent="0.2">
      <c r="C1436" s="23">
        <v>1100577347</v>
      </c>
      <c r="E1436" s="23">
        <v>20</v>
      </c>
      <c r="F1436" s="23" t="s">
        <v>3340</v>
      </c>
      <c r="G1436" s="23" t="s">
        <v>3341</v>
      </c>
      <c r="H1436" s="24">
        <v>46115</v>
      </c>
      <c r="I1436" s="24">
        <v>46115</v>
      </c>
      <c r="J1436" s="23" t="s">
        <v>2299</v>
      </c>
      <c r="K1436" s="23" t="s">
        <v>2299</v>
      </c>
      <c r="L1436" s="23">
        <v>1</v>
      </c>
      <c r="M1436" s="23" t="s">
        <v>78</v>
      </c>
      <c r="N1436" s="23" t="s">
        <v>78</v>
      </c>
      <c r="O1436" s="23">
        <v>1359.2</v>
      </c>
      <c r="P1436" s="23" t="s">
        <v>79</v>
      </c>
      <c r="Q1436" s="23" t="s">
        <v>83</v>
      </c>
      <c r="R1436" s="23">
        <v>11100176</v>
      </c>
      <c r="S1436" s="24">
        <v>46129</v>
      </c>
      <c r="T1436" s="24">
        <v>46073</v>
      </c>
      <c r="U1436" s="24" t="s">
        <v>80</v>
      </c>
      <c r="X1436" s="24">
        <v>46070</v>
      </c>
      <c r="Y1436" s="23">
        <v>1111</v>
      </c>
      <c r="Z1436" s="23">
        <v>11400937</v>
      </c>
      <c r="AA1436" s="23">
        <v>3351</v>
      </c>
      <c r="AB1436" s="24">
        <v>46071</v>
      </c>
    </row>
    <row r="1437" spans="2:28" x14ac:dyDescent="0.2">
      <c r="C1437" s="23">
        <v>1100577347</v>
      </c>
      <c r="E1437" s="23">
        <v>30</v>
      </c>
      <c r="F1437" s="23" t="s">
        <v>87</v>
      </c>
      <c r="G1437" s="23" t="s">
        <v>3342</v>
      </c>
      <c r="H1437" s="24">
        <v>46115</v>
      </c>
      <c r="I1437" s="24">
        <v>46129</v>
      </c>
      <c r="J1437" s="23" t="s">
        <v>2299</v>
      </c>
      <c r="K1437" s="23" t="s">
        <v>2299</v>
      </c>
      <c r="L1437" s="23">
        <v>1</v>
      </c>
      <c r="M1437" s="23" t="s">
        <v>78</v>
      </c>
      <c r="N1437" s="23" t="s">
        <v>78</v>
      </c>
      <c r="O1437" s="23">
        <v>918.47</v>
      </c>
      <c r="P1437" s="23" t="s">
        <v>79</v>
      </c>
      <c r="Q1437" s="23" t="s">
        <v>83</v>
      </c>
      <c r="R1437" s="23">
        <v>11100176</v>
      </c>
      <c r="S1437" s="24">
        <v>46129</v>
      </c>
      <c r="T1437" s="24">
        <v>46073</v>
      </c>
      <c r="U1437" s="24" t="s">
        <v>80</v>
      </c>
      <c r="X1437" s="24">
        <v>46070</v>
      </c>
      <c r="Y1437" s="23">
        <v>1111</v>
      </c>
      <c r="Z1437" s="23">
        <v>11400937</v>
      </c>
      <c r="AA1437" s="23">
        <v>3351</v>
      </c>
      <c r="AB1437" s="24">
        <v>46071</v>
      </c>
    </row>
    <row r="1438" spans="2:28" x14ac:dyDescent="0.2">
      <c r="C1438" s="23">
        <v>1100577347</v>
      </c>
      <c r="E1438" s="23">
        <v>50</v>
      </c>
      <c r="F1438" s="23" t="s">
        <v>84</v>
      </c>
      <c r="G1438" s="23" t="s">
        <v>123</v>
      </c>
      <c r="H1438" s="24">
        <v>46115</v>
      </c>
      <c r="I1438" s="24">
        <v>46129</v>
      </c>
      <c r="J1438" s="23" t="s">
        <v>2299</v>
      </c>
      <c r="K1438" s="23" t="s">
        <v>2299</v>
      </c>
      <c r="L1438" s="23">
        <v>1</v>
      </c>
      <c r="M1438" s="23" t="s">
        <v>78</v>
      </c>
      <c r="N1438" s="23" t="s">
        <v>78</v>
      </c>
      <c r="O1438" s="23">
        <v>0.01</v>
      </c>
      <c r="P1438" s="23" t="s">
        <v>79</v>
      </c>
      <c r="Q1438" s="23" t="s">
        <v>83</v>
      </c>
      <c r="R1438" s="23">
        <v>11100176</v>
      </c>
      <c r="S1438" s="24" t="s">
        <v>80</v>
      </c>
      <c r="T1438" s="24">
        <v>46073</v>
      </c>
      <c r="U1438" s="24" t="s">
        <v>80</v>
      </c>
      <c r="X1438" s="24">
        <v>46070</v>
      </c>
      <c r="Y1438" s="23">
        <v>1111</v>
      </c>
      <c r="Z1438" s="23">
        <v>11400937</v>
      </c>
      <c r="AA1438" s="23">
        <v>3351</v>
      </c>
      <c r="AB1438" s="24">
        <v>46071</v>
      </c>
    </row>
    <row r="1439" spans="2:28" x14ac:dyDescent="0.2">
      <c r="B1439" s="23" t="s">
        <v>81</v>
      </c>
      <c r="C1439" s="23">
        <v>1100577347</v>
      </c>
      <c r="H1439" s="24">
        <v>46115</v>
      </c>
      <c r="O1439" s="23">
        <v>3774.42</v>
      </c>
      <c r="P1439" s="23" t="s">
        <v>79</v>
      </c>
    </row>
    <row r="1440" spans="2:28" x14ac:dyDescent="0.2">
      <c r="C1440" s="23">
        <v>1100577348</v>
      </c>
      <c r="E1440" s="23">
        <v>10</v>
      </c>
      <c r="F1440" s="23" t="s">
        <v>3343</v>
      </c>
      <c r="G1440" s="23" t="s">
        <v>3344</v>
      </c>
      <c r="H1440" s="24">
        <v>46115</v>
      </c>
      <c r="I1440" s="24">
        <v>46115</v>
      </c>
      <c r="J1440" s="23" t="s">
        <v>3326</v>
      </c>
      <c r="K1440" s="23" t="s">
        <v>3326</v>
      </c>
      <c r="L1440" s="23">
        <v>2</v>
      </c>
      <c r="M1440" s="23" t="s">
        <v>78</v>
      </c>
      <c r="N1440" s="23" t="s">
        <v>78</v>
      </c>
      <c r="O1440" s="23">
        <v>1058.4000000000001</v>
      </c>
      <c r="P1440" s="23" t="s">
        <v>79</v>
      </c>
      <c r="Q1440" s="23" t="s">
        <v>83</v>
      </c>
      <c r="R1440" s="23">
        <v>11100176</v>
      </c>
      <c r="S1440" s="24">
        <v>46115</v>
      </c>
      <c r="T1440" s="24">
        <v>46073</v>
      </c>
      <c r="U1440" s="24" t="s">
        <v>80</v>
      </c>
      <c r="X1440" s="24">
        <v>46069</v>
      </c>
      <c r="Y1440" s="23">
        <v>1111</v>
      </c>
      <c r="Z1440" s="23">
        <v>11100320</v>
      </c>
      <c r="AA1440" s="23">
        <v>3951</v>
      </c>
      <c r="AB1440" s="24">
        <v>46065</v>
      </c>
    </row>
    <row r="1441" spans="2:28" x14ac:dyDescent="0.2">
      <c r="B1441" s="23" t="s">
        <v>81</v>
      </c>
      <c r="C1441" s="23">
        <v>1100577348</v>
      </c>
      <c r="H1441" s="24">
        <v>46115</v>
      </c>
      <c r="O1441" s="23">
        <v>1058.4000000000001</v>
      </c>
      <c r="P1441" s="23" t="s">
        <v>79</v>
      </c>
    </row>
    <row r="1442" spans="2:28" x14ac:dyDescent="0.2">
      <c r="C1442" s="23">
        <v>1100577370</v>
      </c>
      <c r="E1442" s="23">
        <v>10</v>
      </c>
      <c r="F1442" s="23" t="s">
        <v>3345</v>
      </c>
      <c r="G1442" s="23" t="s">
        <v>3346</v>
      </c>
      <c r="H1442" s="24">
        <v>46115</v>
      </c>
      <c r="I1442" s="24">
        <v>46115</v>
      </c>
      <c r="J1442" s="23" t="s">
        <v>3347</v>
      </c>
      <c r="K1442" s="23" t="s">
        <v>3347</v>
      </c>
      <c r="L1442" s="23">
        <v>3</v>
      </c>
      <c r="M1442" s="23" t="s">
        <v>78</v>
      </c>
      <c r="N1442" s="23" t="s">
        <v>78</v>
      </c>
      <c r="O1442" s="23">
        <v>1366.2</v>
      </c>
      <c r="P1442" s="23" t="s">
        <v>79</v>
      </c>
      <c r="Q1442" s="23" t="s">
        <v>83</v>
      </c>
      <c r="R1442" s="23">
        <v>11100176</v>
      </c>
      <c r="S1442" s="24">
        <v>46108</v>
      </c>
      <c r="T1442" s="24">
        <v>46073</v>
      </c>
      <c r="U1442" s="24">
        <v>46114</v>
      </c>
      <c r="X1442" s="24">
        <v>46073</v>
      </c>
      <c r="Y1442" s="23">
        <v>1111</v>
      </c>
      <c r="Z1442" s="23">
        <v>11400789</v>
      </c>
      <c r="AA1442" s="23">
        <v>3351</v>
      </c>
      <c r="AB1442" s="24">
        <v>46069</v>
      </c>
    </row>
    <row r="1443" spans="2:28" x14ac:dyDescent="0.2">
      <c r="B1443" s="23" t="s">
        <v>81</v>
      </c>
      <c r="C1443" s="23">
        <v>1100577370</v>
      </c>
      <c r="H1443" s="24">
        <v>46115</v>
      </c>
      <c r="O1443" s="23">
        <v>1366.2</v>
      </c>
      <c r="P1443" s="23" t="s">
        <v>79</v>
      </c>
    </row>
    <row r="1444" spans="2:28" x14ac:dyDescent="0.2">
      <c r="C1444" s="23">
        <v>1100577408</v>
      </c>
      <c r="E1444" s="23">
        <v>10</v>
      </c>
      <c r="F1444" s="23" t="s">
        <v>3348</v>
      </c>
      <c r="G1444" s="23" t="s">
        <v>3349</v>
      </c>
      <c r="H1444" s="24">
        <v>46115</v>
      </c>
      <c r="I1444" s="24">
        <v>46115</v>
      </c>
      <c r="J1444" s="23" t="s">
        <v>1820</v>
      </c>
      <c r="K1444" s="23" t="s">
        <v>1820</v>
      </c>
      <c r="L1444" s="23">
        <v>1</v>
      </c>
      <c r="M1444" s="23" t="s">
        <v>78</v>
      </c>
      <c r="N1444" s="23" t="s">
        <v>78</v>
      </c>
      <c r="O1444" s="23">
        <v>917.53</v>
      </c>
      <c r="P1444" s="23" t="s">
        <v>79</v>
      </c>
      <c r="Q1444" s="23" t="s">
        <v>83</v>
      </c>
      <c r="R1444" s="23">
        <v>11100176</v>
      </c>
      <c r="S1444" s="24">
        <v>46108</v>
      </c>
      <c r="T1444" s="24">
        <v>46073</v>
      </c>
      <c r="U1444" s="24" t="s">
        <v>80</v>
      </c>
      <c r="X1444" s="24">
        <v>46071</v>
      </c>
      <c r="Y1444" s="23">
        <v>1111</v>
      </c>
      <c r="Z1444" s="23">
        <v>11400937</v>
      </c>
      <c r="AA1444" s="23">
        <v>3951</v>
      </c>
      <c r="AB1444" s="24">
        <v>46071</v>
      </c>
    </row>
    <row r="1445" spans="2:28" x14ac:dyDescent="0.2">
      <c r="B1445" s="23" t="s">
        <v>81</v>
      </c>
      <c r="C1445" s="23">
        <v>1100577408</v>
      </c>
      <c r="H1445" s="24">
        <v>46115</v>
      </c>
      <c r="O1445" s="23">
        <v>917.53</v>
      </c>
      <c r="P1445" s="23" t="s">
        <v>79</v>
      </c>
    </row>
    <row r="1446" spans="2:28" x14ac:dyDescent="0.2">
      <c r="C1446" s="23">
        <v>1100577409</v>
      </c>
      <c r="E1446" s="23">
        <v>10</v>
      </c>
      <c r="F1446" s="23" t="s">
        <v>3350</v>
      </c>
      <c r="G1446" s="23" t="s">
        <v>3351</v>
      </c>
      <c r="H1446" s="24">
        <v>46115</v>
      </c>
      <c r="I1446" s="24">
        <v>46115</v>
      </c>
      <c r="J1446" s="23" t="s">
        <v>1127</v>
      </c>
      <c r="K1446" s="23" t="s">
        <v>1127</v>
      </c>
      <c r="L1446" s="23">
        <v>4</v>
      </c>
      <c r="M1446" s="23" t="s">
        <v>78</v>
      </c>
      <c r="N1446" s="23" t="s">
        <v>78</v>
      </c>
      <c r="O1446" s="23">
        <v>1920</v>
      </c>
      <c r="P1446" s="23" t="s">
        <v>79</v>
      </c>
      <c r="Q1446" s="23" t="s">
        <v>83</v>
      </c>
      <c r="R1446" s="23">
        <v>11100176</v>
      </c>
      <c r="S1446" s="24">
        <v>46101</v>
      </c>
      <c r="T1446" s="24">
        <v>46073</v>
      </c>
      <c r="U1446" s="24">
        <v>46114</v>
      </c>
      <c r="X1446" s="24">
        <v>46073</v>
      </c>
      <c r="Y1446" s="23">
        <v>1111</v>
      </c>
      <c r="Z1446" s="23">
        <v>11400811</v>
      </c>
      <c r="AA1446" s="23">
        <v>5051</v>
      </c>
      <c r="AB1446" s="24">
        <v>46073</v>
      </c>
    </row>
    <row r="1447" spans="2:28" x14ac:dyDescent="0.2">
      <c r="C1447" s="23">
        <v>1100577409</v>
      </c>
      <c r="E1447" s="23">
        <v>40</v>
      </c>
      <c r="F1447" s="23" t="s">
        <v>3352</v>
      </c>
      <c r="G1447" s="23" t="s">
        <v>3353</v>
      </c>
      <c r="H1447" s="24">
        <v>46115</v>
      </c>
      <c r="I1447" s="24">
        <v>46115</v>
      </c>
      <c r="J1447" s="23" t="s">
        <v>1127</v>
      </c>
      <c r="K1447" s="23" t="s">
        <v>1127</v>
      </c>
      <c r="L1447" s="23">
        <v>4</v>
      </c>
      <c r="M1447" s="23" t="s">
        <v>78</v>
      </c>
      <c r="N1447" s="23" t="s">
        <v>78</v>
      </c>
      <c r="O1447" s="23">
        <v>1700</v>
      </c>
      <c r="P1447" s="23" t="s">
        <v>79</v>
      </c>
      <c r="Q1447" s="23" t="s">
        <v>83</v>
      </c>
      <c r="R1447" s="23">
        <v>11100176</v>
      </c>
      <c r="S1447" s="24">
        <v>46101</v>
      </c>
      <c r="T1447" s="24">
        <v>46073</v>
      </c>
      <c r="U1447" s="24">
        <v>46114</v>
      </c>
      <c r="X1447" s="24">
        <v>46073</v>
      </c>
      <c r="Y1447" s="23">
        <v>1111</v>
      </c>
      <c r="Z1447" s="23">
        <v>11400811</v>
      </c>
      <c r="AA1447" s="23">
        <v>5051</v>
      </c>
      <c r="AB1447" s="24">
        <v>46073</v>
      </c>
    </row>
    <row r="1448" spans="2:28" x14ac:dyDescent="0.2">
      <c r="B1448" s="23" t="s">
        <v>81</v>
      </c>
      <c r="C1448" s="23">
        <v>1100577409</v>
      </c>
      <c r="H1448" s="24">
        <v>46115</v>
      </c>
      <c r="O1448" s="23">
        <v>3620</v>
      </c>
      <c r="P1448" s="23" t="s">
        <v>79</v>
      </c>
    </row>
    <row r="1449" spans="2:28" x14ac:dyDescent="0.2">
      <c r="C1449" s="23">
        <v>1100577437</v>
      </c>
      <c r="E1449" s="23">
        <v>10</v>
      </c>
      <c r="F1449" s="23" t="s">
        <v>3354</v>
      </c>
      <c r="G1449" s="23" t="s">
        <v>3355</v>
      </c>
      <c r="H1449" s="24">
        <v>46115</v>
      </c>
      <c r="I1449" s="24">
        <v>46115</v>
      </c>
      <c r="J1449" s="23" t="s">
        <v>650</v>
      </c>
      <c r="K1449" s="23" t="s">
        <v>650</v>
      </c>
      <c r="L1449" s="23">
        <v>1</v>
      </c>
      <c r="M1449" s="23" t="s">
        <v>78</v>
      </c>
      <c r="N1449" s="23" t="s">
        <v>78</v>
      </c>
      <c r="O1449" s="23">
        <v>2452.1</v>
      </c>
      <c r="P1449" s="23" t="s">
        <v>79</v>
      </c>
      <c r="Q1449" s="23" t="s">
        <v>83</v>
      </c>
      <c r="R1449" s="23">
        <v>11100008</v>
      </c>
      <c r="S1449" s="24">
        <v>46115</v>
      </c>
      <c r="T1449" s="24">
        <v>46073</v>
      </c>
      <c r="U1449" s="24" t="s">
        <v>80</v>
      </c>
      <c r="X1449" s="24">
        <v>46069</v>
      </c>
      <c r="Y1449" s="23">
        <v>1111</v>
      </c>
      <c r="Z1449" s="23">
        <v>11100320</v>
      </c>
      <c r="AA1449" s="23">
        <v>5251</v>
      </c>
      <c r="AB1449" s="24">
        <v>46066</v>
      </c>
    </row>
    <row r="1450" spans="2:28" x14ac:dyDescent="0.2">
      <c r="C1450" s="23">
        <v>1100577437</v>
      </c>
      <c r="E1450" s="23">
        <v>20</v>
      </c>
      <c r="F1450" s="23" t="s">
        <v>82</v>
      </c>
      <c r="G1450" s="23" t="s">
        <v>139</v>
      </c>
      <c r="H1450" s="24">
        <v>46115</v>
      </c>
      <c r="I1450" s="24">
        <v>46115</v>
      </c>
      <c r="J1450" s="23" t="s">
        <v>650</v>
      </c>
      <c r="K1450" s="23" t="s">
        <v>650</v>
      </c>
      <c r="L1450" s="23">
        <v>1</v>
      </c>
      <c r="M1450" s="23" t="s">
        <v>78</v>
      </c>
      <c r="N1450" s="23" t="s">
        <v>78</v>
      </c>
      <c r="O1450" s="23">
        <v>0.01</v>
      </c>
      <c r="P1450" s="23" t="s">
        <v>79</v>
      </c>
      <c r="Q1450" s="23" t="s">
        <v>83</v>
      </c>
      <c r="R1450" s="23">
        <v>11100008</v>
      </c>
      <c r="S1450" s="24">
        <v>46115</v>
      </c>
      <c r="T1450" s="24">
        <v>46073</v>
      </c>
      <c r="U1450" s="24" t="s">
        <v>80</v>
      </c>
      <c r="X1450" s="24">
        <v>46069</v>
      </c>
      <c r="Y1450" s="23">
        <v>1111</v>
      </c>
      <c r="Z1450" s="23">
        <v>11100320</v>
      </c>
      <c r="AA1450" s="23">
        <v>5251</v>
      </c>
      <c r="AB1450" s="24">
        <v>46066</v>
      </c>
    </row>
    <row r="1451" spans="2:28" x14ac:dyDescent="0.2">
      <c r="B1451" s="23" t="s">
        <v>81</v>
      </c>
      <c r="C1451" s="23">
        <v>1100577437</v>
      </c>
      <c r="H1451" s="24">
        <v>46115</v>
      </c>
      <c r="O1451" s="23">
        <v>2452.11</v>
      </c>
      <c r="P1451" s="23" t="s">
        <v>79</v>
      </c>
    </row>
    <row r="1452" spans="2:28" x14ac:dyDescent="0.2">
      <c r="C1452" s="23">
        <v>1100577464</v>
      </c>
      <c r="E1452" s="23">
        <v>10</v>
      </c>
      <c r="F1452" s="23" t="s">
        <v>702</v>
      </c>
      <c r="G1452" s="23" t="s">
        <v>1797</v>
      </c>
      <c r="H1452" s="24">
        <v>46115</v>
      </c>
      <c r="I1452" s="24">
        <v>46115</v>
      </c>
      <c r="J1452" s="23" t="s">
        <v>102</v>
      </c>
      <c r="K1452" s="23" t="s">
        <v>102</v>
      </c>
      <c r="L1452" s="23">
        <v>4</v>
      </c>
      <c r="M1452" s="23" t="s">
        <v>78</v>
      </c>
      <c r="N1452" s="23" t="s">
        <v>78</v>
      </c>
      <c r="O1452" s="23">
        <v>513.16</v>
      </c>
      <c r="P1452" s="23" t="s">
        <v>79</v>
      </c>
      <c r="Q1452" s="23" t="s">
        <v>83</v>
      </c>
      <c r="R1452" s="23">
        <v>11100176</v>
      </c>
      <c r="S1452" s="24">
        <v>46087</v>
      </c>
      <c r="T1452" s="24">
        <v>46074</v>
      </c>
      <c r="U1452" s="24" t="s">
        <v>80</v>
      </c>
      <c r="X1452" s="24">
        <v>46070</v>
      </c>
      <c r="Y1452" s="23">
        <v>1111</v>
      </c>
      <c r="Z1452" s="23">
        <v>11600003</v>
      </c>
      <c r="AA1452" s="23">
        <v>515103</v>
      </c>
      <c r="AB1452" s="24">
        <v>46071</v>
      </c>
    </row>
    <row r="1453" spans="2:28" x14ac:dyDescent="0.2">
      <c r="C1453" s="23">
        <v>1100577464</v>
      </c>
      <c r="E1453" s="23">
        <v>20</v>
      </c>
      <c r="F1453" s="23" t="s">
        <v>82</v>
      </c>
      <c r="G1453" s="23" t="s">
        <v>139</v>
      </c>
      <c r="H1453" s="24">
        <v>46115</v>
      </c>
      <c r="I1453" s="24">
        <v>46115</v>
      </c>
      <c r="J1453" s="23" t="s">
        <v>102</v>
      </c>
      <c r="K1453" s="23" t="s">
        <v>102</v>
      </c>
      <c r="L1453" s="23">
        <v>1</v>
      </c>
      <c r="M1453" s="23" t="s">
        <v>78</v>
      </c>
      <c r="N1453" s="23" t="s">
        <v>78</v>
      </c>
      <c r="O1453" s="23">
        <v>0.01</v>
      </c>
      <c r="P1453" s="23" t="s">
        <v>79</v>
      </c>
      <c r="Q1453" s="23" t="s">
        <v>83</v>
      </c>
      <c r="R1453" s="23">
        <v>11100176</v>
      </c>
      <c r="S1453" s="24">
        <v>46087</v>
      </c>
      <c r="T1453" s="24">
        <v>46074</v>
      </c>
      <c r="U1453" s="24" t="s">
        <v>80</v>
      </c>
      <c r="X1453" s="24">
        <v>46070</v>
      </c>
      <c r="Y1453" s="23">
        <v>1111</v>
      </c>
      <c r="Z1453" s="23">
        <v>11600003</v>
      </c>
      <c r="AA1453" s="23">
        <v>515103</v>
      </c>
      <c r="AB1453" s="24">
        <v>46071</v>
      </c>
    </row>
    <row r="1454" spans="2:28" x14ac:dyDescent="0.2">
      <c r="B1454" s="23" t="s">
        <v>81</v>
      </c>
      <c r="C1454" s="23">
        <v>1100577464</v>
      </c>
      <c r="H1454" s="24">
        <v>46115</v>
      </c>
      <c r="O1454" s="23">
        <v>513.16999999999996</v>
      </c>
      <c r="P1454" s="23" t="s">
        <v>79</v>
      </c>
    </row>
    <row r="1455" spans="2:28" x14ac:dyDescent="0.2">
      <c r="C1455" s="23">
        <v>1100577472</v>
      </c>
      <c r="E1455" s="23">
        <v>10</v>
      </c>
      <c r="F1455" s="23" t="s">
        <v>1151</v>
      </c>
      <c r="G1455" s="23" t="s">
        <v>1152</v>
      </c>
      <c r="H1455" s="24">
        <v>46115</v>
      </c>
      <c r="I1455" s="24">
        <v>46115</v>
      </c>
      <c r="J1455" s="23" t="s">
        <v>1150</v>
      </c>
      <c r="K1455" s="23" t="s">
        <v>1150</v>
      </c>
      <c r="L1455" s="23">
        <v>3</v>
      </c>
      <c r="M1455" s="23" t="s">
        <v>78</v>
      </c>
      <c r="N1455" s="23" t="s">
        <v>78</v>
      </c>
      <c r="O1455" s="23">
        <v>828.96</v>
      </c>
      <c r="P1455" s="23" t="s">
        <v>79</v>
      </c>
      <c r="Q1455" s="23" t="s">
        <v>83</v>
      </c>
      <c r="R1455" s="23">
        <v>11100176</v>
      </c>
      <c r="S1455" s="24">
        <v>46078</v>
      </c>
      <c r="T1455" s="24">
        <v>46074</v>
      </c>
      <c r="U1455" s="24" t="s">
        <v>80</v>
      </c>
      <c r="X1455" s="24">
        <v>46070</v>
      </c>
      <c r="Y1455" s="23">
        <v>1111</v>
      </c>
      <c r="Z1455" s="23">
        <v>11600003</v>
      </c>
      <c r="AA1455" s="23">
        <v>505103</v>
      </c>
      <c r="AB1455" s="24">
        <v>46069</v>
      </c>
    </row>
    <row r="1456" spans="2:28" x14ac:dyDescent="0.2">
      <c r="C1456" s="23">
        <v>1100577472</v>
      </c>
      <c r="E1456" s="23">
        <v>20</v>
      </c>
      <c r="F1456" s="23" t="s">
        <v>3356</v>
      </c>
      <c r="G1456" s="23" t="s">
        <v>3357</v>
      </c>
      <c r="H1456" s="24">
        <v>46115</v>
      </c>
      <c r="I1456" s="24">
        <v>46115</v>
      </c>
      <c r="J1456" s="23" t="s">
        <v>1150</v>
      </c>
      <c r="K1456" s="23" t="s">
        <v>1150</v>
      </c>
      <c r="L1456" s="23">
        <v>1</v>
      </c>
      <c r="M1456" s="23" t="s">
        <v>78</v>
      </c>
      <c r="N1456" s="23" t="s">
        <v>78</v>
      </c>
      <c r="O1456" s="23">
        <v>37.28</v>
      </c>
      <c r="P1456" s="23" t="s">
        <v>79</v>
      </c>
      <c r="Q1456" s="23" t="s">
        <v>83</v>
      </c>
      <c r="R1456" s="23">
        <v>11100176</v>
      </c>
      <c r="S1456" s="24">
        <v>46078</v>
      </c>
      <c r="T1456" s="24">
        <v>46074</v>
      </c>
      <c r="U1456" s="24" t="s">
        <v>80</v>
      </c>
      <c r="X1456" s="24">
        <v>46070</v>
      </c>
      <c r="Y1456" s="23">
        <v>1111</v>
      </c>
      <c r="Z1456" s="23">
        <v>11600003</v>
      </c>
      <c r="AA1456" s="23">
        <v>505103</v>
      </c>
      <c r="AB1456" s="24">
        <v>46069</v>
      </c>
    </row>
    <row r="1457" spans="2:28" x14ac:dyDescent="0.2">
      <c r="C1457" s="23">
        <v>1100577472</v>
      </c>
      <c r="E1457" s="23">
        <v>30</v>
      </c>
      <c r="F1457" s="23" t="s">
        <v>3358</v>
      </c>
      <c r="G1457" s="23" t="s">
        <v>3359</v>
      </c>
      <c r="H1457" s="24">
        <v>46115</v>
      </c>
      <c r="I1457" s="24">
        <v>46115</v>
      </c>
      <c r="J1457" s="23" t="s">
        <v>1150</v>
      </c>
      <c r="K1457" s="23" t="s">
        <v>1150</v>
      </c>
      <c r="L1457" s="23">
        <v>1</v>
      </c>
      <c r="M1457" s="23" t="s">
        <v>78</v>
      </c>
      <c r="N1457" s="23" t="s">
        <v>78</v>
      </c>
      <c r="O1457" s="23">
        <v>502.2</v>
      </c>
      <c r="P1457" s="23" t="s">
        <v>79</v>
      </c>
      <c r="Q1457" s="23" t="s">
        <v>83</v>
      </c>
      <c r="R1457" s="23">
        <v>11100176</v>
      </c>
      <c r="S1457" s="24">
        <v>46078</v>
      </c>
      <c r="T1457" s="24">
        <v>46074</v>
      </c>
      <c r="U1457" s="24" t="s">
        <v>80</v>
      </c>
      <c r="X1457" s="24">
        <v>46070</v>
      </c>
      <c r="Y1457" s="23">
        <v>1111</v>
      </c>
      <c r="Z1457" s="23">
        <v>11600003</v>
      </c>
      <c r="AA1457" s="23">
        <v>505103</v>
      </c>
      <c r="AB1457" s="24">
        <v>46069</v>
      </c>
    </row>
    <row r="1458" spans="2:28" x14ac:dyDescent="0.2">
      <c r="C1458" s="23">
        <v>1100577472</v>
      </c>
      <c r="E1458" s="23">
        <v>40</v>
      </c>
      <c r="F1458" s="23" t="s">
        <v>82</v>
      </c>
      <c r="G1458" s="23" t="s">
        <v>139</v>
      </c>
      <c r="H1458" s="24">
        <v>46115</v>
      </c>
      <c r="I1458" s="24">
        <v>46115</v>
      </c>
      <c r="J1458" s="23" t="s">
        <v>1150</v>
      </c>
      <c r="K1458" s="23" t="s">
        <v>1150</v>
      </c>
      <c r="L1458" s="23">
        <v>1</v>
      </c>
      <c r="M1458" s="23" t="s">
        <v>78</v>
      </c>
      <c r="N1458" s="23" t="s">
        <v>78</v>
      </c>
      <c r="O1458" s="23">
        <v>0.01</v>
      </c>
      <c r="P1458" s="23" t="s">
        <v>79</v>
      </c>
      <c r="Q1458" s="23" t="s">
        <v>83</v>
      </c>
      <c r="R1458" s="23">
        <v>11100176</v>
      </c>
      <c r="S1458" s="24">
        <v>46078</v>
      </c>
      <c r="T1458" s="24">
        <v>46074</v>
      </c>
      <c r="U1458" s="24" t="s">
        <v>80</v>
      </c>
      <c r="X1458" s="24">
        <v>46070</v>
      </c>
      <c r="Y1458" s="23">
        <v>1111</v>
      </c>
      <c r="Z1458" s="23">
        <v>11600003</v>
      </c>
      <c r="AA1458" s="23">
        <v>505103</v>
      </c>
      <c r="AB1458" s="24">
        <v>46069</v>
      </c>
    </row>
    <row r="1459" spans="2:28" x14ac:dyDescent="0.2">
      <c r="B1459" s="23" t="s">
        <v>81</v>
      </c>
      <c r="C1459" s="23">
        <v>1100577472</v>
      </c>
      <c r="H1459" s="24">
        <v>46115</v>
      </c>
      <c r="O1459" s="23">
        <v>1368.45</v>
      </c>
      <c r="P1459" s="23" t="s">
        <v>79</v>
      </c>
    </row>
    <row r="1460" spans="2:28" x14ac:dyDescent="0.2">
      <c r="C1460" s="23">
        <v>1100577495</v>
      </c>
      <c r="E1460" s="23">
        <v>10</v>
      </c>
      <c r="F1460" s="23" t="s">
        <v>2919</v>
      </c>
      <c r="G1460" s="23" t="s">
        <v>2920</v>
      </c>
      <c r="H1460" s="24">
        <v>46115</v>
      </c>
      <c r="I1460" s="24">
        <v>46115</v>
      </c>
      <c r="J1460" s="23" t="s">
        <v>1898</v>
      </c>
      <c r="K1460" s="23" t="s">
        <v>1898</v>
      </c>
      <c r="L1460" s="23">
        <v>1</v>
      </c>
      <c r="M1460" s="23" t="s">
        <v>78</v>
      </c>
      <c r="N1460" s="23" t="s">
        <v>78</v>
      </c>
      <c r="O1460" s="23">
        <v>105.26</v>
      </c>
      <c r="P1460" s="23" t="s">
        <v>79</v>
      </c>
      <c r="Q1460" s="23" t="s">
        <v>83</v>
      </c>
      <c r="R1460" s="23">
        <v>11100176</v>
      </c>
      <c r="S1460" s="24">
        <v>46115</v>
      </c>
      <c r="T1460" s="24">
        <v>46074</v>
      </c>
      <c r="U1460" s="24" t="s">
        <v>80</v>
      </c>
      <c r="X1460" s="24">
        <v>46064</v>
      </c>
      <c r="Y1460" s="23">
        <v>1111</v>
      </c>
      <c r="Z1460" s="23">
        <v>11600003</v>
      </c>
      <c r="AA1460" s="23">
        <v>335103</v>
      </c>
      <c r="AB1460" s="24">
        <v>46071</v>
      </c>
    </row>
    <row r="1461" spans="2:28" x14ac:dyDescent="0.2">
      <c r="C1461" s="23">
        <v>1100577495</v>
      </c>
      <c r="E1461" s="23">
        <v>20</v>
      </c>
      <c r="F1461" s="23" t="s">
        <v>1933</v>
      </c>
      <c r="G1461" s="23" t="s">
        <v>1934</v>
      </c>
      <c r="H1461" s="24">
        <v>46115</v>
      </c>
      <c r="I1461" s="24">
        <v>46115</v>
      </c>
      <c r="J1461" s="23" t="s">
        <v>1898</v>
      </c>
      <c r="K1461" s="23" t="s">
        <v>1898</v>
      </c>
      <c r="L1461" s="23">
        <v>1</v>
      </c>
      <c r="M1461" s="23" t="s">
        <v>78</v>
      </c>
      <c r="N1461" s="23" t="s">
        <v>78</v>
      </c>
      <c r="O1461" s="23">
        <v>317.99</v>
      </c>
      <c r="P1461" s="23" t="s">
        <v>79</v>
      </c>
      <c r="Q1461" s="23" t="s">
        <v>83</v>
      </c>
      <c r="R1461" s="23">
        <v>11100176</v>
      </c>
      <c r="S1461" s="24">
        <v>46115</v>
      </c>
      <c r="T1461" s="24">
        <v>46074</v>
      </c>
      <c r="U1461" s="24" t="s">
        <v>80</v>
      </c>
      <c r="X1461" s="24">
        <v>46064</v>
      </c>
      <c r="Y1461" s="23">
        <v>1111</v>
      </c>
      <c r="Z1461" s="23">
        <v>11600003</v>
      </c>
      <c r="AA1461" s="23">
        <v>335103</v>
      </c>
      <c r="AB1461" s="24">
        <v>46071</v>
      </c>
    </row>
    <row r="1462" spans="2:28" x14ac:dyDescent="0.2">
      <c r="C1462" s="23">
        <v>1100577495</v>
      </c>
      <c r="E1462" s="23">
        <v>30</v>
      </c>
      <c r="F1462" s="23" t="s">
        <v>82</v>
      </c>
      <c r="G1462" s="23" t="s">
        <v>139</v>
      </c>
      <c r="H1462" s="24">
        <v>46115</v>
      </c>
      <c r="I1462" s="24">
        <v>46115</v>
      </c>
      <c r="J1462" s="23" t="s">
        <v>1898</v>
      </c>
      <c r="K1462" s="23" t="s">
        <v>1898</v>
      </c>
      <c r="L1462" s="23">
        <v>1</v>
      </c>
      <c r="M1462" s="23" t="s">
        <v>78</v>
      </c>
      <c r="N1462" s="23" t="s">
        <v>78</v>
      </c>
      <c r="O1462" s="23">
        <v>0.01</v>
      </c>
      <c r="P1462" s="23" t="s">
        <v>79</v>
      </c>
      <c r="Q1462" s="23" t="s">
        <v>83</v>
      </c>
      <c r="R1462" s="23">
        <v>11100176</v>
      </c>
      <c r="S1462" s="24">
        <v>46115</v>
      </c>
      <c r="T1462" s="24">
        <v>46074</v>
      </c>
      <c r="U1462" s="24" t="s">
        <v>80</v>
      </c>
      <c r="X1462" s="24">
        <v>46064</v>
      </c>
      <c r="Y1462" s="23">
        <v>1111</v>
      </c>
      <c r="Z1462" s="23">
        <v>11600003</v>
      </c>
      <c r="AA1462" s="23">
        <v>335103</v>
      </c>
      <c r="AB1462" s="24">
        <v>46071</v>
      </c>
    </row>
    <row r="1463" spans="2:28" x14ac:dyDescent="0.2">
      <c r="B1463" s="23" t="s">
        <v>81</v>
      </c>
      <c r="C1463" s="23">
        <v>1100577495</v>
      </c>
      <c r="H1463" s="24">
        <v>46115</v>
      </c>
      <c r="O1463" s="23">
        <v>423.26</v>
      </c>
      <c r="P1463" s="23" t="s">
        <v>79</v>
      </c>
    </row>
    <row r="1464" spans="2:28" x14ac:dyDescent="0.2">
      <c r="C1464" s="23">
        <v>1100578032</v>
      </c>
      <c r="E1464" s="23">
        <v>10</v>
      </c>
      <c r="F1464" s="23" t="s">
        <v>786</v>
      </c>
      <c r="G1464" s="23" t="s">
        <v>2292</v>
      </c>
      <c r="H1464" s="24">
        <v>46115</v>
      </c>
      <c r="I1464" s="24">
        <v>46115</v>
      </c>
      <c r="J1464" s="23" t="s">
        <v>91</v>
      </c>
      <c r="K1464" s="23" t="s">
        <v>91</v>
      </c>
      <c r="L1464" s="23">
        <v>4</v>
      </c>
      <c r="M1464" s="23" t="s">
        <v>78</v>
      </c>
      <c r="N1464" s="23" t="s">
        <v>78</v>
      </c>
      <c r="O1464" s="23">
        <v>241.24</v>
      </c>
      <c r="P1464" s="23" t="s">
        <v>79</v>
      </c>
      <c r="Q1464" s="23" t="s">
        <v>83</v>
      </c>
      <c r="R1464" s="23">
        <v>11100176</v>
      </c>
      <c r="S1464" s="24">
        <v>46115</v>
      </c>
      <c r="T1464" s="24">
        <v>46079</v>
      </c>
      <c r="U1464" s="24" t="s">
        <v>80</v>
      </c>
      <c r="X1464" s="24">
        <v>46072</v>
      </c>
      <c r="Y1464" s="23">
        <v>1111</v>
      </c>
      <c r="Z1464" s="23">
        <v>11600003</v>
      </c>
      <c r="AA1464" s="23">
        <v>335103</v>
      </c>
      <c r="AB1464" s="24">
        <v>46078</v>
      </c>
    </row>
    <row r="1465" spans="2:28" x14ac:dyDescent="0.2">
      <c r="C1465" s="23">
        <v>1100578032</v>
      </c>
      <c r="E1465" s="23">
        <v>20</v>
      </c>
      <c r="F1465" s="23" t="s">
        <v>82</v>
      </c>
      <c r="G1465" s="23" t="s">
        <v>139</v>
      </c>
      <c r="H1465" s="24">
        <v>46115</v>
      </c>
      <c r="I1465" s="24">
        <v>46115</v>
      </c>
      <c r="J1465" s="23" t="s">
        <v>91</v>
      </c>
      <c r="K1465" s="23" t="s">
        <v>91</v>
      </c>
      <c r="L1465" s="23">
        <v>1</v>
      </c>
      <c r="M1465" s="23" t="s">
        <v>78</v>
      </c>
      <c r="N1465" s="23" t="s">
        <v>78</v>
      </c>
      <c r="O1465" s="23">
        <v>0.01</v>
      </c>
      <c r="P1465" s="23" t="s">
        <v>79</v>
      </c>
      <c r="Q1465" s="23" t="s">
        <v>83</v>
      </c>
      <c r="R1465" s="23">
        <v>11100176</v>
      </c>
      <c r="S1465" s="24">
        <v>46115</v>
      </c>
      <c r="T1465" s="24">
        <v>46079</v>
      </c>
      <c r="U1465" s="24" t="s">
        <v>80</v>
      </c>
      <c r="X1465" s="24">
        <v>46072</v>
      </c>
      <c r="Y1465" s="23">
        <v>1111</v>
      </c>
      <c r="Z1465" s="23">
        <v>11600003</v>
      </c>
      <c r="AA1465" s="23">
        <v>335103</v>
      </c>
      <c r="AB1465" s="24">
        <v>46078</v>
      </c>
    </row>
    <row r="1466" spans="2:28" x14ac:dyDescent="0.2">
      <c r="B1466" s="23" t="s">
        <v>81</v>
      </c>
      <c r="C1466" s="23">
        <v>1100578032</v>
      </c>
      <c r="H1466" s="24">
        <v>46115</v>
      </c>
      <c r="O1466" s="23">
        <v>241.25</v>
      </c>
      <c r="P1466" s="23" t="s">
        <v>79</v>
      </c>
    </row>
    <row r="1467" spans="2:28" x14ac:dyDescent="0.2">
      <c r="C1467" s="23">
        <v>1100578356</v>
      </c>
      <c r="E1467" s="23">
        <v>10</v>
      </c>
      <c r="F1467" s="23" t="s">
        <v>3360</v>
      </c>
      <c r="G1467" s="23" t="s">
        <v>3361</v>
      </c>
      <c r="H1467" s="24">
        <v>46115</v>
      </c>
      <c r="I1467" s="24">
        <v>46115</v>
      </c>
      <c r="J1467" s="23" t="s">
        <v>561</v>
      </c>
      <c r="K1467" s="23" t="s">
        <v>561</v>
      </c>
      <c r="L1467" s="23">
        <v>1</v>
      </c>
      <c r="M1467" s="23" t="s">
        <v>78</v>
      </c>
      <c r="N1467" s="23" t="s">
        <v>78</v>
      </c>
      <c r="O1467" s="23">
        <v>47.37</v>
      </c>
      <c r="P1467" s="23" t="s">
        <v>79</v>
      </c>
      <c r="Q1467" s="23" t="s">
        <v>83</v>
      </c>
      <c r="R1467" s="23">
        <v>11100176</v>
      </c>
      <c r="S1467" s="24">
        <v>46115</v>
      </c>
      <c r="T1467" s="24">
        <v>46081</v>
      </c>
      <c r="U1467" s="24">
        <v>47116</v>
      </c>
      <c r="X1467" s="24">
        <v>46077</v>
      </c>
      <c r="Y1467" s="23">
        <v>1111</v>
      </c>
      <c r="Z1467" s="23">
        <v>11600001</v>
      </c>
      <c r="AA1467" s="23">
        <v>335103</v>
      </c>
      <c r="AB1467" s="24">
        <v>46079</v>
      </c>
    </row>
    <row r="1468" spans="2:28" x14ac:dyDescent="0.2">
      <c r="C1468" s="23">
        <v>1100578356</v>
      </c>
      <c r="E1468" s="23">
        <v>20</v>
      </c>
      <c r="F1468" s="23" t="s">
        <v>2160</v>
      </c>
      <c r="G1468" s="23" t="s">
        <v>2161</v>
      </c>
      <c r="H1468" s="24">
        <v>46115</v>
      </c>
      <c r="I1468" s="24">
        <v>46115</v>
      </c>
      <c r="J1468" s="23" t="s">
        <v>561</v>
      </c>
      <c r="K1468" s="23" t="s">
        <v>561</v>
      </c>
      <c r="L1468" s="23">
        <v>1</v>
      </c>
      <c r="M1468" s="23" t="s">
        <v>78</v>
      </c>
      <c r="N1468" s="23" t="s">
        <v>78</v>
      </c>
      <c r="O1468" s="23">
        <v>29.4</v>
      </c>
      <c r="P1468" s="23" t="s">
        <v>79</v>
      </c>
      <c r="Q1468" s="23" t="s">
        <v>83</v>
      </c>
      <c r="R1468" s="23">
        <v>11100176</v>
      </c>
      <c r="S1468" s="24">
        <v>46115</v>
      </c>
      <c r="T1468" s="24">
        <v>46081</v>
      </c>
      <c r="U1468" s="24">
        <v>47116</v>
      </c>
      <c r="X1468" s="24">
        <v>46077</v>
      </c>
      <c r="Y1468" s="23">
        <v>1111</v>
      </c>
      <c r="Z1468" s="23">
        <v>11600001</v>
      </c>
      <c r="AA1468" s="23">
        <v>335103</v>
      </c>
      <c r="AB1468" s="24">
        <v>46079</v>
      </c>
    </row>
    <row r="1469" spans="2:28" x14ac:dyDescent="0.2">
      <c r="B1469" s="23" t="s">
        <v>81</v>
      </c>
      <c r="C1469" s="23">
        <v>1100578356</v>
      </c>
      <c r="H1469" s="24">
        <v>46115</v>
      </c>
      <c r="O1469" s="23">
        <v>76.77</v>
      </c>
      <c r="P1469" s="23" t="s">
        <v>79</v>
      </c>
    </row>
    <row r="1470" spans="2:28" x14ac:dyDescent="0.2">
      <c r="C1470" s="23">
        <v>1100578506</v>
      </c>
      <c r="E1470" s="23">
        <v>10</v>
      </c>
      <c r="F1470" s="23" t="s">
        <v>2158</v>
      </c>
      <c r="G1470" s="23" t="s">
        <v>2159</v>
      </c>
      <c r="H1470" s="24">
        <v>46115</v>
      </c>
      <c r="I1470" s="24">
        <v>46115</v>
      </c>
      <c r="J1470" s="23" t="s">
        <v>272</v>
      </c>
      <c r="K1470" s="23" t="s">
        <v>272</v>
      </c>
      <c r="L1470" s="23">
        <v>2</v>
      </c>
      <c r="M1470" s="23" t="s">
        <v>78</v>
      </c>
      <c r="N1470" s="23" t="s">
        <v>78</v>
      </c>
      <c r="O1470" s="23">
        <v>0</v>
      </c>
      <c r="P1470" s="23" t="s">
        <v>79</v>
      </c>
      <c r="Q1470" s="23" t="s">
        <v>83</v>
      </c>
      <c r="R1470" s="23">
        <v>11100176</v>
      </c>
      <c r="S1470" s="24" t="s">
        <v>80</v>
      </c>
      <c r="T1470" s="24">
        <v>46084</v>
      </c>
      <c r="U1470" s="24" t="s">
        <v>80</v>
      </c>
      <c r="X1470" s="24">
        <v>46084</v>
      </c>
      <c r="Y1470" s="23">
        <v>1111</v>
      </c>
      <c r="Z1470" s="23">
        <v>11400797</v>
      </c>
      <c r="AA1470" s="23">
        <v>3951</v>
      </c>
      <c r="AB1470" s="24">
        <v>46084</v>
      </c>
    </row>
    <row r="1471" spans="2:28" x14ac:dyDescent="0.2">
      <c r="B1471" s="23" t="s">
        <v>81</v>
      </c>
      <c r="C1471" s="23">
        <v>1100578506</v>
      </c>
      <c r="H1471" s="24">
        <v>46115</v>
      </c>
      <c r="O1471" s="23">
        <v>0</v>
      </c>
      <c r="P1471" s="23" t="s">
        <v>79</v>
      </c>
    </row>
    <row r="1472" spans="2:28" x14ac:dyDescent="0.2">
      <c r="C1472" s="23">
        <v>1100578686</v>
      </c>
      <c r="E1472" s="23">
        <v>10</v>
      </c>
      <c r="F1472" s="23" t="s">
        <v>4248</v>
      </c>
      <c r="G1472" s="23" t="s">
        <v>4249</v>
      </c>
      <c r="H1472" s="24">
        <v>46115</v>
      </c>
      <c r="I1472" s="24">
        <v>46115</v>
      </c>
      <c r="J1472" s="23" t="s">
        <v>92</v>
      </c>
      <c r="K1472" s="23" t="s">
        <v>92</v>
      </c>
      <c r="L1472" s="23">
        <v>1</v>
      </c>
      <c r="M1472" s="23" t="s">
        <v>78</v>
      </c>
      <c r="N1472" s="23" t="s">
        <v>78</v>
      </c>
      <c r="O1472" s="23">
        <v>727.31</v>
      </c>
      <c r="P1472" s="23" t="s">
        <v>79</v>
      </c>
      <c r="Q1472" s="23" t="s">
        <v>83</v>
      </c>
      <c r="R1472" s="23">
        <v>11100176</v>
      </c>
      <c r="S1472" s="24">
        <v>46115</v>
      </c>
      <c r="T1472" s="24">
        <v>46086</v>
      </c>
      <c r="U1472" s="24" t="s">
        <v>80</v>
      </c>
      <c r="X1472" s="24">
        <v>46084</v>
      </c>
      <c r="Y1472" s="23">
        <v>1111</v>
      </c>
      <c r="Z1472" s="23">
        <v>11600003</v>
      </c>
      <c r="AA1472" s="23">
        <v>525103</v>
      </c>
      <c r="AB1472" s="24">
        <v>46083</v>
      </c>
    </row>
    <row r="1473" spans="2:28" x14ac:dyDescent="0.2">
      <c r="C1473" s="23">
        <v>1100578686</v>
      </c>
      <c r="E1473" s="23">
        <v>20</v>
      </c>
      <c r="F1473" s="23" t="s">
        <v>2973</v>
      </c>
      <c r="G1473" s="23" t="s">
        <v>2974</v>
      </c>
      <c r="H1473" s="24">
        <v>46115</v>
      </c>
      <c r="I1473" s="24">
        <v>46115</v>
      </c>
      <c r="J1473" s="23" t="s">
        <v>92</v>
      </c>
      <c r="K1473" s="23" t="s">
        <v>92</v>
      </c>
      <c r="L1473" s="23">
        <v>1</v>
      </c>
      <c r="M1473" s="23" t="s">
        <v>78</v>
      </c>
      <c r="N1473" s="23" t="s">
        <v>78</v>
      </c>
      <c r="O1473" s="23">
        <v>1838.51</v>
      </c>
      <c r="P1473" s="23" t="s">
        <v>79</v>
      </c>
      <c r="Q1473" s="23" t="s">
        <v>83</v>
      </c>
      <c r="R1473" s="23">
        <v>11100176</v>
      </c>
      <c r="S1473" s="24">
        <v>46115</v>
      </c>
      <c r="T1473" s="24">
        <v>46086</v>
      </c>
      <c r="U1473" s="24" t="s">
        <v>80</v>
      </c>
      <c r="X1473" s="24">
        <v>46084</v>
      </c>
      <c r="Y1473" s="23">
        <v>1111</v>
      </c>
      <c r="Z1473" s="23">
        <v>11600003</v>
      </c>
      <c r="AA1473" s="23">
        <v>525103</v>
      </c>
      <c r="AB1473" s="24">
        <v>46083</v>
      </c>
    </row>
    <row r="1474" spans="2:28" x14ac:dyDescent="0.2">
      <c r="B1474" s="23" t="s">
        <v>81</v>
      </c>
      <c r="C1474" s="23">
        <v>1100578686</v>
      </c>
      <c r="H1474" s="24">
        <v>46115</v>
      </c>
      <c r="O1474" s="23">
        <v>2565.8200000000002</v>
      </c>
      <c r="P1474" s="23" t="s">
        <v>79</v>
      </c>
    </row>
    <row r="1475" spans="2:28" x14ac:dyDescent="0.2">
      <c r="C1475" s="23">
        <v>1100571125</v>
      </c>
      <c r="E1475" s="23">
        <v>80</v>
      </c>
      <c r="F1475" s="23" t="s">
        <v>1746</v>
      </c>
      <c r="G1475" s="23" t="s">
        <v>1747</v>
      </c>
      <c r="H1475" s="24">
        <v>46116</v>
      </c>
      <c r="I1475" s="24">
        <v>46116</v>
      </c>
      <c r="J1475" s="23" t="s">
        <v>1748</v>
      </c>
      <c r="K1475" s="23" t="s">
        <v>1748</v>
      </c>
      <c r="L1475" s="23">
        <v>16</v>
      </c>
      <c r="M1475" s="23" t="s">
        <v>78</v>
      </c>
      <c r="N1475" s="23" t="s">
        <v>78</v>
      </c>
      <c r="O1475" s="23">
        <v>210.56</v>
      </c>
      <c r="P1475" s="23" t="s">
        <v>79</v>
      </c>
      <c r="Q1475" s="23" t="s">
        <v>83</v>
      </c>
      <c r="R1475" s="23">
        <v>11100176</v>
      </c>
      <c r="S1475" s="24">
        <v>46031</v>
      </c>
      <c r="T1475" s="24">
        <v>46001</v>
      </c>
      <c r="U1475" s="24">
        <v>46037</v>
      </c>
      <c r="X1475" s="24">
        <v>46000</v>
      </c>
      <c r="Y1475" s="23">
        <v>1111</v>
      </c>
      <c r="Z1475" s="23">
        <v>11600003</v>
      </c>
      <c r="AA1475" s="23">
        <v>335103</v>
      </c>
      <c r="AB1475" s="24">
        <v>46000</v>
      </c>
    </row>
    <row r="1476" spans="2:28" x14ac:dyDescent="0.2">
      <c r="B1476" s="23" t="s">
        <v>81</v>
      </c>
      <c r="C1476" s="23">
        <v>1100571125</v>
      </c>
      <c r="H1476" s="24">
        <v>46116</v>
      </c>
      <c r="O1476" s="23">
        <v>210.56</v>
      </c>
      <c r="P1476" s="23" t="s">
        <v>79</v>
      </c>
    </row>
    <row r="1477" spans="2:28" x14ac:dyDescent="0.2">
      <c r="C1477" s="23">
        <v>1100577774</v>
      </c>
      <c r="E1477" s="23">
        <v>10</v>
      </c>
      <c r="F1477" s="23" t="s">
        <v>3362</v>
      </c>
      <c r="G1477" s="23" t="s">
        <v>3363</v>
      </c>
      <c r="H1477" s="24">
        <v>46117</v>
      </c>
      <c r="I1477" s="24">
        <v>46117</v>
      </c>
      <c r="J1477" s="23" t="s">
        <v>3364</v>
      </c>
      <c r="K1477" s="23" t="s">
        <v>3364</v>
      </c>
      <c r="L1477" s="23">
        <v>1</v>
      </c>
      <c r="M1477" s="23" t="s">
        <v>78</v>
      </c>
      <c r="N1477" s="23" t="s">
        <v>78</v>
      </c>
      <c r="O1477" s="23">
        <v>1634.55</v>
      </c>
      <c r="P1477" s="23" t="s">
        <v>79</v>
      </c>
      <c r="Q1477" s="23" t="s">
        <v>83</v>
      </c>
      <c r="R1477" s="23">
        <v>11100176</v>
      </c>
      <c r="S1477" s="24">
        <v>46098</v>
      </c>
      <c r="T1477" s="24">
        <v>46077</v>
      </c>
      <c r="U1477" s="24" t="s">
        <v>80</v>
      </c>
      <c r="X1477" s="24">
        <v>46077</v>
      </c>
      <c r="Y1477" s="23">
        <v>1111</v>
      </c>
      <c r="Z1477" s="23">
        <v>11600007</v>
      </c>
      <c r="AA1477" s="23">
        <v>3951</v>
      </c>
      <c r="AB1477" s="24">
        <v>46066</v>
      </c>
    </row>
    <row r="1478" spans="2:28" x14ac:dyDescent="0.2">
      <c r="C1478" s="23">
        <v>1100577774</v>
      </c>
      <c r="E1478" s="23">
        <v>20</v>
      </c>
      <c r="F1478" s="23" t="s">
        <v>82</v>
      </c>
      <c r="G1478" s="23" t="s">
        <v>139</v>
      </c>
      <c r="H1478" s="24">
        <v>46117</v>
      </c>
      <c r="I1478" s="24">
        <v>46117</v>
      </c>
      <c r="J1478" s="23" t="s">
        <v>3364</v>
      </c>
      <c r="K1478" s="23" t="s">
        <v>3364</v>
      </c>
      <c r="L1478" s="23">
        <v>1</v>
      </c>
      <c r="M1478" s="23" t="s">
        <v>78</v>
      </c>
      <c r="N1478" s="23" t="s">
        <v>78</v>
      </c>
      <c r="O1478" s="23">
        <v>0.01</v>
      </c>
      <c r="P1478" s="23" t="s">
        <v>79</v>
      </c>
      <c r="Q1478" s="23" t="s">
        <v>83</v>
      </c>
      <c r="R1478" s="23">
        <v>11100176</v>
      </c>
      <c r="S1478" s="24" t="s">
        <v>80</v>
      </c>
      <c r="T1478" s="24">
        <v>46077</v>
      </c>
      <c r="U1478" s="24" t="s">
        <v>80</v>
      </c>
      <c r="X1478" s="24">
        <v>46077</v>
      </c>
      <c r="Y1478" s="23">
        <v>1111</v>
      </c>
      <c r="Z1478" s="23">
        <v>11600007</v>
      </c>
      <c r="AA1478" s="23">
        <v>3951</v>
      </c>
      <c r="AB1478" s="24">
        <v>46066</v>
      </c>
    </row>
    <row r="1479" spans="2:28" x14ac:dyDescent="0.2">
      <c r="B1479" s="23" t="s">
        <v>81</v>
      </c>
      <c r="C1479" s="23">
        <v>1100577774</v>
      </c>
      <c r="H1479" s="24">
        <v>46117</v>
      </c>
      <c r="O1479" s="23">
        <v>1634.56</v>
      </c>
      <c r="P1479" s="23" t="s">
        <v>79</v>
      </c>
    </row>
    <row r="1480" spans="2:28" x14ac:dyDescent="0.2">
      <c r="C1480" s="23">
        <v>1100578450</v>
      </c>
      <c r="E1480" s="23">
        <v>10</v>
      </c>
      <c r="F1480" s="23" t="s">
        <v>1773</v>
      </c>
      <c r="G1480" s="23" t="s">
        <v>1774</v>
      </c>
      <c r="H1480" s="24">
        <v>46117</v>
      </c>
      <c r="I1480" s="24">
        <v>46117</v>
      </c>
      <c r="J1480" s="23" t="s">
        <v>3365</v>
      </c>
      <c r="K1480" s="23" t="s">
        <v>3365</v>
      </c>
      <c r="L1480" s="23">
        <v>2</v>
      </c>
      <c r="M1480" s="23" t="s">
        <v>78</v>
      </c>
      <c r="N1480" s="23" t="s">
        <v>78</v>
      </c>
      <c r="O1480" s="23">
        <v>205.29</v>
      </c>
      <c r="P1480" s="23" t="s">
        <v>79</v>
      </c>
      <c r="Q1480" s="23" t="s">
        <v>83</v>
      </c>
      <c r="R1480" s="23">
        <v>11100176</v>
      </c>
      <c r="S1480" s="24">
        <v>46097</v>
      </c>
      <c r="T1480" s="24">
        <v>46083</v>
      </c>
      <c r="U1480" s="24" t="s">
        <v>80</v>
      </c>
      <c r="X1480" s="24">
        <v>46080</v>
      </c>
      <c r="Y1480" s="23">
        <v>1111</v>
      </c>
      <c r="Z1480" s="23">
        <v>11400797</v>
      </c>
      <c r="AA1480" s="23">
        <v>5251</v>
      </c>
      <c r="AB1480" s="24">
        <v>46080</v>
      </c>
    </row>
    <row r="1481" spans="2:28" x14ac:dyDescent="0.2">
      <c r="C1481" s="23">
        <v>1100578450</v>
      </c>
      <c r="E1481" s="23">
        <v>20</v>
      </c>
      <c r="F1481" s="23" t="s">
        <v>1770</v>
      </c>
      <c r="G1481" s="23" t="s">
        <v>1771</v>
      </c>
      <c r="H1481" s="24">
        <v>46117</v>
      </c>
      <c r="I1481" s="24">
        <v>46117</v>
      </c>
      <c r="J1481" s="23" t="s">
        <v>3365</v>
      </c>
      <c r="K1481" s="23" t="s">
        <v>3365</v>
      </c>
      <c r="L1481" s="23">
        <v>2</v>
      </c>
      <c r="M1481" s="23" t="s">
        <v>78</v>
      </c>
      <c r="N1481" s="23" t="s">
        <v>78</v>
      </c>
      <c r="O1481" s="23">
        <v>7.83</v>
      </c>
      <c r="P1481" s="23" t="s">
        <v>79</v>
      </c>
      <c r="Q1481" s="23" t="s">
        <v>83</v>
      </c>
      <c r="R1481" s="23">
        <v>11100176</v>
      </c>
      <c r="S1481" s="24">
        <v>46097</v>
      </c>
      <c r="T1481" s="24">
        <v>46083</v>
      </c>
      <c r="U1481" s="24" t="s">
        <v>80</v>
      </c>
      <c r="X1481" s="24">
        <v>46080</v>
      </c>
      <c r="Y1481" s="23">
        <v>1111</v>
      </c>
      <c r="Z1481" s="23">
        <v>11400797</v>
      </c>
      <c r="AA1481" s="23">
        <v>5251</v>
      </c>
      <c r="AB1481" s="24">
        <v>46080</v>
      </c>
    </row>
    <row r="1482" spans="2:28" x14ac:dyDescent="0.2">
      <c r="C1482" s="23">
        <v>1100578450</v>
      </c>
      <c r="E1482" s="23">
        <v>30</v>
      </c>
      <c r="F1482" s="23" t="s">
        <v>82</v>
      </c>
      <c r="G1482" s="23" t="s">
        <v>139</v>
      </c>
      <c r="H1482" s="24">
        <v>46117</v>
      </c>
      <c r="I1482" s="24">
        <v>46117</v>
      </c>
      <c r="J1482" s="23" t="s">
        <v>3365</v>
      </c>
      <c r="K1482" s="23" t="s">
        <v>3365</v>
      </c>
      <c r="L1482" s="23">
        <v>1</v>
      </c>
      <c r="M1482" s="23" t="s">
        <v>78</v>
      </c>
      <c r="N1482" s="23" t="s">
        <v>78</v>
      </c>
      <c r="O1482" s="23">
        <v>0.01</v>
      </c>
      <c r="P1482" s="23" t="s">
        <v>79</v>
      </c>
      <c r="Q1482" s="23" t="s">
        <v>83</v>
      </c>
      <c r="R1482" s="23">
        <v>11100176</v>
      </c>
      <c r="S1482" s="24" t="s">
        <v>80</v>
      </c>
      <c r="T1482" s="24">
        <v>46083</v>
      </c>
      <c r="U1482" s="24" t="s">
        <v>80</v>
      </c>
      <c r="X1482" s="24">
        <v>46080</v>
      </c>
      <c r="Y1482" s="23">
        <v>1111</v>
      </c>
      <c r="Z1482" s="23">
        <v>11400797</v>
      </c>
      <c r="AA1482" s="23">
        <v>5251</v>
      </c>
      <c r="AB1482" s="24">
        <v>46080</v>
      </c>
    </row>
    <row r="1483" spans="2:28" x14ac:dyDescent="0.2">
      <c r="B1483" s="23" t="s">
        <v>81</v>
      </c>
      <c r="C1483" s="23">
        <v>1100578450</v>
      </c>
      <c r="H1483" s="24">
        <v>46117</v>
      </c>
      <c r="O1483" s="23">
        <v>213.13</v>
      </c>
      <c r="P1483" s="23" t="s">
        <v>79</v>
      </c>
    </row>
    <row r="1484" spans="2:28" x14ac:dyDescent="0.2">
      <c r="C1484" s="23">
        <v>1100552773</v>
      </c>
      <c r="E1484" s="23">
        <v>10</v>
      </c>
      <c r="F1484" s="23" t="s">
        <v>889</v>
      </c>
      <c r="G1484" s="23" t="s">
        <v>890</v>
      </c>
      <c r="H1484" s="24">
        <v>46118</v>
      </c>
      <c r="I1484" s="24">
        <v>46118</v>
      </c>
      <c r="J1484" s="23" t="s">
        <v>100</v>
      </c>
      <c r="K1484" s="23" t="s">
        <v>100</v>
      </c>
      <c r="L1484" s="23">
        <v>2</v>
      </c>
      <c r="M1484" s="23" t="s">
        <v>78</v>
      </c>
      <c r="N1484" s="23" t="s">
        <v>78</v>
      </c>
      <c r="O1484" s="23">
        <v>4500</v>
      </c>
      <c r="P1484" s="23" t="s">
        <v>79</v>
      </c>
      <c r="Q1484" s="23" t="s">
        <v>119</v>
      </c>
      <c r="R1484" s="23">
        <v>11100008</v>
      </c>
      <c r="S1484" s="24">
        <v>45876</v>
      </c>
      <c r="T1484" s="24">
        <v>45812</v>
      </c>
      <c r="U1484" s="24">
        <v>45985</v>
      </c>
      <c r="X1484" s="24">
        <v>45750</v>
      </c>
      <c r="Y1484" s="23">
        <v>1111</v>
      </c>
      <c r="Z1484" s="23">
        <v>11600009</v>
      </c>
      <c r="AA1484" s="23">
        <v>395103</v>
      </c>
      <c r="AB1484" s="24">
        <v>45812</v>
      </c>
    </row>
    <row r="1485" spans="2:28" x14ac:dyDescent="0.2">
      <c r="B1485" s="23" t="s">
        <v>81</v>
      </c>
      <c r="C1485" s="23">
        <v>1100552773</v>
      </c>
      <c r="H1485" s="24">
        <v>46118</v>
      </c>
      <c r="O1485" s="23">
        <v>4500</v>
      </c>
      <c r="P1485" s="23" t="s">
        <v>79</v>
      </c>
    </row>
    <row r="1486" spans="2:28" x14ac:dyDescent="0.2">
      <c r="C1486" s="23">
        <v>1100576283</v>
      </c>
      <c r="E1486" s="23">
        <v>10</v>
      </c>
      <c r="F1486" s="23" t="s">
        <v>3366</v>
      </c>
      <c r="G1486" s="23" t="s">
        <v>3367</v>
      </c>
      <c r="H1486" s="24">
        <v>46118</v>
      </c>
      <c r="I1486" s="24">
        <v>46118</v>
      </c>
      <c r="J1486" s="23" t="s">
        <v>2109</v>
      </c>
      <c r="K1486" s="23" t="s">
        <v>2109</v>
      </c>
      <c r="L1486" s="23">
        <v>4</v>
      </c>
      <c r="M1486" s="23" t="s">
        <v>78</v>
      </c>
      <c r="N1486" s="23" t="s">
        <v>78</v>
      </c>
      <c r="O1486" s="23">
        <v>302.64</v>
      </c>
      <c r="P1486" s="23" t="s">
        <v>79</v>
      </c>
      <c r="Q1486" s="23" t="s">
        <v>83</v>
      </c>
      <c r="R1486" s="23">
        <v>11100176</v>
      </c>
      <c r="S1486" s="24">
        <v>46118</v>
      </c>
      <c r="T1486" s="24">
        <v>46062</v>
      </c>
      <c r="U1486" s="24">
        <v>47116</v>
      </c>
      <c r="X1486" s="24">
        <v>46062</v>
      </c>
      <c r="Y1486" s="23">
        <v>1111</v>
      </c>
      <c r="Z1486" s="23">
        <v>11400789</v>
      </c>
      <c r="AA1486" s="23">
        <v>395103</v>
      </c>
      <c r="AB1486" s="24">
        <v>46059</v>
      </c>
    </row>
    <row r="1487" spans="2:28" x14ac:dyDescent="0.2">
      <c r="B1487" s="23" t="s">
        <v>81</v>
      </c>
      <c r="C1487" s="23">
        <v>1100576283</v>
      </c>
      <c r="H1487" s="24">
        <v>46118</v>
      </c>
      <c r="O1487" s="23">
        <v>302.64</v>
      </c>
      <c r="P1487" s="23" t="s">
        <v>79</v>
      </c>
    </row>
    <row r="1488" spans="2:28" x14ac:dyDescent="0.2">
      <c r="C1488" s="23">
        <v>1100577570</v>
      </c>
      <c r="E1488" s="23">
        <v>10</v>
      </c>
      <c r="F1488" s="23" t="s">
        <v>847</v>
      </c>
      <c r="G1488" s="23" t="s">
        <v>848</v>
      </c>
      <c r="H1488" s="24">
        <v>46118</v>
      </c>
      <c r="I1488" s="24">
        <v>46118</v>
      </c>
      <c r="J1488" s="23" t="s">
        <v>499</v>
      </c>
      <c r="K1488" s="23" t="s">
        <v>499</v>
      </c>
      <c r="L1488" s="23">
        <v>10</v>
      </c>
      <c r="M1488" s="23" t="s">
        <v>78</v>
      </c>
      <c r="N1488" s="23" t="s">
        <v>78</v>
      </c>
      <c r="O1488" s="23">
        <v>6924.07</v>
      </c>
      <c r="P1488" s="23" t="s">
        <v>79</v>
      </c>
      <c r="Q1488" s="23" t="s">
        <v>83</v>
      </c>
      <c r="R1488" s="23">
        <v>11100008</v>
      </c>
      <c r="S1488" s="24">
        <v>46118</v>
      </c>
      <c r="T1488" s="24">
        <v>46075</v>
      </c>
      <c r="U1488" s="24">
        <v>46114</v>
      </c>
      <c r="X1488" s="24">
        <v>46069</v>
      </c>
      <c r="Y1488" s="23">
        <v>1111</v>
      </c>
      <c r="Z1488" s="23">
        <v>11400797</v>
      </c>
      <c r="AA1488" s="23">
        <v>315103</v>
      </c>
      <c r="AB1488" s="24">
        <v>46072</v>
      </c>
    </row>
    <row r="1489" spans="2:28" x14ac:dyDescent="0.2">
      <c r="C1489" s="23">
        <v>1100577570</v>
      </c>
      <c r="E1489" s="23">
        <v>20</v>
      </c>
      <c r="F1489" s="23" t="s">
        <v>82</v>
      </c>
      <c r="G1489" s="23" t="s">
        <v>139</v>
      </c>
      <c r="H1489" s="24">
        <v>46118</v>
      </c>
      <c r="I1489" s="24">
        <v>46118</v>
      </c>
      <c r="J1489" s="23" t="s">
        <v>499</v>
      </c>
      <c r="K1489" s="23" t="s">
        <v>499</v>
      </c>
      <c r="L1489" s="23">
        <v>1</v>
      </c>
      <c r="M1489" s="23" t="s">
        <v>78</v>
      </c>
      <c r="N1489" s="23" t="s">
        <v>78</v>
      </c>
      <c r="O1489" s="23">
        <v>0.01</v>
      </c>
      <c r="P1489" s="23" t="s">
        <v>79</v>
      </c>
      <c r="Q1489" s="23" t="s">
        <v>83</v>
      </c>
      <c r="R1489" s="23">
        <v>11100008</v>
      </c>
      <c r="S1489" s="24" t="s">
        <v>80</v>
      </c>
      <c r="T1489" s="24">
        <v>46075</v>
      </c>
      <c r="U1489" s="24">
        <v>46114</v>
      </c>
      <c r="X1489" s="24">
        <v>46069</v>
      </c>
      <c r="Y1489" s="23">
        <v>1111</v>
      </c>
      <c r="Z1489" s="23">
        <v>11400797</v>
      </c>
      <c r="AA1489" s="23">
        <v>315103</v>
      </c>
      <c r="AB1489" s="24">
        <v>46072</v>
      </c>
    </row>
    <row r="1490" spans="2:28" x14ac:dyDescent="0.2">
      <c r="B1490" s="23" t="s">
        <v>81</v>
      </c>
      <c r="C1490" s="23">
        <v>1100577570</v>
      </c>
      <c r="H1490" s="24">
        <v>46118</v>
      </c>
      <c r="O1490" s="23">
        <v>6924.08</v>
      </c>
      <c r="P1490" s="23" t="s">
        <v>79</v>
      </c>
    </row>
    <row r="1491" spans="2:28" x14ac:dyDescent="0.2">
      <c r="C1491" s="23">
        <v>1100577598</v>
      </c>
      <c r="E1491" s="23">
        <v>10</v>
      </c>
      <c r="F1491" s="23" t="s">
        <v>2010</v>
      </c>
      <c r="G1491" s="23" t="s">
        <v>2011</v>
      </c>
      <c r="H1491" s="24">
        <v>46118</v>
      </c>
      <c r="I1491" s="24">
        <v>46118</v>
      </c>
      <c r="J1491" s="23" t="s">
        <v>3368</v>
      </c>
      <c r="K1491" s="23" t="s">
        <v>3368</v>
      </c>
      <c r="L1491" s="23">
        <v>3</v>
      </c>
      <c r="M1491" s="23" t="s">
        <v>78</v>
      </c>
      <c r="N1491" s="23" t="s">
        <v>78</v>
      </c>
      <c r="O1491" s="23">
        <v>1929.6</v>
      </c>
      <c r="P1491" s="23" t="s">
        <v>79</v>
      </c>
      <c r="Q1491" s="23" t="s">
        <v>83</v>
      </c>
      <c r="R1491" s="23">
        <v>11100176</v>
      </c>
      <c r="S1491" s="24">
        <v>46118</v>
      </c>
      <c r="T1491" s="24">
        <v>46076</v>
      </c>
      <c r="U1491" s="24" t="s">
        <v>80</v>
      </c>
      <c r="X1491" s="24">
        <v>46073</v>
      </c>
      <c r="Y1491" s="23">
        <v>1111</v>
      </c>
      <c r="Z1491" s="23">
        <v>11400606</v>
      </c>
      <c r="AA1491" s="23">
        <v>5251</v>
      </c>
      <c r="AB1491" s="24">
        <v>46072</v>
      </c>
    </row>
    <row r="1492" spans="2:28" x14ac:dyDescent="0.2">
      <c r="C1492" s="23">
        <v>1100577598</v>
      </c>
      <c r="E1492" s="23">
        <v>20</v>
      </c>
      <c r="F1492" s="23" t="s">
        <v>3369</v>
      </c>
      <c r="G1492" s="23" t="s">
        <v>3370</v>
      </c>
      <c r="H1492" s="24">
        <v>46118</v>
      </c>
      <c r="I1492" s="24">
        <v>46118</v>
      </c>
      <c r="J1492" s="23" t="s">
        <v>3368</v>
      </c>
      <c r="K1492" s="23" t="s">
        <v>3368</v>
      </c>
      <c r="L1492" s="23">
        <v>1</v>
      </c>
      <c r="M1492" s="23" t="s">
        <v>78</v>
      </c>
      <c r="N1492" s="23" t="s">
        <v>78</v>
      </c>
      <c r="O1492" s="23">
        <v>398.44</v>
      </c>
      <c r="P1492" s="23" t="s">
        <v>79</v>
      </c>
      <c r="Q1492" s="23" t="s">
        <v>83</v>
      </c>
      <c r="R1492" s="23">
        <v>11100176</v>
      </c>
      <c r="S1492" s="24">
        <v>46118</v>
      </c>
      <c r="T1492" s="24">
        <v>46076</v>
      </c>
      <c r="U1492" s="24" t="s">
        <v>80</v>
      </c>
      <c r="X1492" s="24">
        <v>46073</v>
      </c>
      <c r="Y1492" s="23">
        <v>1111</v>
      </c>
      <c r="Z1492" s="23">
        <v>11400606</v>
      </c>
      <c r="AA1492" s="23">
        <v>5251</v>
      </c>
      <c r="AB1492" s="24">
        <v>46072</v>
      </c>
    </row>
    <row r="1493" spans="2:28" x14ac:dyDescent="0.2">
      <c r="C1493" s="23">
        <v>1100577598</v>
      </c>
      <c r="E1493" s="23">
        <v>30</v>
      </c>
      <c r="F1493" s="23" t="s">
        <v>82</v>
      </c>
      <c r="G1493" s="23" t="s">
        <v>139</v>
      </c>
      <c r="H1493" s="24">
        <v>46118</v>
      </c>
      <c r="I1493" s="24">
        <v>46118</v>
      </c>
      <c r="J1493" s="23" t="s">
        <v>3368</v>
      </c>
      <c r="K1493" s="23" t="s">
        <v>3368</v>
      </c>
      <c r="L1493" s="23">
        <v>1</v>
      </c>
      <c r="M1493" s="23" t="s">
        <v>78</v>
      </c>
      <c r="N1493" s="23" t="s">
        <v>78</v>
      </c>
      <c r="O1493" s="23">
        <v>0.01</v>
      </c>
      <c r="P1493" s="23" t="s">
        <v>79</v>
      </c>
      <c r="Q1493" s="23" t="s">
        <v>83</v>
      </c>
      <c r="R1493" s="23">
        <v>11100176</v>
      </c>
      <c r="S1493" s="24" t="s">
        <v>80</v>
      </c>
      <c r="T1493" s="24">
        <v>46076</v>
      </c>
      <c r="U1493" s="24" t="s">
        <v>80</v>
      </c>
      <c r="X1493" s="24">
        <v>46073</v>
      </c>
      <c r="Y1493" s="23">
        <v>1111</v>
      </c>
      <c r="Z1493" s="23">
        <v>11400606</v>
      </c>
      <c r="AA1493" s="23">
        <v>5251</v>
      </c>
      <c r="AB1493" s="24">
        <v>46072</v>
      </c>
    </row>
    <row r="1494" spans="2:28" x14ac:dyDescent="0.2">
      <c r="B1494" s="23" t="s">
        <v>81</v>
      </c>
      <c r="C1494" s="23">
        <v>1100577598</v>
      </c>
      <c r="H1494" s="24">
        <v>46118</v>
      </c>
      <c r="O1494" s="23">
        <v>2328.0500000000002</v>
      </c>
      <c r="P1494" s="23" t="s">
        <v>79</v>
      </c>
    </row>
    <row r="1495" spans="2:28" x14ac:dyDescent="0.2">
      <c r="C1495" s="23">
        <v>1100577611</v>
      </c>
      <c r="E1495" s="23">
        <v>10</v>
      </c>
      <c r="F1495" s="23" t="s">
        <v>2669</v>
      </c>
      <c r="G1495" s="23" t="s">
        <v>2670</v>
      </c>
      <c r="H1495" s="24">
        <v>46118</v>
      </c>
      <c r="I1495" s="24">
        <v>46118</v>
      </c>
      <c r="J1495" s="23" t="s">
        <v>708</v>
      </c>
      <c r="K1495" s="23" t="s">
        <v>708</v>
      </c>
      <c r="L1495" s="23">
        <v>3</v>
      </c>
      <c r="M1495" s="23" t="s">
        <v>78</v>
      </c>
      <c r="N1495" s="23" t="s">
        <v>78</v>
      </c>
      <c r="O1495" s="23">
        <v>817.11</v>
      </c>
      <c r="P1495" s="23" t="s">
        <v>79</v>
      </c>
      <c r="Q1495" s="23" t="s">
        <v>83</v>
      </c>
      <c r="R1495" s="23">
        <v>11100008</v>
      </c>
      <c r="S1495" s="24">
        <v>46118</v>
      </c>
      <c r="T1495" s="24">
        <v>46076</v>
      </c>
      <c r="U1495" s="24" t="s">
        <v>80</v>
      </c>
      <c r="X1495" s="24">
        <v>46056</v>
      </c>
      <c r="Y1495" s="23">
        <v>1111</v>
      </c>
      <c r="Z1495" s="23">
        <v>11400797</v>
      </c>
      <c r="AA1495" s="23">
        <v>335103</v>
      </c>
      <c r="AB1495" s="24">
        <v>46058</v>
      </c>
    </row>
    <row r="1496" spans="2:28" x14ac:dyDescent="0.2">
      <c r="C1496" s="23">
        <v>1100577611</v>
      </c>
      <c r="E1496" s="23">
        <v>20</v>
      </c>
      <c r="F1496" s="23" t="s">
        <v>82</v>
      </c>
      <c r="G1496" s="23" t="s">
        <v>139</v>
      </c>
      <c r="H1496" s="24">
        <v>46118</v>
      </c>
      <c r="I1496" s="24">
        <v>46118</v>
      </c>
      <c r="J1496" s="23" t="s">
        <v>708</v>
      </c>
      <c r="K1496" s="23" t="s">
        <v>708</v>
      </c>
      <c r="L1496" s="23">
        <v>1</v>
      </c>
      <c r="M1496" s="23" t="s">
        <v>78</v>
      </c>
      <c r="N1496" s="23" t="s">
        <v>78</v>
      </c>
      <c r="O1496" s="23">
        <v>0.01</v>
      </c>
      <c r="P1496" s="23" t="s">
        <v>79</v>
      </c>
      <c r="Q1496" s="23" t="s">
        <v>83</v>
      </c>
      <c r="R1496" s="23">
        <v>11100008</v>
      </c>
      <c r="S1496" s="24" t="s">
        <v>80</v>
      </c>
      <c r="T1496" s="24">
        <v>46076</v>
      </c>
      <c r="U1496" s="24" t="s">
        <v>80</v>
      </c>
      <c r="X1496" s="24">
        <v>46056</v>
      </c>
      <c r="Y1496" s="23">
        <v>1111</v>
      </c>
      <c r="Z1496" s="23">
        <v>11400797</v>
      </c>
      <c r="AA1496" s="23">
        <v>335103</v>
      </c>
      <c r="AB1496" s="24">
        <v>46058</v>
      </c>
    </row>
    <row r="1497" spans="2:28" x14ac:dyDescent="0.2">
      <c r="B1497" s="23" t="s">
        <v>81</v>
      </c>
      <c r="C1497" s="23">
        <v>1100577611</v>
      </c>
      <c r="H1497" s="24">
        <v>46118</v>
      </c>
      <c r="O1497" s="23">
        <v>817.12</v>
      </c>
      <c r="P1497" s="23" t="s">
        <v>79</v>
      </c>
    </row>
    <row r="1498" spans="2:28" x14ac:dyDescent="0.2">
      <c r="C1498" s="23">
        <v>1100577640</v>
      </c>
      <c r="E1498" s="23">
        <v>10</v>
      </c>
      <c r="F1498" s="23" t="s">
        <v>3371</v>
      </c>
      <c r="G1498" s="23" t="s">
        <v>3372</v>
      </c>
      <c r="H1498" s="24">
        <v>46118</v>
      </c>
      <c r="I1498" s="24">
        <v>46118</v>
      </c>
      <c r="J1498" s="23" t="s">
        <v>2709</v>
      </c>
      <c r="K1498" s="23" t="s">
        <v>2709</v>
      </c>
      <c r="L1498" s="23">
        <v>4</v>
      </c>
      <c r="M1498" s="23" t="s">
        <v>78</v>
      </c>
      <c r="N1498" s="23" t="s">
        <v>78</v>
      </c>
      <c r="O1498" s="23">
        <v>3513.2</v>
      </c>
      <c r="P1498" s="23" t="s">
        <v>79</v>
      </c>
      <c r="Q1498" s="23" t="s">
        <v>83</v>
      </c>
      <c r="R1498" s="23">
        <v>11100176</v>
      </c>
      <c r="S1498" s="24">
        <v>46108</v>
      </c>
      <c r="T1498" s="24">
        <v>46076</v>
      </c>
      <c r="U1498" s="24" t="s">
        <v>80</v>
      </c>
      <c r="X1498" s="24">
        <v>46073</v>
      </c>
      <c r="Y1498" s="23">
        <v>1111</v>
      </c>
      <c r="Z1498" s="23">
        <v>11600003</v>
      </c>
      <c r="AA1498" s="23">
        <v>335103</v>
      </c>
      <c r="AB1498" s="24">
        <v>46073</v>
      </c>
    </row>
    <row r="1499" spans="2:28" x14ac:dyDescent="0.2">
      <c r="C1499" s="23">
        <v>1100577640</v>
      </c>
      <c r="E1499" s="23">
        <v>20</v>
      </c>
      <c r="F1499" s="23" t="s">
        <v>82</v>
      </c>
      <c r="G1499" s="23" t="s">
        <v>139</v>
      </c>
      <c r="H1499" s="24">
        <v>46118</v>
      </c>
      <c r="I1499" s="24">
        <v>46118</v>
      </c>
      <c r="J1499" s="23" t="s">
        <v>2709</v>
      </c>
      <c r="K1499" s="23" t="s">
        <v>2709</v>
      </c>
      <c r="L1499" s="23">
        <v>1</v>
      </c>
      <c r="M1499" s="23" t="s">
        <v>78</v>
      </c>
      <c r="N1499" s="23" t="s">
        <v>78</v>
      </c>
      <c r="O1499" s="23">
        <v>0.01</v>
      </c>
      <c r="P1499" s="23" t="s">
        <v>79</v>
      </c>
      <c r="Q1499" s="23" t="s">
        <v>83</v>
      </c>
      <c r="R1499" s="23">
        <v>11100176</v>
      </c>
      <c r="S1499" s="24">
        <v>46108</v>
      </c>
      <c r="T1499" s="24">
        <v>46076</v>
      </c>
      <c r="U1499" s="24" t="s">
        <v>80</v>
      </c>
      <c r="X1499" s="24">
        <v>46073</v>
      </c>
      <c r="Y1499" s="23">
        <v>1111</v>
      </c>
      <c r="Z1499" s="23">
        <v>11600003</v>
      </c>
      <c r="AA1499" s="23">
        <v>335103</v>
      </c>
      <c r="AB1499" s="24">
        <v>46073</v>
      </c>
    </row>
    <row r="1500" spans="2:28" x14ac:dyDescent="0.2">
      <c r="B1500" s="23" t="s">
        <v>81</v>
      </c>
      <c r="C1500" s="23">
        <v>1100577640</v>
      </c>
      <c r="H1500" s="24">
        <v>46118</v>
      </c>
      <c r="O1500" s="23">
        <v>3513.21</v>
      </c>
      <c r="P1500" s="23" t="s">
        <v>79</v>
      </c>
    </row>
    <row r="1501" spans="2:28" x14ac:dyDescent="0.2">
      <c r="C1501" s="23">
        <v>1100577681</v>
      </c>
      <c r="E1501" s="23">
        <v>10</v>
      </c>
      <c r="F1501" s="23" t="s">
        <v>1162</v>
      </c>
      <c r="G1501" s="23" t="s">
        <v>3373</v>
      </c>
      <c r="H1501" s="24">
        <v>46118</v>
      </c>
      <c r="I1501" s="24">
        <v>46118</v>
      </c>
      <c r="J1501" s="23" t="s">
        <v>493</v>
      </c>
      <c r="K1501" s="23" t="s">
        <v>493</v>
      </c>
      <c r="L1501" s="23">
        <v>1</v>
      </c>
      <c r="M1501" s="23" t="s">
        <v>78</v>
      </c>
      <c r="N1501" s="23" t="s">
        <v>78</v>
      </c>
      <c r="O1501" s="23">
        <v>6479.1</v>
      </c>
      <c r="P1501" s="23" t="s">
        <v>79</v>
      </c>
      <c r="Q1501" s="23" t="s">
        <v>83</v>
      </c>
      <c r="R1501" s="23">
        <v>11100176</v>
      </c>
      <c r="S1501" s="24">
        <v>46111</v>
      </c>
      <c r="T1501" s="24">
        <v>46076</v>
      </c>
      <c r="U1501" s="24" t="s">
        <v>80</v>
      </c>
      <c r="X1501" s="24">
        <v>46069</v>
      </c>
      <c r="Y1501" s="23">
        <v>1111</v>
      </c>
      <c r="Z1501" s="23">
        <v>11600001</v>
      </c>
      <c r="AA1501" s="23">
        <v>335103</v>
      </c>
      <c r="AB1501" s="24">
        <v>46071</v>
      </c>
    </row>
    <row r="1502" spans="2:28" x14ac:dyDescent="0.2">
      <c r="C1502" s="23">
        <v>1100577681</v>
      </c>
      <c r="E1502" s="23">
        <v>20</v>
      </c>
      <c r="F1502" s="23" t="s">
        <v>82</v>
      </c>
      <c r="G1502" s="23" t="s">
        <v>139</v>
      </c>
      <c r="H1502" s="24">
        <v>46118</v>
      </c>
      <c r="I1502" s="24">
        <v>46118</v>
      </c>
      <c r="J1502" s="23" t="s">
        <v>493</v>
      </c>
      <c r="K1502" s="23" t="s">
        <v>493</v>
      </c>
      <c r="L1502" s="23">
        <v>1</v>
      </c>
      <c r="M1502" s="23" t="s">
        <v>78</v>
      </c>
      <c r="N1502" s="23" t="s">
        <v>78</v>
      </c>
      <c r="O1502" s="23">
        <v>0.01</v>
      </c>
      <c r="P1502" s="23" t="s">
        <v>79</v>
      </c>
      <c r="Q1502" s="23" t="s">
        <v>83</v>
      </c>
      <c r="R1502" s="23">
        <v>11100176</v>
      </c>
      <c r="S1502" s="24">
        <v>46111</v>
      </c>
      <c r="T1502" s="24">
        <v>46076</v>
      </c>
      <c r="U1502" s="24" t="s">
        <v>80</v>
      </c>
      <c r="X1502" s="24">
        <v>46069</v>
      </c>
      <c r="Y1502" s="23">
        <v>1111</v>
      </c>
      <c r="Z1502" s="23">
        <v>11600001</v>
      </c>
      <c r="AA1502" s="23">
        <v>335103</v>
      </c>
      <c r="AB1502" s="24">
        <v>46071</v>
      </c>
    </row>
    <row r="1503" spans="2:28" x14ac:dyDescent="0.2">
      <c r="B1503" s="23" t="s">
        <v>81</v>
      </c>
      <c r="C1503" s="23">
        <v>1100577681</v>
      </c>
      <c r="H1503" s="24">
        <v>46118</v>
      </c>
      <c r="O1503" s="23">
        <v>6479.11</v>
      </c>
      <c r="P1503" s="23" t="s">
        <v>79</v>
      </c>
    </row>
    <row r="1504" spans="2:28" x14ac:dyDescent="0.2">
      <c r="C1504" s="23">
        <v>1100577688</v>
      </c>
      <c r="E1504" s="23">
        <v>10</v>
      </c>
      <c r="F1504" s="23" t="s">
        <v>3374</v>
      </c>
      <c r="G1504" s="23" t="s">
        <v>3375</v>
      </c>
      <c r="H1504" s="24">
        <v>46118</v>
      </c>
      <c r="I1504" s="24">
        <v>46118</v>
      </c>
      <c r="J1504" s="23" t="s">
        <v>272</v>
      </c>
      <c r="K1504" s="23" t="s">
        <v>272</v>
      </c>
      <c r="L1504" s="23">
        <v>3</v>
      </c>
      <c r="M1504" s="23" t="s">
        <v>78</v>
      </c>
      <c r="N1504" s="23" t="s">
        <v>78</v>
      </c>
      <c r="O1504" s="23">
        <v>3314.63</v>
      </c>
      <c r="P1504" s="23" t="s">
        <v>79</v>
      </c>
      <c r="Q1504" s="23" t="s">
        <v>83</v>
      </c>
      <c r="R1504" s="23">
        <v>11100176</v>
      </c>
      <c r="S1504" s="24">
        <v>46118</v>
      </c>
      <c r="T1504" s="24">
        <v>46076</v>
      </c>
      <c r="U1504" s="24" t="s">
        <v>80</v>
      </c>
      <c r="X1504" s="24">
        <v>46073</v>
      </c>
      <c r="Y1504" s="23">
        <v>1111</v>
      </c>
      <c r="Z1504" s="23">
        <v>11600001</v>
      </c>
      <c r="AA1504" s="23">
        <v>3351</v>
      </c>
      <c r="AB1504" s="24">
        <v>46070</v>
      </c>
    </row>
    <row r="1505" spans="2:28" x14ac:dyDescent="0.2">
      <c r="B1505" s="23" t="s">
        <v>81</v>
      </c>
      <c r="C1505" s="23">
        <v>1100577688</v>
      </c>
      <c r="H1505" s="24">
        <v>46118</v>
      </c>
      <c r="O1505" s="23">
        <v>3314.63</v>
      </c>
      <c r="P1505" s="23" t="s">
        <v>79</v>
      </c>
    </row>
    <row r="1506" spans="2:28" x14ac:dyDescent="0.2">
      <c r="C1506" s="23">
        <v>1100577856</v>
      </c>
      <c r="E1506" s="23">
        <v>10</v>
      </c>
      <c r="F1506" s="23" t="s">
        <v>3376</v>
      </c>
      <c r="G1506" s="23" t="s">
        <v>3377</v>
      </c>
      <c r="H1506" s="24">
        <v>46118</v>
      </c>
      <c r="I1506" s="24">
        <v>46118</v>
      </c>
      <c r="J1506" s="23" t="s">
        <v>92</v>
      </c>
      <c r="K1506" s="23" t="s">
        <v>92</v>
      </c>
      <c r="L1506" s="23">
        <v>1</v>
      </c>
      <c r="M1506" s="23" t="s">
        <v>78</v>
      </c>
      <c r="N1506" s="23" t="s">
        <v>78</v>
      </c>
      <c r="O1506" s="23">
        <v>3608.58</v>
      </c>
      <c r="P1506" s="23" t="s">
        <v>79</v>
      </c>
      <c r="Q1506" s="23" t="s">
        <v>83</v>
      </c>
      <c r="R1506" s="23">
        <v>11100176</v>
      </c>
      <c r="S1506" s="24">
        <v>46118</v>
      </c>
      <c r="T1506" s="24">
        <v>46078</v>
      </c>
      <c r="U1506" s="24" t="s">
        <v>80</v>
      </c>
      <c r="X1506" s="24">
        <v>46076</v>
      </c>
      <c r="Y1506" s="23">
        <v>1111</v>
      </c>
      <c r="Z1506" s="23">
        <v>11400745</v>
      </c>
      <c r="AA1506" s="23">
        <v>525103</v>
      </c>
      <c r="AB1506" s="24">
        <v>46076</v>
      </c>
    </row>
    <row r="1507" spans="2:28" x14ac:dyDescent="0.2">
      <c r="B1507" s="23" t="s">
        <v>81</v>
      </c>
      <c r="C1507" s="23">
        <v>1100577856</v>
      </c>
      <c r="H1507" s="24">
        <v>46118</v>
      </c>
      <c r="O1507" s="23">
        <v>3608.58</v>
      </c>
      <c r="P1507" s="23" t="s">
        <v>79</v>
      </c>
    </row>
    <row r="1508" spans="2:28" x14ac:dyDescent="0.2">
      <c r="C1508" s="23">
        <v>1100578198</v>
      </c>
      <c r="E1508" s="23">
        <v>10</v>
      </c>
      <c r="F1508" s="23" t="s">
        <v>3378</v>
      </c>
      <c r="G1508" s="23" t="s">
        <v>3379</v>
      </c>
      <c r="H1508" s="24">
        <v>46118</v>
      </c>
      <c r="I1508" s="24">
        <v>46118</v>
      </c>
      <c r="J1508" s="23" t="s">
        <v>1777</v>
      </c>
      <c r="K1508" s="23" t="s">
        <v>1777</v>
      </c>
      <c r="L1508" s="23">
        <v>1</v>
      </c>
      <c r="M1508" s="23" t="s">
        <v>78</v>
      </c>
      <c r="N1508" s="23" t="s">
        <v>78</v>
      </c>
      <c r="O1508" s="23">
        <v>2603.09</v>
      </c>
      <c r="P1508" s="23" t="s">
        <v>79</v>
      </c>
      <c r="Q1508" s="23" t="s">
        <v>83</v>
      </c>
      <c r="R1508" s="23">
        <v>11100176</v>
      </c>
      <c r="S1508" s="24">
        <v>46108</v>
      </c>
      <c r="T1508" s="24">
        <v>46080</v>
      </c>
      <c r="U1508" s="24" t="s">
        <v>80</v>
      </c>
      <c r="X1508" s="24">
        <v>46078</v>
      </c>
      <c r="Y1508" s="23">
        <v>1111</v>
      </c>
      <c r="Z1508" s="23">
        <v>11600003</v>
      </c>
      <c r="AA1508" s="23">
        <v>335103</v>
      </c>
      <c r="AB1508" s="24">
        <v>46079</v>
      </c>
    </row>
    <row r="1509" spans="2:28" x14ac:dyDescent="0.2">
      <c r="C1509" s="23">
        <v>1100578198</v>
      </c>
      <c r="E1509" s="23">
        <v>20</v>
      </c>
      <c r="F1509" s="23" t="s">
        <v>82</v>
      </c>
      <c r="G1509" s="23" t="s">
        <v>139</v>
      </c>
      <c r="H1509" s="24">
        <v>46118</v>
      </c>
      <c r="I1509" s="24">
        <v>46118</v>
      </c>
      <c r="J1509" s="23" t="s">
        <v>1777</v>
      </c>
      <c r="K1509" s="23" t="s">
        <v>1777</v>
      </c>
      <c r="L1509" s="23">
        <v>1</v>
      </c>
      <c r="M1509" s="23" t="s">
        <v>78</v>
      </c>
      <c r="N1509" s="23" t="s">
        <v>78</v>
      </c>
      <c r="O1509" s="23">
        <v>0.01</v>
      </c>
      <c r="P1509" s="23" t="s">
        <v>79</v>
      </c>
      <c r="Q1509" s="23" t="s">
        <v>83</v>
      </c>
      <c r="R1509" s="23">
        <v>11100176</v>
      </c>
      <c r="S1509" s="24">
        <v>46108</v>
      </c>
      <c r="T1509" s="24">
        <v>46080</v>
      </c>
      <c r="U1509" s="24" t="s">
        <v>80</v>
      </c>
      <c r="X1509" s="24">
        <v>46078</v>
      </c>
      <c r="Y1509" s="23">
        <v>1111</v>
      </c>
      <c r="Z1509" s="23">
        <v>11600003</v>
      </c>
      <c r="AA1509" s="23">
        <v>335103</v>
      </c>
      <c r="AB1509" s="24">
        <v>46079</v>
      </c>
    </row>
    <row r="1510" spans="2:28" x14ac:dyDescent="0.2">
      <c r="B1510" s="23" t="s">
        <v>81</v>
      </c>
      <c r="C1510" s="23">
        <v>1100578198</v>
      </c>
      <c r="H1510" s="24">
        <v>46118</v>
      </c>
      <c r="O1510" s="23">
        <v>2603.1</v>
      </c>
      <c r="P1510" s="23" t="s">
        <v>79</v>
      </c>
    </row>
    <row r="1511" spans="2:28" x14ac:dyDescent="0.2">
      <c r="C1511" s="23">
        <v>1100578432</v>
      </c>
      <c r="E1511" s="23">
        <v>10</v>
      </c>
      <c r="F1511" s="23" t="s">
        <v>263</v>
      </c>
      <c r="G1511" s="23" t="s">
        <v>264</v>
      </c>
      <c r="H1511" s="24">
        <v>46118</v>
      </c>
      <c r="I1511" s="24">
        <v>46118</v>
      </c>
      <c r="J1511" s="23" t="s">
        <v>3380</v>
      </c>
      <c r="K1511" s="23" t="s">
        <v>3380</v>
      </c>
      <c r="L1511" s="23">
        <v>1</v>
      </c>
      <c r="M1511" s="23" t="s">
        <v>78</v>
      </c>
      <c r="N1511" s="23" t="s">
        <v>78</v>
      </c>
      <c r="O1511" s="23">
        <v>1163.67</v>
      </c>
      <c r="P1511" s="23" t="s">
        <v>79</v>
      </c>
      <c r="Q1511" s="23" t="s">
        <v>83</v>
      </c>
      <c r="R1511" s="23">
        <v>11100176</v>
      </c>
      <c r="S1511" s="24">
        <v>46118</v>
      </c>
      <c r="T1511" s="24">
        <v>46083</v>
      </c>
      <c r="U1511" s="24" t="s">
        <v>80</v>
      </c>
      <c r="X1511" s="24">
        <v>46083</v>
      </c>
      <c r="Y1511" s="23">
        <v>1111</v>
      </c>
      <c r="Z1511" s="23">
        <v>11400789</v>
      </c>
      <c r="AA1511" s="23">
        <v>3951</v>
      </c>
      <c r="AB1511" s="24">
        <v>46076</v>
      </c>
    </row>
    <row r="1512" spans="2:28" x14ac:dyDescent="0.2">
      <c r="B1512" s="23" t="s">
        <v>81</v>
      </c>
      <c r="C1512" s="23">
        <v>1100578432</v>
      </c>
      <c r="H1512" s="24">
        <v>46118</v>
      </c>
      <c r="O1512" s="23">
        <v>1163.67</v>
      </c>
      <c r="P1512" s="23" t="s">
        <v>79</v>
      </c>
    </row>
    <row r="1513" spans="2:28" x14ac:dyDescent="0.2">
      <c r="C1513" s="23">
        <v>1100578717</v>
      </c>
      <c r="E1513" s="23">
        <v>10</v>
      </c>
      <c r="F1513" s="23" t="s">
        <v>3452</v>
      </c>
      <c r="G1513" s="23" t="s">
        <v>3453</v>
      </c>
      <c r="H1513" s="24">
        <v>46118</v>
      </c>
      <c r="I1513" s="24">
        <v>46118</v>
      </c>
      <c r="J1513" s="23" t="s">
        <v>898</v>
      </c>
      <c r="K1513" s="23" t="s">
        <v>898</v>
      </c>
      <c r="L1513" s="23">
        <v>11</v>
      </c>
      <c r="M1513" s="23" t="s">
        <v>78</v>
      </c>
      <c r="N1513" s="23" t="s">
        <v>78</v>
      </c>
      <c r="O1513" s="23">
        <v>1628.33</v>
      </c>
      <c r="P1513" s="23" t="s">
        <v>79</v>
      </c>
      <c r="Q1513" s="23" t="s">
        <v>83</v>
      </c>
      <c r="R1513" s="23">
        <v>11100176</v>
      </c>
      <c r="S1513" s="24">
        <v>46107</v>
      </c>
      <c r="T1513" s="24">
        <v>46086</v>
      </c>
      <c r="U1513" s="24" t="s">
        <v>80</v>
      </c>
      <c r="X1513" s="24">
        <v>46084</v>
      </c>
      <c r="Y1513" s="23">
        <v>1111</v>
      </c>
      <c r="Z1513" s="23">
        <v>11100137</v>
      </c>
      <c r="AA1513" s="23">
        <v>335103</v>
      </c>
      <c r="AB1513" s="24">
        <v>46084</v>
      </c>
    </row>
    <row r="1514" spans="2:28" x14ac:dyDescent="0.2">
      <c r="B1514" s="23" t="s">
        <v>81</v>
      </c>
      <c r="C1514" s="23">
        <v>1100578717</v>
      </c>
      <c r="H1514" s="24">
        <v>46118</v>
      </c>
      <c r="O1514" s="23">
        <v>1628.33</v>
      </c>
      <c r="P1514" s="23" t="s">
        <v>79</v>
      </c>
    </row>
    <row r="1515" spans="2:28" x14ac:dyDescent="0.2">
      <c r="C1515" s="23">
        <v>1100575088</v>
      </c>
      <c r="E1515" s="23">
        <v>10</v>
      </c>
      <c r="F1515" s="23" t="s">
        <v>3381</v>
      </c>
      <c r="G1515" s="23" t="s">
        <v>3382</v>
      </c>
      <c r="H1515" s="24">
        <v>46119</v>
      </c>
      <c r="I1515" s="24">
        <v>46119</v>
      </c>
      <c r="J1515" s="23" t="s">
        <v>826</v>
      </c>
      <c r="K1515" s="23" t="s">
        <v>826</v>
      </c>
      <c r="L1515" s="23">
        <v>1</v>
      </c>
      <c r="M1515" s="23" t="s">
        <v>78</v>
      </c>
      <c r="N1515" s="23" t="s">
        <v>78</v>
      </c>
      <c r="O1515" s="23">
        <v>4179.8599999999997</v>
      </c>
      <c r="P1515" s="23" t="s">
        <v>79</v>
      </c>
      <c r="Q1515" s="23" t="s">
        <v>83</v>
      </c>
      <c r="R1515" s="23">
        <v>11100176</v>
      </c>
      <c r="S1515" s="24">
        <v>46119</v>
      </c>
      <c r="T1515" s="24">
        <v>46049</v>
      </c>
      <c r="U1515" s="24">
        <v>47116</v>
      </c>
      <c r="X1515" s="24">
        <v>46048</v>
      </c>
      <c r="Y1515" s="23">
        <v>1111</v>
      </c>
      <c r="Z1515" s="23">
        <v>11400745</v>
      </c>
      <c r="AA1515" s="23">
        <v>505103</v>
      </c>
      <c r="AB1515" s="24">
        <v>46044</v>
      </c>
    </row>
    <row r="1516" spans="2:28" x14ac:dyDescent="0.2">
      <c r="C1516" s="23">
        <v>1100575088</v>
      </c>
      <c r="E1516" s="23">
        <v>40</v>
      </c>
      <c r="F1516" s="23" t="s">
        <v>3383</v>
      </c>
      <c r="G1516" s="23" t="s">
        <v>3384</v>
      </c>
      <c r="H1516" s="24">
        <v>46119</v>
      </c>
      <c r="I1516" s="24">
        <v>46119</v>
      </c>
      <c r="J1516" s="23" t="s">
        <v>826</v>
      </c>
      <c r="K1516" s="23" t="s">
        <v>826</v>
      </c>
      <c r="L1516" s="23">
        <v>2</v>
      </c>
      <c r="M1516" s="23" t="s">
        <v>78</v>
      </c>
      <c r="N1516" s="23" t="s">
        <v>78</v>
      </c>
      <c r="O1516" s="23">
        <v>510.96</v>
      </c>
      <c r="P1516" s="23" t="s">
        <v>79</v>
      </c>
      <c r="Q1516" s="23" t="s">
        <v>83</v>
      </c>
      <c r="R1516" s="23">
        <v>11100176</v>
      </c>
      <c r="S1516" s="24">
        <v>46119</v>
      </c>
      <c r="T1516" s="24">
        <v>46049</v>
      </c>
      <c r="U1516" s="24">
        <v>47116</v>
      </c>
      <c r="X1516" s="24">
        <v>46048</v>
      </c>
      <c r="Y1516" s="23">
        <v>1111</v>
      </c>
      <c r="Z1516" s="23">
        <v>11400745</v>
      </c>
      <c r="AA1516" s="23">
        <v>505103</v>
      </c>
      <c r="AB1516" s="24">
        <v>46044</v>
      </c>
    </row>
    <row r="1517" spans="2:28" x14ac:dyDescent="0.2">
      <c r="C1517" s="23">
        <v>1100575088</v>
      </c>
      <c r="E1517" s="23">
        <v>60</v>
      </c>
      <c r="F1517" s="23" t="s">
        <v>3385</v>
      </c>
      <c r="G1517" s="23" t="s">
        <v>3386</v>
      </c>
      <c r="H1517" s="24">
        <v>46119</v>
      </c>
      <c r="I1517" s="24">
        <v>46119</v>
      </c>
      <c r="J1517" s="23" t="s">
        <v>826</v>
      </c>
      <c r="K1517" s="23" t="s">
        <v>826</v>
      </c>
      <c r="L1517" s="23">
        <v>2</v>
      </c>
      <c r="M1517" s="23" t="s">
        <v>78</v>
      </c>
      <c r="N1517" s="23" t="s">
        <v>78</v>
      </c>
      <c r="O1517" s="23">
        <v>1005.02</v>
      </c>
      <c r="P1517" s="23" t="s">
        <v>79</v>
      </c>
      <c r="Q1517" s="23" t="s">
        <v>83</v>
      </c>
      <c r="R1517" s="23">
        <v>11100176</v>
      </c>
      <c r="S1517" s="24">
        <v>46119</v>
      </c>
      <c r="T1517" s="24">
        <v>46049</v>
      </c>
      <c r="U1517" s="24">
        <v>47116</v>
      </c>
      <c r="X1517" s="24">
        <v>46048</v>
      </c>
      <c r="Y1517" s="23">
        <v>1111</v>
      </c>
      <c r="Z1517" s="23">
        <v>11400745</v>
      </c>
      <c r="AA1517" s="23">
        <v>505103</v>
      </c>
      <c r="AB1517" s="24">
        <v>46044</v>
      </c>
    </row>
    <row r="1518" spans="2:28" x14ac:dyDescent="0.2">
      <c r="C1518" s="23">
        <v>1100575088</v>
      </c>
      <c r="E1518" s="23">
        <v>70</v>
      </c>
      <c r="F1518" s="23" t="s">
        <v>3387</v>
      </c>
      <c r="G1518" s="23" t="s">
        <v>3388</v>
      </c>
      <c r="H1518" s="24">
        <v>46119</v>
      </c>
      <c r="I1518" s="24">
        <v>46119</v>
      </c>
      <c r="J1518" s="23" t="s">
        <v>826</v>
      </c>
      <c r="K1518" s="23" t="s">
        <v>826</v>
      </c>
      <c r="L1518" s="23">
        <v>1</v>
      </c>
      <c r="M1518" s="23" t="s">
        <v>78</v>
      </c>
      <c r="N1518" s="23" t="s">
        <v>78</v>
      </c>
      <c r="O1518" s="23">
        <v>734.66</v>
      </c>
      <c r="P1518" s="23" t="s">
        <v>79</v>
      </c>
      <c r="Q1518" s="23" t="s">
        <v>83</v>
      </c>
      <c r="R1518" s="23">
        <v>11100176</v>
      </c>
      <c r="S1518" s="24">
        <v>46119</v>
      </c>
      <c r="T1518" s="24">
        <v>46049</v>
      </c>
      <c r="U1518" s="24">
        <v>47116</v>
      </c>
      <c r="X1518" s="24">
        <v>46048</v>
      </c>
      <c r="Y1518" s="23">
        <v>1111</v>
      </c>
      <c r="Z1518" s="23">
        <v>11400745</v>
      </c>
      <c r="AA1518" s="23">
        <v>505103</v>
      </c>
      <c r="AB1518" s="24">
        <v>46044</v>
      </c>
    </row>
    <row r="1519" spans="2:28" x14ac:dyDescent="0.2">
      <c r="C1519" s="23">
        <v>1100575088</v>
      </c>
      <c r="E1519" s="23">
        <v>100</v>
      </c>
      <c r="F1519" s="23" t="s">
        <v>3389</v>
      </c>
      <c r="G1519" s="23" t="s">
        <v>3390</v>
      </c>
      <c r="H1519" s="24">
        <v>46119</v>
      </c>
      <c r="I1519" s="24">
        <v>46119</v>
      </c>
      <c r="J1519" s="23" t="s">
        <v>826</v>
      </c>
      <c r="K1519" s="23" t="s">
        <v>826</v>
      </c>
      <c r="L1519" s="23">
        <v>1</v>
      </c>
      <c r="M1519" s="23" t="s">
        <v>78</v>
      </c>
      <c r="N1519" s="23" t="s">
        <v>78</v>
      </c>
      <c r="O1519" s="23">
        <v>4440.83</v>
      </c>
      <c r="P1519" s="23" t="s">
        <v>79</v>
      </c>
      <c r="Q1519" s="23" t="s">
        <v>83</v>
      </c>
      <c r="R1519" s="23">
        <v>11100176</v>
      </c>
      <c r="S1519" s="24">
        <v>46119</v>
      </c>
      <c r="T1519" s="24">
        <v>46049</v>
      </c>
      <c r="U1519" s="24">
        <v>47116</v>
      </c>
      <c r="X1519" s="24">
        <v>46048</v>
      </c>
      <c r="Y1519" s="23">
        <v>1111</v>
      </c>
      <c r="Z1519" s="23">
        <v>11400745</v>
      </c>
      <c r="AA1519" s="23">
        <v>505103</v>
      </c>
      <c r="AB1519" s="24">
        <v>46044</v>
      </c>
    </row>
    <row r="1520" spans="2:28" x14ac:dyDescent="0.2">
      <c r="B1520" s="23" t="s">
        <v>81</v>
      </c>
      <c r="C1520" s="23">
        <v>1100575088</v>
      </c>
      <c r="H1520" s="24">
        <v>46119</v>
      </c>
      <c r="O1520" s="23">
        <v>10871.33</v>
      </c>
      <c r="P1520" s="23" t="s">
        <v>79</v>
      </c>
    </row>
    <row r="1521" spans="2:28" x14ac:dyDescent="0.2">
      <c r="C1521" s="23">
        <v>1100578288</v>
      </c>
      <c r="E1521" s="23">
        <v>10</v>
      </c>
      <c r="F1521" s="23" t="s">
        <v>3391</v>
      </c>
      <c r="G1521" s="23" t="s">
        <v>3392</v>
      </c>
      <c r="H1521" s="24">
        <v>46119</v>
      </c>
      <c r="I1521" s="24">
        <v>46119</v>
      </c>
      <c r="J1521" s="23" t="s">
        <v>868</v>
      </c>
      <c r="K1521" s="23" t="s">
        <v>868</v>
      </c>
      <c r="L1521" s="23">
        <v>2</v>
      </c>
      <c r="M1521" s="23" t="s">
        <v>78</v>
      </c>
      <c r="N1521" s="23" t="s">
        <v>78</v>
      </c>
      <c r="O1521" s="23">
        <v>7486.66</v>
      </c>
      <c r="P1521" s="23" t="s">
        <v>79</v>
      </c>
      <c r="Q1521" s="23" t="s">
        <v>83</v>
      </c>
      <c r="R1521" s="23">
        <v>11100176</v>
      </c>
      <c r="S1521" s="24">
        <v>46108</v>
      </c>
      <c r="T1521" s="24">
        <v>46080</v>
      </c>
      <c r="U1521" s="24" t="s">
        <v>80</v>
      </c>
      <c r="X1521" s="24">
        <v>46079</v>
      </c>
      <c r="Y1521" s="23">
        <v>1111</v>
      </c>
      <c r="Z1521" s="23">
        <v>11600003</v>
      </c>
      <c r="AA1521" s="23">
        <v>3951</v>
      </c>
      <c r="AB1521" s="24">
        <v>46079</v>
      </c>
    </row>
    <row r="1522" spans="2:28" x14ac:dyDescent="0.2">
      <c r="C1522" s="23">
        <v>1100578288</v>
      </c>
      <c r="E1522" s="23">
        <v>20</v>
      </c>
      <c r="F1522" s="23" t="s">
        <v>82</v>
      </c>
      <c r="G1522" s="23" t="s">
        <v>139</v>
      </c>
      <c r="H1522" s="24">
        <v>46119</v>
      </c>
      <c r="I1522" s="24">
        <v>46119</v>
      </c>
      <c r="J1522" s="23" t="s">
        <v>868</v>
      </c>
      <c r="K1522" s="23" t="s">
        <v>868</v>
      </c>
      <c r="L1522" s="23">
        <v>1</v>
      </c>
      <c r="M1522" s="23" t="s">
        <v>78</v>
      </c>
      <c r="N1522" s="23" t="s">
        <v>78</v>
      </c>
      <c r="O1522" s="23">
        <v>0.01</v>
      </c>
      <c r="P1522" s="23" t="s">
        <v>79</v>
      </c>
      <c r="Q1522" s="23" t="s">
        <v>83</v>
      </c>
      <c r="R1522" s="23">
        <v>11100176</v>
      </c>
      <c r="S1522" s="24">
        <v>46108</v>
      </c>
      <c r="T1522" s="24">
        <v>46080</v>
      </c>
      <c r="U1522" s="24" t="s">
        <v>80</v>
      </c>
      <c r="X1522" s="24">
        <v>46079</v>
      </c>
      <c r="Y1522" s="23">
        <v>1111</v>
      </c>
      <c r="Z1522" s="23">
        <v>11600003</v>
      </c>
      <c r="AA1522" s="23">
        <v>3951</v>
      </c>
      <c r="AB1522" s="24">
        <v>46079</v>
      </c>
    </row>
    <row r="1523" spans="2:28" x14ac:dyDescent="0.2">
      <c r="B1523" s="23" t="s">
        <v>81</v>
      </c>
      <c r="C1523" s="23">
        <v>1100578288</v>
      </c>
      <c r="H1523" s="24">
        <v>46119</v>
      </c>
      <c r="O1523" s="23">
        <v>7486.67</v>
      </c>
      <c r="P1523" s="23" t="s">
        <v>79</v>
      </c>
    </row>
    <row r="1524" spans="2:28" x14ac:dyDescent="0.2">
      <c r="C1524" s="23">
        <v>1100578401</v>
      </c>
      <c r="E1524" s="23">
        <v>10</v>
      </c>
      <c r="F1524" s="23" t="s">
        <v>884</v>
      </c>
      <c r="G1524" s="23" t="s">
        <v>885</v>
      </c>
      <c r="H1524" s="24">
        <v>46119</v>
      </c>
      <c r="I1524" s="24">
        <v>46119</v>
      </c>
      <c r="J1524" s="23" t="s">
        <v>983</v>
      </c>
      <c r="K1524" s="23" t="s">
        <v>983</v>
      </c>
      <c r="L1524" s="23">
        <v>4</v>
      </c>
      <c r="M1524" s="23" t="s">
        <v>78</v>
      </c>
      <c r="N1524" s="23" t="s">
        <v>78</v>
      </c>
      <c r="O1524" s="23">
        <v>359.64</v>
      </c>
      <c r="P1524" s="23" t="s">
        <v>79</v>
      </c>
      <c r="Q1524" s="23" t="s">
        <v>83</v>
      </c>
      <c r="R1524" s="23">
        <v>11100176</v>
      </c>
      <c r="S1524" s="24">
        <v>46094</v>
      </c>
      <c r="T1524" s="24">
        <v>46081</v>
      </c>
      <c r="U1524" s="24" t="s">
        <v>80</v>
      </c>
      <c r="X1524" s="24">
        <v>46080</v>
      </c>
      <c r="Y1524" s="23">
        <v>1111</v>
      </c>
      <c r="Z1524" s="23">
        <v>11400811</v>
      </c>
      <c r="AA1524" s="23">
        <v>335103</v>
      </c>
      <c r="AB1524" s="24">
        <v>46080</v>
      </c>
    </row>
    <row r="1525" spans="2:28" x14ac:dyDescent="0.2">
      <c r="B1525" s="23" t="s">
        <v>81</v>
      </c>
      <c r="C1525" s="23">
        <v>1100578401</v>
      </c>
      <c r="H1525" s="24">
        <v>46119</v>
      </c>
      <c r="O1525" s="23">
        <v>359.64</v>
      </c>
      <c r="P1525" s="23" t="s">
        <v>79</v>
      </c>
    </row>
    <row r="1526" spans="2:28" x14ac:dyDescent="0.2">
      <c r="C1526" s="23">
        <v>1100573904</v>
      </c>
      <c r="E1526" s="23">
        <v>90</v>
      </c>
      <c r="F1526" s="23" t="s">
        <v>3393</v>
      </c>
      <c r="G1526" s="23" t="s">
        <v>3394</v>
      </c>
      <c r="H1526" s="24">
        <v>46120</v>
      </c>
      <c r="I1526" s="24">
        <v>46120</v>
      </c>
      <c r="J1526" s="23" t="s">
        <v>640</v>
      </c>
      <c r="K1526" s="23" t="s">
        <v>640</v>
      </c>
      <c r="L1526" s="23">
        <v>1</v>
      </c>
      <c r="M1526" s="23" t="s">
        <v>78</v>
      </c>
      <c r="N1526" s="23" t="s">
        <v>78</v>
      </c>
      <c r="O1526" s="23">
        <v>3267.57</v>
      </c>
      <c r="P1526" s="23" t="s">
        <v>79</v>
      </c>
      <c r="Q1526" s="23" t="s">
        <v>83</v>
      </c>
      <c r="R1526" s="23">
        <v>11100176</v>
      </c>
      <c r="S1526" s="24" t="s">
        <v>80</v>
      </c>
      <c r="T1526" s="24">
        <v>46037</v>
      </c>
      <c r="U1526" s="24">
        <v>47116</v>
      </c>
      <c r="X1526" s="24">
        <v>46037</v>
      </c>
      <c r="Y1526" s="23">
        <v>1111</v>
      </c>
      <c r="Z1526" s="23">
        <v>11600007</v>
      </c>
      <c r="AA1526" s="23">
        <v>395103</v>
      </c>
      <c r="AB1526" s="24">
        <v>46031</v>
      </c>
    </row>
    <row r="1527" spans="2:28" x14ac:dyDescent="0.2">
      <c r="C1527" s="23">
        <v>1100573904</v>
      </c>
      <c r="E1527" s="23">
        <v>140</v>
      </c>
      <c r="F1527" s="23" t="s">
        <v>2099</v>
      </c>
      <c r="G1527" s="23" t="s">
        <v>2100</v>
      </c>
      <c r="H1527" s="24">
        <v>46120</v>
      </c>
      <c r="I1527" s="24">
        <v>46121</v>
      </c>
      <c r="J1527" s="23" t="s">
        <v>640</v>
      </c>
      <c r="K1527" s="23" t="s">
        <v>640</v>
      </c>
      <c r="L1527" s="23">
        <v>2</v>
      </c>
      <c r="M1527" s="23" t="s">
        <v>78</v>
      </c>
      <c r="N1527" s="23" t="s">
        <v>78</v>
      </c>
      <c r="O1527" s="23">
        <v>5230.3</v>
      </c>
      <c r="P1527" s="23" t="s">
        <v>79</v>
      </c>
      <c r="Q1527" s="23" t="s">
        <v>83</v>
      </c>
      <c r="R1527" s="23">
        <v>11100176</v>
      </c>
      <c r="S1527" s="24" t="s">
        <v>80</v>
      </c>
      <c r="T1527" s="24">
        <v>46037</v>
      </c>
      <c r="U1527" s="24">
        <v>47116</v>
      </c>
      <c r="X1527" s="24">
        <v>46037</v>
      </c>
      <c r="Y1527" s="23">
        <v>1111</v>
      </c>
      <c r="Z1527" s="23">
        <v>11600007</v>
      </c>
      <c r="AA1527" s="23">
        <v>395103</v>
      </c>
      <c r="AB1527" s="24">
        <v>46031</v>
      </c>
    </row>
    <row r="1528" spans="2:28" x14ac:dyDescent="0.2">
      <c r="B1528" s="23" t="s">
        <v>81</v>
      </c>
      <c r="C1528" s="23">
        <v>1100573904</v>
      </c>
      <c r="H1528" s="24">
        <v>46120</v>
      </c>
      <c r="O1528" s="23">
        <v>8497.8700000000008</v>
      </c>
      <c r="P1528" s="23" t="s">
        <v>79</v>
      </c>
    </row>
    <row r="1529" spans="2:28" x14ac:dyDescent="0.2">
      <c r="C1529" s="23">
        <v>1100575180</v>
      </c>
      <c r="E1529" s="23">
        <v>20</v>
      </c>
      <c r="F1529" s="23" t="s">
        <v>3395</v>
      </c>
      <c r="G1529" s="23" t="s">
        <v>3396</v>
      </c>
      <c r="H1529" s="24">
        <v>46120</v>
      </c>
      <c r="I1529" s="24">
        <v>46120</v>
      </c>
      <c r="J1529" s="23" t="s">
        <v>102</v>
      </c>
      <c r="K1529" s="23" t="s">
        <v>102</v>
      </c>
      <c r="L1529" s="23">
        <v>1</v>
      </c>
      <c r="M1529" s="23" t="s">
        <v>78</v>
      </c>
      <c r="N1529" s="23" t="s">
        <v>78</v>
      </c>
      <c r="O1529" s="23">
        <v>1100.8900000000001</v>
      </c>
      <c r="P1529" s="23" t="s">
        <v>79</v>
      </c>
      <c r="Q1529" s="23" t="s">
        <v>83</v>
      </c>
      <c r="R1529" s="23">
        <v>11100176</v>
      </c>
      <c r="S1529" s="24">
        <v>46120</v>
      </c>
      <c r="T1529" s="24">
        <v>46050</v>
      </c>
      <c r="U1529" s="24">
        <v>46120</v>
      </c>
      <c r="X1529" s="24">
        <v>46050</v>
      </c>
      <c r="Y1529" s="23">
        <v>1111</v>
      </c>
      <c r="Z1529" s="23">
        <v>11400789</v>
      </c>
      <c r="AA1529" s="23">
        <v>515103</v>
      </c>
      <c r="AB1529" s="24">
        <v>46049</v>
      </c>
    </row>
    <row r="1530" spans="2:28" x14ac:dyDescent="0.2">
      <c r="B1530" s="23" t="s">
        <v>81</v>
      </c>
      <c r="C1530" s="23">
        <v>1100575180</v>
      </c>
      <c r="H1530" s="24">
        <v>46120</v>
      </c>
      <c r="O1530" s="23">
        <v>1100.8900000000001</v>
      </c>
      <c r="P1530" s="23" t="s">
        <v>79</v>
      </c>
    </row>
    <row r="1531" spans="2:28" x14ac:dyDescent="0.2">
      <c r="C1531" s="23">
        <v>1100575301</v>
      </c>
      <c r="E1531" s="23">
        <v>10</v>
      </c>
      <c r="F1531" s="23" t="s">
        <v>3397</v>
      </c>
      <c r="G1531" s="23" t="s">
        <v>3398</v>
      </c>
      <c r="H1531" s="24">
        <v>46120</v>
      </c>
      <c r="I1531" s="24">
        <v>46120</v>
      </c>
      <c r="J1531" s="23" t="s">
        <v>3399</v>
      </c>
      <c r="K1531" s="23" t="s">
        <v>3399</v>
      </c>
      <c r="L1531" s="23">
        <v>1</v>
      </c>
      <c r="M1531" s="23" t="s">
        <v>78</v>
      </c>
      <c r="N1531" s="23" t="s">
        <v>78</v>
      </c>
      <c r="O1531" s="23">
        <v>2051</v>
      </c>
      <c r="P1531" s="23" t="s">
        <v>79</v>
      </c>
      <c r="Q1531" s="23" t="s">
        <v>83</v>
      </c>
      <c r="R1531" s="23">
        <v>11100176</v>
      </c>
      <c r="S1531" s="24">
        <v>46120</v>
      </c>
      <c r="T1531" s="24">
        <v>46051</v>
      </c>
      <c r="U1531" s="24">
        <v>47116</v>
      </c>
      <c r="X1531" s="24">
        <v>46042</v>
      </c>
      <c r="Y1531" s="23">
        <v>1111</v>
      </c>
      <c r="Z1531" s="23">
        <v>11400124</v>
      </c>
      <c r="AA1531" s="23">
        <v>3358</v>
      </c>
      <c r="AB1531" s="24">
        <v>47118</v>
      </c>
    </row>
    <row r="1532" spans="2:28" x14ac:dyDescent="0.2">
      <c r="B1532" s="23" t="s">
        <v>81</v>
      </c>
      <c r="C1532" s="23">
        <v>1100575301</v>
      </c>
      <c r="H1532" s="24">
        <v>46120</v>
      </c>
      <c r="O1532" s="23">
        <v>2051</v>
      </c>
      <c r="P1532" s="23" t="s">
        <v>79</v>
      </c>
    </row>
    <row r="1533" spans="2:28" x14ac:dyDescent="0.2">
      <c r="C1533" s="23">
        <v>1100575512</v>
      </c>
      <c r="E1533" s="23">
        <v>10</v>
      </c>
      <c r="F1533" s="23" t="s">
        <v>3400</v>
      </c>
      <c r="G1533" s="23" t="s">
        <v>3401</v>
      </c>
      <c r="H1533" s="24">
        <v>46120</v>
      </c>
      <c r="I1533" s="24">
        <v>46120</v>
      </c>
      <c r="J1533" s="23" t="s">
        <v>1427</v>
      </c>
      <c r="K1533" s="23" t="s">
        <v>1427</v>
      </c>
      <c r="L1533" s="23">
        <v>1</v>
      </c>
      <c r="M1533" s="23" t="s">
        <v>566</v>
      </c>
      <c r="N1533" s="23" t="s">
        <v>566</v>
      </c>
      <c r="O1533" s="23">
        <v>4547.25</v>
      </c>
      <c r="P1533" s="23" t="s">
        <v>79</v>
      </c>
      <c r="Q1533" s="23" t="s">
        <v>83</v>
      </c>
      <c r="R1533" s="23">
        <v>11100176</v>
      </c>
      <c r="S1533" s="24">
        <v>46143</v>
      </c>
      <c r="T1533" s="24">
        <v>46052</v>
      </c>
      <c r="U1533" s="24" t="s">
        <v>80</v>
      </c>
      <c r="X1533" s="24">
        <v>46050</v>
      </c>
      <c r="Y1533" s="23">
        <v>1111</v>
      </c>
      <c r="Z1533" s="23">
        <v>11400606</v>
      </c>
      <c r="AA1533" s="23">
        <v>505103</v>
      </c>
      <c r="AB1533" s="24">
        <v>46050</v>
      </c>
    </row>
    <row r="1534" spans="2:28" x14ac:dyDescent="0.2">
      <c r="C1534" s="23">
        <v>1100575512</v>
      </c>
      <c r="E1534" s="23">
        <v>20</v>
      </c>
      <c r="F1534" s="23" t="s">
        <v>82</v>
      </c>
      <c r="G1534" s="23" t="s">
        <v>139</v>
      </c>
      <c r="H1534" s="24">
        <v>46120</v>
      </c>
      <c r="I1534" s="24">
        <v>46120</v>
      </c>
      <c r="J1534" s="23" t="s">
        <v>1427</v>
      </c>
      <c r="K1534" s="23" t="s">
        <v>1427</v>
      </c>
      <c r="L1534" s="23">
        <v>1</v>
      </c>
      <c r="M1534" s="23" t="s">
        <v>78</v>
      </c>
      <c r="N1534" s="23" t="s">
        <v>78</v>
      </c>
      <c r="O1534" s="23">
        <v>0.01</v>
      </c>
      <c r="P1534" s="23" t="s">
        <v>79</v>
      </c>
      <c r="Q1534" s="23" t="s">
        <v>83</v>
      </c>
      <c r="R1534" s="23">
        <v>11100176</v>
      </c>
      <c r="S1534" s="24" t="s">
        <v>80</v>
      </c>
      <c r="T1534" s="24">
        <v>46052</v>
      </c>
      <c r="U1534" s="24" t="s">
        <v>80</v>
      </c>
      <c r="X1534" s="24">
        <v>46050</v>
      </c>
      <c r="Y1534" s="23">
        <v>1111</v>
      </c>
      <c r="Z1534" s="23">
        <v>11400606</v>
      </c>
      <c r="AA1534" s="23">
        <v>505103</v>
      </c>
      <c r="AB1534" s="24">
        <v>46050</v>
      </c>
    </row>
    <row r="1535" spans="2:28" x14ac:dyDescent="0.2">
      <c r="B1535" s="23" t="s">
        <v>81</v>
      </c>
      <c r="C1535" s="23">
        <v>1100575512</v>
      </c>
      <c r="H1535" s="24">
        <v>46120</v>
      </c>
      <c r="O1535" s="23">
        <v>4547.26</v>
      </c>
      <c r="P1535" s="23" t="s">
        <v>79</v>
      </c>
    </row>
    <row r="1536" spans="2:28" x14ac:dyDescent="0.2">
      <c r="C1536" s="23">
        <v>1100575614</v>
      </c>
      <c r="E1536" s="23">
        <v>10</v>
      </c>
      <c r="F1536" s="23">
        <v>4214910</v>
      </c>
      <c r="G1536" s="23" t="s">
        <v>3402</v>
      </c>
      <c r="H1536" s="24">
        <v>46120</v>
      </c>
      <c r="I1536" s="24">
        <v>46120</v>
      </c>
      <c r="J1536" s="23" t="s">
        <v>3403</v>
      </c>
      <c r="K1536" s="23" t="s">
        <v>3403</v>
      </c>
      <c r="L1536" s="23">
        <v>4</v>
      </c>
      <c r="M1536" s="23" t="s">
        <v>78</v>
      </c>
      <c r="N1536" s="23" t="s">
        <v>78</v>
      </c>
      <c r="O1536" s="23">
        <v>436.16</v>
      </c>
      <c r="P1536" s="23" t="s">
        <v>79</v>
      </c>
      <c r="Q1536" s="23" t="s">
        <v>83</v>
      </c>
      <c r="R1536" s="23">
        <v>11100176</v>
      </c>
      <c r="S1536" s="24">
        <v>46120</v>
      </c>
      <c r="T1536" s="24">
        <v>46055</v>
      </c>
      <c r="U1536" s="24">
        <v>47116</v>
      </c>
      <c r="X1536" s="24">
        <v>46044</v>
      </c>
      <c r="Y1536" s="23">
        <v>1111</v>
      </c>
      <c r="Z1536" s="23">
        <v>11600003</v>
      </c>
      <c r="AA1536" s="23">
        <v>3151</v>
      </c>
      <c r="AB1536" s="24">
        <v>46051</v>
      </c>
    </row>
    <row r="1537" spans="2:28" x14ac:dyDescent="0.2">
      <c r="C1537" s="23">
        <v>1100575614</v>
      </c>
      <c r="E1537" s="23">
        <v>20</v>
      </c>
      <c r="F1537" s="23" t="s">
        <v>94</v>
      </c>
      <c r="G1537" s="23" t="s">
        <v>95</v>
      </c>
      <c r="H1537" s="24">
        <v>46120</v>
      </c>
      <c r="I1537" s="24">
        <v>46120</v>
      </c>
      <c r="J1537" s="23" t="s">
        <v>3403</v>
      </c>
      <c r="K1537" s="23" t="s">
        <v>3403</v>
      </c>
      <c r="L1537" s="23">
        <v>1</v>
      </c>
      <c r="M1537" s="23" t="s">
        <v>78</v>
      </c>
      <c r="N1537" s="23" t="s">
        <v>78</v>
      </c>
      <c r="O1537" s="23">
        <v>44</v>
      </c>
      <c r="P1537" s="23" t="s">
        <v>79</v>
      </c>
      <c r="Q1537" s="23" t="s">
        <v>83</v>
      </c>
      <c r="R1537" s="23">
        <v>11100176</v>
      </c>
      <c r="S1537" s="24">
        <v>46120</v>
      </c>
      <c r="T1537" s="24">
        <v>46055</v>
      </c>
      <c r="U1537" s="24">
        <v>47116</v>
      </c>
      <c r="X1537" s="24">
        <v>46044</v>
      </c>
      <c r="Y1537" s="23">
        <v>1111</v>
      </c>
      <c r="Z1537" s="23">
        <v>11600003</v>
      </c>
      <c r="AA1537" s="23">
        <v>3151</v>
      </c>
      <c r="AB1537" s="24">
        <v>46051</v>
      </c>
    </row>
    <row r="1538" spans="2:28" x14ac:dyDescent="0.2">
      <c r="B1538" s="23" t="s">
        <v>81</v>
      </c>
      <c r="C1538" s="23">
        <v>1100575614</v>
      </c>
      <c r="H1538" s="24">
        <v>46120</v>
      </c>
      <c r="O1538" s="23">
        <v>480.16</v>
      </c>
      <c r="P1538" s="23" t="s">
        <v>79</v>
      </c>
    </row>
    <row r="1539" spans="2:28" x14ac:dyDescent="0.2">
      <c r="C1539" s="23">
        <v>1100575688</v>
      </c>
      <c r="E1539" s="23">
        <v>10</v>
      </c>
      <c r="F1539" s="23" t="s">
        <v>3404</v>
      </c>
      <c r="G1539" s="23" t="s">
        <v>3405</v>
      </c>
      <c r="H1539" s="24">
        <v>46120</v>
      </c>
      <c r="I1539" s="24">
        <v>46120</v>
      </c>
      <c r="J1539" s="23" t="s">
        <v>1167</v>
      </c>
      <c r="K1539" s="23" t="s">
        <v>1167</v>
      </c>
      <c r="L1539" s="23">
        <v>2</v>
      </c>
      <c r="M1539" s="23" t="s">
        <v>566</v>
      </c>
      <c r="N1539" s="23" t="s">
        <v>566</v>
      </c>
      <c r="O1539" s="23">
        <v>5208.38</v>
      </c>
      <c r="P1539" s="23" t="s">
        <v>79</v>
      </c>
      <c r="Q1539" s="23" t="s">
        <v>83</v>
      </c>
      <c r="R1539" s="23">
        <v>11100176</v>
      </c>
      <c r="S1539" s="24">
        <v>46111</v>
      </c>
      <c r="T1539" s="24">
        <v>46056</v>
      </c>
      <c r="U1539" s="24" t="s">
        <v>80</v>
      </c>
      <c r="X1539" s="24">
        <v>46055</v>
      </c>
      <c r="Y1539" s="23">
        <v>1111</v>
      </c>
      <c r="Z1539" s="23">
        <v>11400745</v>
      </c>
      <c r="AA1539" s="23">
        <v>335103</v>
      </c>
      <c r="AB1539" s="24">
        <v>46055</v>
      </c>
    </row>
    <row r="1540" spans="2:28" x14ac:dyDescent="0.2">
      <c r="C1540" s="23">
        <v>1100575688</v>
      </c>
      <c r="E1540" s="23">
        <v>20</v>
      </c>
      <c r="F1540" s="23" t="s">
        <v>82</v>
      </c>
      <c r="G1540" s="23" t="s">
        <v>139</v>
      </c>
      <c r="H1540" s="24">
        <v>46120</v>
      </c>
      <c r="I1540" s="24">
        <v>46120</v>
      </c>
      <c r="J1540" s="23" t="s">
        <v>1167</v>
      </c>
      <c r="K1540" s="23" t="s">
        <v>1167</v>
      </c>
      <c r="L1540" s="23">
        <v>1</v>
      </c>
      <c r="M1540" s="23" t="s">
        <v>78</v>
      </c>
      <c r="N1540" s="23" t="s">
        <v>78</v>
      </c>
      <c r="O1540" s="23">
        <v>0.01</v>
      </c>
      <c r="P1540" s="23" t="s">
        <v>79</v>
      </c>
      <c r="Q1540" s="23" t="s">
        <v>83</v>
      </c>
      <c r="R1540" s="23">
        <v>11100176</v>
      </c>
      <c r="S1540" s="24" t="s">
        <v>80</v>
      </c>
      <c r="T1540" s="24">
        <v>46056</v>
      </c>
      <c r="U1540" s="24" t="s">
        <v>80</v>
      </c>
      <c r="X1540" s="24">
        <v>46055</v>
      </c>
      <c r="Y1540" s="23">
        <v>1111</v>
      </c>
      <c r="Z1540" s="23">
        <v>11400745</v>
      </c>
      <c r="AA1540" s="23">
        <v>335103</v>
      </c>
      <c r="AB1540" s="24">
        <v>46055</v>
      </c>
    </row>
    <row r="1541" spans="2:28" x14ac:dyDescent="0.2">
      <c r="B1541" s="23" t="s">
        <v>81</v>
      </c>
      <c r="C1541" s="23">
        <v>1100575688</v>
      </c>
      <c r="H1541" s="24">
        <v>46120</v>
      </c>
      <c r="O1541" s="23">
        <v>5208.3900000000003</v>
      </c>
      <c r="P1541" s="23" t="s">
        <v>79</v>
      </c>
    </row>
    <row r="1542" spans="2:28" x14ac:dyDescent="0.2">
      <c r="C1542" s="23">
        <v>1100577188</v>
      </c>
      <c r="E1542" s="23">
        <v>10</v>
      </c>
      <c r="F1542" s="23" t="s">
        <v>691</v>
      </c>
      <c r="G1542" s="23" t="s">
        <v>1891</v>
      </c>
      <c r="H1542" s="24">
        <v>46120</v>
      </c>
      <c r="I1542" s="24">
        <v>46851</v>
      </c>
      <c r="J1542" s="23" t="s">
        <v>781</v>
      </c>
      <c r="K1542" s="23" t="s">
        <v>781</v>
      </c>
      <c r="L1542" s="23">
        <v>2</v>
      </c>
      <c r="M1542" s="23" t="s">
        <v>78</v>
      </c>
      <c r="N1542" s="23" t="s">
        <v>78</v>
      </c>
      <c r="O1542" s="23">
        <v>1353.08</v>
      </c>
      <c r="P1542" s="23" t="s">
        <v>79</v>
      </c>
      <c r="Q1542" s="23" t="s">
        <v>83</v>
      </c>
      <c r="R1542" s="23">
        <v>11100176</v>
      </c>
      <c r="S1542" s="24">
        <v>46120</v>
      </c>
      <c r="T1542" s="24">
        <v>46072</v>
      </c>
      <c r="U1542" s="24" t="s">
        <v>80</v>
      </c>
      <c r="X1542" s="24">
        <v>46070</v>
      </c>
      <c r="Y1542" s="23">
        <v>1111</v>
      </c>
      <c r="Z1542" s="23">
        <v>11400937</v>
      </c>
      <c r="AA1542" s="23">
        <v>505103</v>
      </c>
      <c r="AB1542" s="24">
        <v>46070</v>
      </c>
    </row>
    <row r="1543" spans="2:28" x14ac:dyDescent="0.2">
      <c r="C1543" s="23">
        <v>1100577188</v>
      </c>
      <c r="E1543" s="23">
        <v>20</v>
      </c>
      <c r="F1543" s="23" t="s">
        <v>82</v>
      </c>
      <c r="G1543" s="23" t="s">
        <v>139</v>
      </c>
      <c r="H1543" s="24">
        <v>46120</v>
      </c>
      <c r="I1543" s="24">
        <v>46120</v>
      </c>
      <c r="J1543" s="23" t="s">
        <v>781</v>
      </c>
      <c r="K1543" s="23" t="s">
        <v>781</v>
      </c>
      <c r="L1543" s="23">
        <v>1</v>
      </c>
      <c r="M1543" s="23" t="s">
        <v>78</v>
      </c>
      <c r="N1543" s="23" t="s">
        <v>78</v>
      </c>
      <c r="O1543" s="23">
        <v>0.01</v>
      </c>
      <c r="P1543" s="23" t="s">
        <v>79</v>
      </c>
      <c r="Q1543" s="23" t="s">
        <v>83</v>
      </c>
      <c r="R1543" s="23">
        <v>11100176</v>
      </c>
      <c r="S1543" s="24" t="s">
        <v>80</v>
      </c>
      <c r="T1543" s="24">
        <v>46072</v>
      </c>
      <c r="U1543" s="24" t="s">
        <v>80</v>
      </c>
      <c r="X1543" s="24">
        <v>46070</v>
      </c>
      <c r="Y1543" s="23">
        <v>1111</v>
      </c>
      <c r="Z1543" s="23">
        <v>11400937</v>
      </c>
      <c r="AA1543" s="23">
        <v>505103</v>
      </c>
      <c r="AB1543" s="24">
        <v>46070</v>
      </c>
    </row>
    <row r="1544" spans="2:28" x14ac:dyDescent="0.2">
      <c r="B1544" s="23" t="s">
        <v>81</v>
      </c>
      <c r="C1544" s="23">
        <v>1100577188</v>
      </c>
      <c r="H1544" s="24">
        <v>46120</v>
      </c>
      <c r="O1544" s="23">
        <v>1353.09</v>
      </c>
      <c r="P1544" s="23" t="s">
        <v>79</v>
      </c>
    </row>
    <row r="1545" spans="2:28" x14ac:dyDescent="0.2">
      <c r="C1545" s="23">
        <v>1100577554</v>
      </c>
      <c r="E1545" s="23">
        <v>10</v>
      </c>
      <c r="F1545" s="23" t="s">
        <v>923</v>
      </c>
      <c r="G1545" s="23" t="s">
        <v>714</v>
      </c>
      <c r="H1545" s="24">
        <v>46120</v>
      </c>
      <c r="I1545" s="24">
        <v>46120</v>
      </c>
      <c r="J1545" s="23" t="s">
        <v>92</v>
      </c>
      <c r="K1545" s="23" t="s">
        <v>92</v>
      </c>
      <c r="L1545" s="23">
        <v>1</v>
      </c>
      <c r="M1545" s="23" t="s">
        <v>78</v>
      </c>
      <c r="N1545" s="23" t="s">
        <v>78</v>
      </c>
      <c r="O1545" s="23">
        <v>892.55</v>
      </c>
      <c r="P1545" s="23" t="s">
        <v>79</v>
      </c>
      <c r="Q1545" s="23" t="s">
        <v>83</v>
      </c>
      <c r="R1545" s="23">
        <v>11100008</v>
      </c>
      <c r="S1545" s="24">
        <v>46094</v>
      </c>
      <c r="T1545" s="24">
        <v>46075</v>
      </c>
      <c r="U1545" s="24" t="s">
        <v>80</v>
      </c>
      <c r="X1545" s="24">
        <v>46072</v>
      </c>
      <c r="Y1545" s="23">
        <v>1111</v>
      </c>
      <c r="Z1545" s="23">
        <v>11400937</v>
      </c>
      <c r="AA1545" s="23">
        <v>525103</v>
      </c>
      <c r="AB1545" s="24">
        <v>46072</v>
      </c>
    </row>
    <row r="1546" spans="2:28" x14ac:dyDescent="0.2">
      <c r="B1546" s="23" t="s">
        <v>81</v>
      </c>
      <c r="C1546" s="23">
        <v>1100577554</v>
      </c>
      <c r="H1546" s="24">
        <v>46120</v>
      </c>
      <c r="O1546" s="23">
        <v>892.55</v>
      </c>
      <c r="P1546" s="23" t="s">
        <v>79</v>
      </c>
    </row>
    <row r="1547" spans="2:28" x14ac:dyDescent="0.2">
      <c r="C1547" s="23">
        <v>1100577656</v>
      </c>
      <c r="E1547" s="23">
        <v>10</v>
      </c>
      <c r="F1547" s="23" t="s">
        <v>823</v>
      </c>
      <c r="G1547" s="23" t="s">
        <v>824</v>
      </c>
      <c r="H1547" s="24">
        <v>46120</v>
      </c>
      <c r="I1547" s="24">
        <v>46120</v>
      </c>
      <c r="J1547" s="23" t="s">
        <v>3406</v>
      </c>
      <c r="K1547" s="23" t="s">
        <v>3406</v>
      </c>
      <c r="L1547" s="23">
        <v>1</v>
      </c>
      <c r="M1547" s="23" t="s">
        <v>78</v>
      </c>
      <c r="N1547" s="23" t="s">
        <v>78</v>
      </c>
      <c r="O1547" s="23">
        <v>493.43</v>
      </c>
      <c r="P1547" s="23" t="s">
        <v>79</v>
      </c>
      <c r="Q1547" s="23" t="s">
        <v>83</v>
      </c>
      <c r="R1547" s="23">
        <v>11100176</v>
      </c>
      <c r="S1547" s="24">
        <v>46104</v>
      </c>
      <c r="T1547" s="24">
        <v>46076</v>
      </c>
      <c r="U1547" s="24" t="s">
        <v>80</v>
      </c>
      <c r="X1547" s="24">
        <v>46073</v>
      </c>
      <c r="Y1547" s="23">
        <v>1111</v>
      </c>
      <c r="Z1547" s="23">
        <v>11400937</v>
      </c>
      <c r="AA1547" s="23">
        <v>505103</v>
      </c>
      <c r="AB1547" s="24">
        <v>46070</v>
      </c>
    </row>
    <row r="1548" spans="2:28" x14ac:dyDescent="0.2">
      <c r="B1548" s="23" t="s">
        <v>81</v>
      </c>
      <c r="C1548" s="23">
        <v>1100577656</v>
      </c>
      <c r="H1548" s="24">
        <v>46120</v>
      </c>
      <c r="O1548" s="23">
        <v>493.43</v>
      </c>
      <c r="P1548" s="23" t="s">
        <v>79</v>
      </c>
    </row>
    <row r="1549" spans="2:28" x14ac:dyDescent="0.2">
      <c r="C1549" s="23">
        <v>1100577857</v>
      </c>
      <c r="E1549" s="23">
        <v>10</v>
      </c>
      <c r="F1549" s="23" t="s">
        <v>3407</v>
      </c>
      <c r="G1549" s="23" t="s">
        <v>3408</v>
      </c>
      <c r="H1549" s="24">
        <v>46120</v>
      </c>
      <c r="I1549" s="24">
        <v>46120</v>
      </c>
      <c r="J1549" s="23" t="s">
        <v>509</v>
      </c>
      <c r="K1549" s="23" t="s">
        <v>509</v>
      </c>
      <c r="L1549" s="23">
        <v>6</v>
      </c>
      <c r="M1549" s="23" t="s">
        <v>78</v>
      </c>
      <c r="N1549" s="23" t="s">
        <v>78</v>
      </c>
      <c r="O1549" s="23">
        <v>7710</v>
      </c>
      <c r="P1549" s="23" t="s">
        <v>79</v>
      </c>
      <c r="Q1549" s="23" t="s">
        <v>83</v>
      </c>
      <c r="R1549" s="23">
        <v>11100176</v>
      </c>
      <c r="S1549" s="24">
        <v>46120</v>
      </c>
      <c r="T1549" s="24">
        <v>46078</v>
      </c>
      <c r="U1549" s="24" t="s">
        <v>80</v>
      </c>
      <c r="X1549" s="24">
        <v>46077</v>
      </c>
      <c r="Y1549" s="23">
        <v>1111</v>
      </c>
      <c r="Z1549" s="23">
        <v>11400745</v>
      </c>
      <c r="AA1549" s="23">
        <v>3351</v>
      </c>
      <c r="AB1549" s="24">
        <v>46077</v>
      </c>
    </row>
    <row r="1550" spans="2:28" x14ac:dyDescent="0.2">
      <c r="B1550" s="23" t="s">
        <v>81</v>
      </c>
      <c r="C1550" s="23">
        <v>1100577857</v>
      </c>
      <c r="H1550" s="24">
        <v>46120</v>
      </c>
      <c r="O1550" s="23">
        <v>7710</v>
      </c>
      <c r="P1550" s="23" t="s">
        <v>79</v>
      </c>
    </row>
    <row r="1551" spans="2:28" x14ac:dyDescent="0.2">
      <c r="C1551" s="23">
        <v>1100577862</v>
      </c>
      <c r="E1551" s="23">
        <v>10</v>
      </c>
      <c r="F1551" s="23" t="s">
        <v>3409</v>
      </c>
      <c r="G1551" s="23" t="s">
        <v>3410</v>
      </c>
      <c r="H1551" s="24">
        <v>46120</v>
      </c>
      <c r="I1551" s="24">
        <v>46120</v>
      </c>
      <c r="J1551" s="23" t="s">
        <v>1427</v>
      </c>
      <c r="K1551" s="23" t="s">
        <v>1427</v>
      </c>
      <c r="L1551" s="23">
        <v>6</v>
      </c>
      <c r="M1551" s="23" t="s">
        <v>78</v>
      </c>
      <c r="N1551" s="23" t="s">
        <v>78</v>
      </c>
      <c r="O1551" s="23">
        <v>3164.1</v>
      </c>
      <c r="P1551" s="23" t="s">
        <v>79</v>
      </c>
      <c r="Q1551" s="23" t="s">
        <v>83</v>
      </c>
      <c r="R1551" s="23">
        <v>11100176</v>
      </c>
      <c r="S1551" s="24">
        <v>46108</v>
      </c>
      <c r="T1551" s="24">
        <v>46078</v>
      </c>
      <c r="U1551" s="24" t="s">
        <v>80</v>
      </c>
      <c r="X1551" s="24">
        <v>46077</v>
      </c>
      <c r="Y1551" s="23">
        <v>1111</v>
      </c>
      <c r="Z1551" s="23">
        <v>11600003</v>
      </c>
      <c r="AA1551" s="23">
        <v>5051</v>
      </c>
      <c r="AB1551" s="24">
        <v>46076</v>
      </c>
    </row>
    <row r="1552" spans="2:28" x14ac:dyDescent="0.2">
      <c r="C1552" s="23">
        <v>1100577862</v>
      </c>
      <c r="E1552" s="23">
        <v>20</v>
      </c>
      <c r="F1552" s="23" t="s">
        <v>82</v>
      </c>
      <c r="G1552" s="23" t="s">
        <v>139</v>
      </c>
      <c r="H1552" s="24">
        <v>46120</v>
      </c>
      <c r="I1552" s="24">
        <v>46120</v>
      </c>
      <c r="J1552" s="23" t="s">
        <v>1427</v>
      </c>
      <c r="K1552" s="23" t="s">
        <v>1427</v>
      </c>
      <c r="L1552" s="23">
        <v>1</v>
      </c>
      <c r="M1552" s="23" t="s">
        <v>78</v>
      </c>
      <c r="N1552" s="23" t="s">
        <v>78</v>
      </c>
      <c r="O1552" s="23">
        <v>0.01</v>
      </c>
      <c r="P1552" s="23" t="s">
        <v>79</v>
      </c>
      <c r="Q1552" s="23" t="s">
        <v>83</v>
      </c>
      <c r="R1552" s="23">
        <v>11100176</v>
      </c>
      <c r="S1552" s="24">
        <v>46108</v>
      </c>
      <c r="T1552" s="24">
        <v>46078</v>
      </c>
      <c r="U1552" s="24" t="s">
        <v>80</v>
      </c>
      <c r="X1552" s="24">
        <v>46077</v>
      </c>
      <c r="Y1552" s="23">
        <v>1111</v>
      </c>
      <c r="Z1552" s="23">
        <v>11600003</v>
      </c>
      <c r="AA1552" s="23">
        <v>5051</v>
      </c>
      <c r="AB1552" s="24">
        <v>46076</v>
      </c>
    </row>
    <row r="1553" spans="2:28" x14ac:dyDescent="0.2">
      <c r="B1553" s="23" t="s">
        <v>81</v>
      </c>
      <c r="C1553" s="23">
        <v>1100577862</v>
      </c>
      <c r="H1553" s="24">
        <v>46120</v>
      </c>
      <c r="O1553" s="23">
        <v>3164.11</v>
      </c>
      <c r="P1553" s="23" t="s">
        <v>79</v>
      </c>
    </row>
    <row r="1554" spans="2:28" x14ac:dyDescent="0.2">
      <c r="C1554" s="23">
        <v>1100577889</v>
      </c>
      <c r="E1554" s="23">
        <v>10</v>
      </c>
      <c r="F1554" s="23" t="s">
        <v>87</v>
      </c>
      <c r="G1554" s="23" t="s">
        <v>3411</v>
      </c>
      <c r="H1554" s="24">
        <v>46120</v>
      </c>
      <c r="I1554" s="24">
        <v>46120</v>
      </c>
      <c r="J1554" s="23" t="s">
        <v>3183</v>
      </c>
      <c r="K1554" s="23" t="s">
        <v>3183</v>
      </c>
      <c r="L1554" s="23">
        <v>1</v>
      </c>
      <c r="M1554" s="23" t="s">
        <v>78</v>
      </c>
      <c r="N1554" s="23" t="s">
        <v>78</v>
      </c>
      <c r="O1554" s="23">
        <v>471.5</v>
      </c>
      <c r="P1554" s="23" t="s">
        <v>79</v>
      </c>
      <c r="Q1554" s="23" t="s">
        <v>83</v>
      </c>
      <c r="R1554" s="23">
        <v>11100176</v>
      </c>
      <c r="S1554" s="24">
        <v>46113</v>
      </c>
      <c r="T1554" s="24">
        <v>46078</v>
      </c>
      <c r="U1554" s="24" t="s">
        <v>80</v>
      </c>
      <c r="X1554" s="24">
        <v>46077</v>
      </c>
      <c r="Y1554" s="23">
        <v>1111</v>
      </c>
      <c r="Z1554" s="23">
        <v>11400811</v>
      </c>
      <c r="AA1554" s="23">
        <v>335103</v>
      </c>
      <c r="AB1554" s="24">
        <v>46071</v>
      </c>
    </row>
    <row r="1555" spans="2:28" x14ac:dyDescent="0.2">
      <c r="C1555" s="23">
        <v>1100577889</v>
      </c>
      <c r="E1555" s="23">
        <v>20</v>
      </c>
      <c r="F1555" s="23" t="s">
        <v>84</v>
      </c>
      <c r="G1555" s="23" t="s">
        <v>123</v>
      </c>
      <c r="H1555" s="24">
        <v>46120</v>
      </c>
      <c r="I1555" s="24">
        <v>46120</v>
      </c>
      <c r="J1555" s="23" t="s">
        <v>3183</v>
      </c>
      <c r="K1555" s="23" t="s">
        <v>3183</v>
      </c>
      <c r="L1555" s="23">
        <v>1</v>
      </c>
      <c r="M1555" s="23" t="s">
        <v>78</v>
      </c>
      <c r="N1555" s="23" t="s">
        <v>78</v>
      </c>
      <c r="O1555" s="23">
        <v>0.01</v>
      </c>
      <c r="P1555" s="23" t="s">
        <v>79</v>
      </c>
      <c r="Q1555" s="23" t="s">
        <v>83</v>
      </c>
      <c r="R1555" s="23">
        <v>11100176</v>
      </c>
      <c r="S1555" s="24" t="s">
        <v>80</v>
      </c>
      <c r="T1555" s="24">
        <v>46078</v>
      </c>
      <c r="U1555" s="24" t="s">
        <v>80</v>
      </c>
      <c r="X1555" s="24">
        <v>46077</v>
      </c>
      <c r="Y1555" s="23">
        <v>1111</v>
      </c>
      <c r="Z1555" s="23">
        <v>11400811</v>
      </c>
      <c r="AA1555" s="23">
        <v>335103</v>
      </c>
      <c r="AB1555" s="24">
        <v>46071</v>
      </c>
    </row>
    <row r="1556" spans="2:28" x14ac:dyDescent="0.2">
      <c r="B1556" s="23" t="s">
        <v>81</v>
      </c>
      <c r="C1556" s="23">
        <v>1100577889</v>
      </c>
      <c r="H1556" s="24">
        <v>46120</v>
      </c>
      <c r="O1556" s="23">
        <v>471.51</v>
      </c>
      <c r="P1556" s="23" t="s">
        <v>79</v>
      </c>
    </row>
    <row r="1557" spans="2:28" x14ac:dyDescent="0.2">
      <c r="C1557" s="23">
        <v>1100577945</v>
      </c>
      <c r="E1557" s="23">
        <v>10</v>
      </c>
      <c r="F1557" s="23" t="s">
        <v>3412</v>
      </c>
      <c r="G1557" s="23" t="s">
        <v>3413</v>
      </c>
      <c r="H1557" s="24">
        <v>46120</v>
      </c>
      <c r="I1557" s="24">
        <v>46120</v>
      </c>
      <c r="J1557" s="23" t="s">
        <v>2302</v>
      </c>
      <c r="K1557" s="23" t="s">
        <v>2302</v>
      </c>
      <c r="L1557" s="23">
        <v>6</v>
      </c>
      <c r="M1557" s="23" t="s">
        <v>78</v>
      </c>
      <c r="N1557" s="23" t="s">
        <v>78</v>
      </c>
      <c r="O1557" s="23">
        <v>12</v>
      </c>
      <c r="P1557" s="23" t="s">
        <v>79</v>
      </c>
      <c r="Q1557" s="23" t="s">
        <v>83</v>
      </c>
      <c r="R1557" s="23">
        <v>11100176</v>
      </c>
      <c r="S1557" s="24">
        <v>46120</v>
      </c>
      <c r="T1557" s="24">
        <v>46078</v>
      </c>
      <c r="U1557" s="24" t="s">
        <v>80</v>
      </c>
      <c r="X1557" s="24">
        <v>46078</v>
      </c>
      <c r="Y1557" s="23">
        <v>1111</v>
      </c>
      <c r="Z1557" s="23">
        <v>11600007</v>
      </c>
      <c r="AA1557" s="23">
        <v>505103</v>
      </c>
      <c r="AB1557" s="24">
        <v>46073</v>
      </c>
    </row>
    <row r="1558" spans="2:28" x14ac:dyDescent="0.2">
      <c r="C1558" s="23">
        <v>1100577945</v>
      </c>
      <c r="E1558" s="23">
        <v>20</v>
      </c>
      <c r="F1558" s="23" t="s">
        <v>3414</v>
      </c>
      <c r="G1558" s="23" t="s">
        <v>3415</v>
      </c>
      <c r="H1558" s="24">
        <v>46120</v>
      </c>
      <c r="I1558" s="24">
        <v>46120</v>
      </c>
      <c r="J1558" s="23" t="s">
        <v>2302</v>
      </c>
      <c r="K1558" s="23" t="s">
        <v>2302</v>
      </c>
      <c r="L1558" s="23">
        <v>6</v>
      </c>
      <c r="M1558" s="23" t="s">
        <v>78</v>
      </c>
      <c r="N1558" s="23" t="s">
        <v>78</v>
      </c>
      <c r="O1558" s="23">
        <v>434.1</v>
      </c>
      <c r="P1558" s="23" t="s">
        <v>79</v>
      </c>
      <c r="Q1558" s="23" t="s">
        <v>83</v>
      </c>
      <c r="R1558" s="23">
        <v>11100176</v>
      </c>
      <c r="S1558" s="24">
        <v>46120</v>
      </c>
      <c r="T1558" s="24">
        <v>46078</v>
      </c>
      <c r="U1558" s="24" t="s">
        <v>80</v>
      </c>
      <c r="X1558" s="24">
        <v>46078</v>
      </c>
      <c r="Y1558" s="23">
        <v>1111</v>
      </c>
      <c r="Z1558" s="23">
        <v>11600007</v>
      </c>
      <c r="AA1558" s="23">
        <v>505103</v>
      </c>
      <c r="AB1558" s="24">
        <v>46073</v>
      </c>
    </row>
    <row r="1559" spans="2:28" x14ac:dyDescent="0.2">
      <c r="C1559" s="23">
        <v>1100577945</v>
      </c>
      <c r="E1559" s="23">
        <v>30</v>
      </c>
      <c r="F1559" s="23" t="s">
        <v>82</v>
      </c>
      <c r="G1559" s="23" t="s">
        <v>139</v>
      </c>
      <c r="H1559" s="24">
        <v>46120</v>
      </c>
      <c r="I1559" s="24">
        <v>46120</v>
      </c>
      <c r="J1559" s="23" t="s">
        <v>2302</v>
      </c>
      <c r="K1559" s="23" t="s">
        <v>2302</v>
      </c>
      <c r="L1559" s="23">
        <v>1</v>
      </c>
      <c r="M1559" s="23" t="s">
        <v>78</v>
      </c>
      <c r="N1559" s="23" t="s">
        <v>78</v>
      </c>
      <c r="O1559" s="23">
        <v>0.01</v>
      </c>
      <c r="P1559" s="23" t="s">
        <v>79</v>
      </c>
      <c r="Q1559" s="23" t="s">
        <v>83</v>
      </c>
      <c r="R1559" s="23">
        <v>11100176</v>
      </c>
      <c r="S1559" s="24" t="s">
        <v>80</v>
      </c>
      <c r="T1559" s="24">
        <v>46078</v>
      </c>
      <c r="U1559" s="24" t="s">
        <v>80</v>
      </c>
      <c r="X1559" s="24">
        <v>46078</v>
      </c>
      <c r="Y1559" s="23">
        <v>1111</v>
      </c>
      <c r="Z1559" s="23">
        <v>11600007</v>
      </c>
      <c r="AA1559" s="23">
        <v>505103</v>
      </c>
      <c r="AB1559" s="24">
        <v>46073</v>
      </c>
    </row>
    <row r="1560" spans="2:28" x14ac:dyDescent="0.2">
      <c r="B1560" s="23" t="s">
        <v>81</v>
      </c>
      <c r="C1560" s="23">
        <v>1100577945</v>
      </c>
      <c r="H1560" s="24">
        <v>46120</v>
      </c>
      <c r="O1560" s="23">
        <v>446.11</v>
      </c>
      <c r="P1560" s="23" t="s">
        <v>79</v>
      </c>
    </row>
    <row r="1561" spans="2:28" x14ac:dyDescent="0.2">
      <c r="C1561" s="23">
        <v>1100578061</v>
      </c>
      <c r="E1561" s="23">
        <v>10</v>
      </c>
      <c r="F1561" s="23" t="s">
        <v>713</v>
      </c>
      <c r="G1561" s="23" t="s">
        <v>714</v>
      </c>
      <c r="H1561" s="24">
        <v>46120</v>
      </c>
      <c r="I1561" s="24">
        <v>46120</v>
      </c>
      <c r="J1561" s="23" t="s">
        <v>1159</v>
      </c>
      <c r="K1561" s="23" t="s">
        <v>1159</v>
      </c>
      <c r="L1561" s="23">
        <v>1</v>
      </c>
      <c r="M1561" s="23" t="s">
        <v>78</v>
      </c>
      <c r="N1561" s="23" t="s">
        <v>78</v>
      </c>
      <c r="O1561" s="23">
        <v>892.55</v>
      </c>
      <c r="P1561" s="23" t="s">
        <v>79</v>
      </c>
      <c r="Q1561" s="23" t="s">
        <v>83</v>
      </c>
      <c r="R1561" s="23">
        <v>11100176</v>
      </c>
      <c r="S1561" s="24">
        <v>45719</v>
      </c>
      <c r="T1561" s="24">
        <v>46079</v>
      </c>
      <c r="U1561" s="24" t="s">
        <v>80</v>
      </c>
      <c r="X1561" s="24">
        <v>46079</v>
      </c>
      <c r="Y1561" s="23">
        <v>1111</v>
      </c>
      <c r="Z1561" s="23">
        <v>11600007</v>
      </c>
      <c r="AA1561" s="23">
        <v>505103</v>
      </c>
      <c r="AB1561" s="24">
        <v>46078</v>
      </c>
    </row>
    <row r="1562" spans="2:28" x14ac:dyDescent="0.2">
      <c r="B1562" s="23" t="s">
        <v>81</v>
      </c>
      <c r="C1562" s="23">
        <v>1100578061</v>
      </c>
      <c r="H1562" s="24">
        <v>46120</v>
      </c>
      <c r="O1562" s="23">
        <v>892.55</v>
      </c>
      <c r="P1562" s="23" t="s">
        <v>79</v>
      </c>
    </row>
    <row r="1563" spans="2:28" x14ac:dyDescent="0.2">
      <c r="C1563" s="23">
        <v>1100574498</v>
      </c>
      <c r="E1563" s="23">
        <v>10</v>
      </c>
      <c r="F1563" s="23" t="s">
        <v>3417</v>
      </c>
      <c r="G1563" s="23" t="s">
        <v>3418</v>
      </c>
      <c r="H1563" s="24">
        <v>46121</v>
      </c>
      <c r="I1563" s="24">
        <v>46121</v>
      </c>
      <c r="J1563" s="23" t="s">
        <v>505</v>
      </c>
      <c r="K1563" s="23" t="s">
        <v>505</v>
      </c>
      <c r="L1563" s="23">
        <v>1</v>
      </c>
      <c r="M1563" s="23" t="s">
        <v>78</v>
      </c>
      <c r="N1563" s="23" t="s">
        <v>78</v>
      </c>
      <c r="O1563" s="23">
        <v>1232.3800000000001</v>
      </c>
      <c r="P1563" s="23" t="s">
        <v>79</v>
      </c>
      <c r="Q1563" s="23" t="s">
        <v>83</v>
      </c>
      <c r="R1563" s="23">
        <v>11100299</v>
      </c>
      <c r="S1563" s="24">
        <v>46086</v>
      </c>
      <c r="T1563" s="24">
        <v>46044</v>
      </c>
      <c r="U1563" s="24">
        <v>46121</v>
      </c>
      <c r="X1563" s="24">
        <v>46036</v>
      </c>
      <c r="Y1563" s="23">
        <v>1111</v>
      </c>
      <c r="Z1563" s="23">
        <v>11400797</v>
      </c>
      <c r="AA1563" s="23">
        <v>3951</v>
      </c>
      <c r="AB1563" s="24">
        <v>46031</v>
      </c>
    </row>
    <row r="1564" spans="2:28" x14ac:dyDescent="0.2">
      <c r="C1564" s="23">
        <v>1100574498</v>
      </c>
      <c r="E1564" s="23">
        <v>20</v>
      </c>
      <c r="F1564" s="23" t="s">
        <v>3419</v>
      </c>
      <c r="G1564" s="23" t="s">
        <v>3420</v>
      </c>
      <c r="H1564" s="24">
        <v>46121</v>
      </c>
      <c r="I1564" s="24">
        <v>46121</v>
      </c>
      <c r="J1564" s="23" t="s">
        <v>505</v>
      </c>
      <c r="K1564" s="23" t="s">
        <v>505</v>
      </c>
      <c r="L1564" s="23">
        <v>1</v>
      </c>
      <c r="M1564" s="23" t="s">
        <v>78</v>
      </c>
      <c r="N1564" s="23" t="s">
        <v>78</v>
      </c>
      <c r="O1564" s="23">
        <v>773.82</v>
      </c>
      <c r="P1564" s="23" t="s">
        <v>79</v>
      </c>
      <c r="Q1564" s="23" t="s">
        <v>83</v>
      </c>
      <c r="R1564" s="23">
        <v>11100299</v>
      </c>
      <c r="S1564" s="24">
        <v>46086</v>
      </c>
      <c r="T1564" s="24">
        <v>46044</v>
      </c>
      <c r="U1564" s="24">
        <v>46121</v>
      </c>
      <c r="X1564" s="24">
        <v>46036</v>
      </c>
      <c r="Y1564" s="23">
        <v>1111</v>
      </c>
      <c r="Z1564" s="23">
        <v>11400797</v>
      </c>
      <c r="AA1564" s="23">
        <v>3951</v>
      </c>
      <c r="AB1564" s="24">
        <v>46031</v>
      </c>
    </row>
    <row r="1565" spans="2:28" x14ac:dyDescent="0.2">
      <c r="C1565" s="23">
        <v>1100574498</v>
      </c>
      <c r="E1565" s="23">
        <v>30</v>
      </c>
      <c r="F1565" s="23" t="s">
        <v>3421</v>
      </c>
      <c r="G1565" s="23" t="s">
        <v>3422</v>
      </c>
      <c r="H1565" s="24">
        <v>46121</v>
      </c>
      <c r="I1565" s="24">
        <v>46121</v>
      </c>
      <c r="J1565" s="23" t="s">
        <v>505</v>
      </c>
      <c r="K1565" s="23" t="s">
        <v>505</v>
      </c>
      <c r="L1565" s="23">
        <v>1</v>
      </c>
      <c r="M1565" s="23" t="s">
        <v>78</v>
      </c>
      <c r="N1565" s="23" t="s">
        <v>78</v>
      </c>
      <c r="O1565" s="23">
        <v>128.96</v>
      </c>
      <c r="P1565" s="23" t="s">
        <v>79</v>
      </c>
      <c r="Q1565" s="23" t="s">
        <v>83</v>
      </c>
      <c r="R1565" s="23">
        <v>11100299</v>
      </c>
      <c r="S1565" s="24">
        <v>46086</v>
      </c>
      <c r="T1565" s="24">
        <v>46044</v>
      </c>
      <c r="U1565" s="24">
        <v>46121</v>
      </c>
      <c r="X1565" s="24">
        <v>46036</v>
      </c>
      <c r="Y1565" s="23">
        <v>1111</v>
      </c>
      <c r="Z1565" s="23">
        <v>11400797</v>
      </c>
      <c r="AA1565" s="23">
        <v>3951</v>
      </c>
      <c r="AB1565" s="24">
        <v>46031</v>
      </c>
    </row>
    <row r="1566" spans="2:28" x14ac:dyDescent="0.2">
      <c r="C1566" s="23">
        <v>1100574498</v>
      </c>
      <c r="E1566" s="23">
        <v>40</v>
      </c>
      <c r="F1566" s="23" t="s">
        <v>84</v>
      </c>
      <c r="G1566" s="23" t="s">
        <v>123</v>
      </c>
      <c r="H1566" s="24">
        <v>46121</v>
      </c>
      <c r="I1566" s="24">
        <v>46121</v>
      </c>
      <c r="J1566" s="23" t="s">
        <v>505</v>
      </c>
      <c r="K1566" s="23" t="s">
        <v>505</v>
      </c>
      <c r="L1566" s="23">
        <v>1</v>
      </c>
      <c r="M1566" s="23" t="s">
        <v>78</v>
      </c>
      <c r="N1566" s="23" t="s">
        <v>78</v>
      </c>
      <c r="O1566" s="23">
        <v>0.01</v>
      </c>
      <c r="P1566" s="23" t="s">
        <v>79</v>
      </c>
      <c r="Q1566" s="23" t="s">
        <v>83</v>
      </c>
      <c r="R1566" s="23">
        <v>11100299</v>
      </c>
      <c r="S1566" s="24" t="s">
        <v>80</v>
      </c>
      <c r="T1566" s="24">
        <v>46044</v>
      </c>
      <c r="U1566" s="24">
        <v>46121</v>
      </c>
      <c r="X1566" s="24">
        <v>46036</v>
      </c>
      <c r="Y1566" s="23">
        <v>1111</v>
      </c>
      <c r="Z1566" s="23">
        <v>11400797</v>
      </c>
      <c r="AA1566" s="23">
        <v>3951</v>
      </c>
      <c r="AB1566" s="24">
        <v>46031</v>
      </c>
    </row>
    <row r="1567" spans="2:28" x14ac:dyDescent="0.2">
      <c r="C1567" s="23">
        <v>1100574498</v>
      </c>
      <c r="E1567" s="23">
        <v>50</v>
      </c>
      <c r="F1567" s="23" t="s">
        <v>82</v>
      </c>
      <c r="G1567" s="23" t="s">
        <v>139</v>
      </c>
      <c r="H1567" s="24">
        <v>46121</v>
      </c>
      <c r="I1567" s="24">
        <v>46121</v>
      </c>
      <c r="J1567" s="23" t="s">
        <v>505</v>
      </c>
      <c r="K1567" s="23" t="s">
        <v>505</v>
      </c>
      <c r="L1567" s="23">
        <v>1</v>
      </c>
      <c r="M1567" s="23" t="s">
        <v>78</v>
      </c>
      <c r="N1567" s="23" t="s">
        <v>78</v>
      </c>
      <c r="O1567" s="23">
        <v>0.01</v>
      </c>
      <c r="P1567" s="23" t="s">
        <v>79</v>
      </c>
      <c r="Q1567" s="23" t="s">
        <v>83</v>
      </c>
      <c r="R1567" s="23">
        <v>11100299</v>
      </c>
      <c r="S1567" s="24" t="s">
        <v>80</v>
      </c>
      <c r="T1567" s="24">
        <v>46044</v>
      </c>
      <c r="U1567" s="24">
        <v>46121</v>
      </c>
      <c r="X1567" s="24">
        <v>46036</v>
      </c>
      <c r="Y1567" s="23">
        <v>1111</v>
      </c>
      <c r="Z1567" s="23">
        <v>11400797</v>
      </c>
      <c r="AA1567" s="23">
        <v>3951</v>
      </c>
      <c r="AB1567" s="24">
        <v>46031</v>
      </c>
    </row>
    <row r="1568" spans="2:28" x14ac:dyDescent="0.2">
      <c r="B1568" s="23" t="s">
        <v>81</v>
      </c>
      <c r="C1568" s="23">
        <v>1100574498</v>
      </c>
      <c r="H1568" s="24">
        <v>46121</v>
      </c>
      <c r="O1568" s="23">
        <v>2135.1799999999998</v>
      </c>
      <c r="P1568" s="23" t="s">
        <v>79</v>
      </c>
    </row>
    <row r="1569" spans="2:28" x14ac:dyDescent="0.2">
      <c r="C1569" s="23">
        <v>1100574825</v>
      </c>
      <c r="E1569" s="23">
        <v>10</v>
      </c>
      <c r="F1569" s="23" t="s">
        <v>127</v>
      </c>
      <c r="G1569" s="23" t="s">
        <v>128</v>
      </c>
      <c r="H1569" s="24">
        <v>46121</v>
      </c>
      <c r="I1569" s="24">
        <v>46121</v>
      </c>
      <c r="J1569" s="23" t="s">
        <v>257</v>
      </c>
      <c r="K1569" s="23" t="s">
        <v>257</v>
      </c>
      <c r="L1569" s="23">
        <v>5</v>
      </c>
      <c r="M1569" s="23" t="s">
        <v>78</v>
      </c>
      <c r="N1569" s="23" t="s">
        <v>78</v>
      </c>
      <c r="O1569" s="23">
        <v>1500.15</v>
      </c>
      <c r="P1569" s="23" t="s">
        <v>79</v>
      </c>
      <c r="Q1569" s="23" t="s">
        <v>83</v>
      </c>
      <c r="R1569" s="23">
        <v>11100176</v>
      </c>
      <c r="S1569" s="24">
        <v>46086</v>
      </c>
      <c r="T1569" s="24">
        <v>46048</v>
      </c>
      <c r="U1569" s="24" t="s">
        <v>80</v>
      </c>
      <c r="X1569" s="24">
        <v>46044</v>
      </c>
      <c r="Y1569" s="23">
        <v>1111</v>
      </c>
      <c r="Z1569" s="23">
        <v>11100137</v>
      </c>
      <c r="AA1569" s="23">
        <v>3351</v>
      </c>
      <c r="AB1569" s="24">
        <v>46044</v>
      </c>
    </row>
    <row r="1570" spans="2:28" x14ac:dyDescent="0.2">
      <c r="C1570" s="23">
        <v>1100574825</v>
      </c>
      <c r="E1570" s="23">
        <v>20</v>
      </c>
      <c r="F1570" s="23" t="s">
        <v>127</v>
      </c>
      <c r="G1570" s="23" t="s">
        <v>128</v>
      </c>
      <c r="H1570" s="24">
        <v>46121</v>
      </c>
      <c r="I1570" s="24">
        <v>46128</v>
      </c>
      <c r="J1570" s="23" t="s">
        <v>257</v>
      </c>
      <c r="K1570" s="23" t="s">
        <v>257</v>
      </c>
      <c r="L1570" s="23">
        <v>5</v>
      </c>
      <c r="M1570" s="23" t="s">
        <v>78</v>
      </c>
      <c r="N1570" s="23" t="s">
        <v>78</v>
      </c>
      <c r="O1570" s="23">
        <v>1500.15</v>
      </c>
      <c r="P1570" s="23" t="s">
        <v>79</v>
      </c>
      <c r="Q1570" s="23" t="s">
        <v>83</v>
      </c>
      <c r="R1570" s="23">
        <v>11100176</v>
      </c>
      <c r="S1570" s="24">
        <v>46093</v>
      </c>
      <c r="T1570" s="24">
        <v>46048</v>
      </c>
      <c r="U1570" s="24" t="s">
        <v>80</v>
      </c>
      <c r="X1570" s="24">
        <v>46044</v>
      </c>
      <c r="Y1570" s="23">
        <v>1111</v>
      </c>
      <c r="Z1570" s="23">
        <v>11100137</v>
      </c>
      <c r="AA1570" s="23">
        <v>3351</v>
      </c>
      <c r="AB1570" s="24">
        <v>46044</v>
      </c>
    </row>
    <row r="1571" spans="2:28" x14ac:dyDescent="0.2">
      <c r="C1571" s="23">
        <v>1100574825</v>
      </c>
      <c r="E1571" s="23">
        <v>30</v>
      </c>
      <c r="F1571" s="23" t="s">
        <v>127</v>
      </c>
      <c r="G1571" s="23" t="s">
        <v>128</v>
      </c>
      <c r="H1571" s="24">
        <v>46121</v>
      </c>
      <c r="I1571" s="24">
        <v>46135</v>
      </c>
      <c r="J1571" s="23" t="s">
        <v>257</v>
      </c>
      <c r="K1571" s="23" t="s">
        <v>257</v>
      </c>
      <c r="L1571" s="23">
        <v>5</v>
      </c>
      <c r="M1571" s="23" t="s">
        <v>78</v>
      </c>
      <c r="N1571" s="23" t="s">
        <v>78</v>
      </c>
      <c r="O1571" s="23">
        <v>1500.15</v>
      </c>
      <c r="P1571" s="23" t="s">
        <v>79</v>
      </c>
      <c r="Q1571" s="23" t="s">
        <v>83</v>
      </c>
      <c r="R1571" s="23">
        <v>11100176</v>
      </c>
      <c r="S1571" s="24">
        <v>46100</v>
      </c>
      <c r="T1571" s="24">
        <v>46048</v>
      </c>
      <c r="U1571" s="24" t="s">
        <v>80</v>
      </c>
      <c r="X1571" s="24">
        <v>46044</v>
      </c>
      <c r="Y1571" s="23">
        <v>1111</v>
      </c>
      <c r="Z1571" s="23">
        <v>11100137</v>
      </c>
      <c r="AA1571" s="23">
        <v>3351</v>
      </c>
      <c r="AB1571" s="24">
        <v>46044</v>
      </c>
    </row>
    <row r="1572" spans="2:28" x14ac:dyDescent="0.2">
      <c r="B1572" s="23" t="s">
        <v>81</v>
      </c>
      <c r="C1572" s="23">
        <v>1100574825</v>
      </c>
      <c r="H1572" s="24">
        <v>46121</v>
      </c>
      <c r="O1572" s="23">
        <v>4500.45</v>
      </c>
      <c r="P1572" s="23" t="s">
        <v>79</v>
      </c>
    </row>
    <row r="1573" spans="2:28" x14ac:dyDescent="0.2">
      <c r="C1573" s="23">
        <v>1100574829</v>
      </c>
      <c r="E1573" s="23">
        <v>10</v>
      </c>
      <c r="F1573" s="23" t="s">
        <v>3423</v>
      </c>
      <c r="G1573" s="23" t="s">
        <v>3424</v>
      </c>
      <c r="H1573" s="24">
        <v>46121</v>
      </c>
      <c r="I1573" s="24">
        <v>46121</v>
      </c>
      <c r="J1573" s="23" t="s">
        <v>501</v>
      </c>
      <c r="K1573" s="23" t="s">
        <v>501</v>
      </c>
      <c r="L1573" s="23">
        <v>1</v>
      </c>
      <c r="M1573" s="23" t="s">
        <v>78</v>
      </c>
      <c r="N1573" s="23" t="s">
        <v>78</v>
      </c>
      <c r="O1573" s="23">
        <v>150</v>
      </c>
      <c r="P1573" s="23" t="s">
        <v>79</v>
      </c>
      <c r="Q1573" s="23" t="s">
        <v>83</v>
      </c>
      <c r="R1573" s="23">
        <v>11100176</v>
      </c>
      <c r="S1573" s="24">
        <v>46121</v>
      </c>
      <c r="T1573" s="24">
        <v>46048</v>
      </c>
      <c r="U1573" s="24" t="s">
        <v>80</v>
      </c>
      <c r="X1573" s="24">
        <v>46045</v>
      </c>
      <c r="Y1573" s="23">
        <v>1111</v>
      </c>
      <c r="Z1573" s="23">
        <v>11400745</v>
      </c>
      <c r="AA1573" s="23">
        <v>3351</v>
      </c>
      <c r="AB1573" s="24">
        <v>46045</v>
      </c>
    </row>
    <row r="1574" spans="2:28" x14ac:dyDescent="0.2">
      <c r="C1574" s="23">
        <v>1100574829</v>
      </c>
      <c r="E1574" s="23">
        <v>20</v>
      </c>
      <c r="F1574" s="23">
        <v>6410500</v>
      </c>
      <c r="G1574" s="23" t="s">
        <v>3425</v>
      </c>
      <c r="H1574" s="24">
        <v>46121</v>
      </c>
      <c r="I1574" s="24">
        <v>46121</v>
      </c>
      <c r="J1574" s="23" t="s">
        <v>501</v>
      </c>
      <c r="K1574" s="23" t="s">
        <v>501</v>
      </c>
      <c r="L1574" s="23">
        <v>1</v>
      </c>
      <c r="M1574" s="23" t="s">
        <v>78</v>
      </c>
      <c r="N1574" s="23" t="s">
        <v>78</v>
      </c>
      <c r="O1574" s="23">
        <v>322.60000000000002</v>
      </c>
      <c r="P1574" s="23" t="s">
        <v>79</v>
      </c>
      <c r="Q1574" s="23" t="s">
        <v>83</v>
      </c>
      <c r="R1574" s="23">
        <v>11100176</v>
      </c>
      <c r="S1574" s="24">
        <v>46121</v>
      </c>
      <c r="T1574" s="24">
        <v>46048</v>
      </c>
      <c r="U1574" s="24" t="s">
        <v>80</v>
      </c>
      <c r="X1574" s="24">
        <v>46045</v>
      </c>
      <c r="Y1574" s="23">
        <v>1111</v>
      </c>
      <c r="Z1574" s="23">
        <v>11400745</v>
      </c>
      <c r="AA1574" s="23">
        <v>3351</v>
      </c>
      <c r="AB1574" s="24">
        <v>46045</v>
      </c>
    </row>
    <row r="1575" spans="2:28" x14ac:dyDescent="0.2">
      <c r="C1575" s="23">
        <v>1100574829</v>
      </c>
      <c r="E1575" s="23">
        <v>30</v>
      </c>
      <c r="F1575" s="23" t="s">
        <v>3426</v>
      </c>
      <c r="G1575" s="23" t="s">
        <v>3427</v>
      </c>
      <c r="H1575" s="24">
        <v>46121</v>
      </c>
      <c r="I1575" s="24">
        <v>46121</v>
      </c>
      <c r="J1575" s="23" t="s">
        <v>501</v>
      </c>
      <c r="K1575" s="23" t="s">
        <v>501</v>
      </c>
      <c r="L1575" s="23">
        <v>1</v>
      </c>
      <c r="M1575" s="23" t="s">
        <v>32</v>
      </c>
      <c r="N1575" s="23" t="s">
        <v>32</v>
      </c>
      <c r="O1575" s="23">
        <v>47.15</v>
      </c>
      <c r="P1575" s="23" t="s">
        <v>79</v>
      </c>
      <c r="Q1575" s="23" t="s">
        <v>83</v>
      </c>
      <c r="R1575" s="23">
        <v>11100176</v>
      </c>
      <c r="S1575" s="24">
        <v>46121</v>
      </c>
      <c r="T1575" s="24">
        <v>46048</v>
      </c>
      <c r="U1575" s="24" t="s">
        <v>80</v>
      </c>
      <c r="X1575" s="24">
        <v>46045</v>
      </c>
      <c r="Y1575" s="23">
        <v>1111</v>
      </c>
      <c r="Z1575" s="23">
        <v>11400745</v>
      </c>
      <c r="AA1575" s="23">
        <v>3351</v>
      </c>
      <c r="AB1575" s="24">
        <v>46045</v>
      </c>
    </row>
    <row r="1576" spans="2:28" x14ac:dyDescent="0.2">
      <c r="C1576" s="23">
        <v>1100574829</v>
      </c>
      <c r="E1576" s="23">
        <v>40</v>
      </c>
      <c r="F1576" s="23" t="s">
        <v>3428</v>
      </c>
      <c r="G1576" s="23" t="s">
        <v>3429</v>
      </c>
      <c r="H1576" s="24">
        <v>46121</v>
      </c>
      <c r="I1576" s="24">
        <v>46121</v>
      </c>
      <c r="J1576" s="23" t="s">
        <v>501</v>
      </c>
      <c r="K1576" s="23" t="s">
        <v>501</v>
      </c>
      <c r="L1576" s="23">
        <v>1</v>
      </c>
      <c r="M1576" s="23" t="s">
        <v>78</v>
      </c>
      <c r="N1576" s="23" t="s">
        <v>78</v>
      </c>
      <c r="O1576" s="23">
        <v>365</v>
      </c>
      <c r="P1576" s="23" t="s">
        <v>79</v>
      </c>
      <c r="Q1576" s="23" t="s">
        <v>83</v>
      </c>
      <c r="R1576" s="23">
        <v>11100176</v>
      </c>
      <c r="S1576" s="24">
        <v>46121</v>
      </c>
      <c r="T1576" s="24">
        <v>46048</v>
      </c>
      <c r="U1576" s="24" t="s">
        <v>80</v>
      </c>
      <c r="X1576" s="24">
        <v>46045</v>
      </c>
      <c r="Y1576" s="23">
        <v>1111</v>
      </c>
      <c r="Z1576" s="23">
        <v>11400745</v>
      </c>
      <c r="AA1576" s="23">
        <v>3351</v>
      </c>
      <c r="AB1576" s="24">
        <v>46045</v>
      </c>
    </row>
    <row r="1577" spans="2:28" x14ac:dyDescent="0.2">
      <c r="C1577" s="23">
        <v>1100574829</v>
      </c>
      <c r="E1577" s="23">
        <v>50</v>
      </c>
      <c r="F1577" s="23">
        <v>4218115</v>
      </c>
      <c r="G1577" s="23" t="s">
        <v>3430</v>
      </c>
      <c r="H1577" s="24">
        <v>46121</v>
      </c>
      <c r="I1577" s="24">
        <v>46121</v>
      </c>
      <c r="J1577" s="23" t="s">
        <v>501</v>
      </c>
      <c r="K1577" s="23" t="s">
        <v>501</v>
      </c>
      <c r="L1577" s="23">
        <v>1</v>
      </c>
      <c r="M1577" s="23" t="s">
        <v>78</v>
      </c>
      <c r="N1577" s="23" t="s">
        <v>78</v>
      </c>
      <c r="O1577" s="23">
        <v>70</v>
      </c>
      <c r="P1577" s="23" t="s">
        <v>79</v>
      </c>
      <c r="Q1577" s="23" t="s">
        <v>83</v>
      </c>
      <c r="R1577" s="23">
        <v>11100176</v>
      </c>
      <c r="S1577" s="24">
        <v>46121</v>
      </c>
      <c r="T1577" s="24">
        <v>46048</v>
      </c>
      <c r="U1577" s="24" t="s">
        <v>80</v>
      </c>
      <c r="X1577" s="24">
        <v>46045</v>
      </c>
      <c r="Y1577" s="23">
        <v>1111</v>
      </c>
      <c r="Z1577" s="23">
        <v>11400745</v>
      </c>
      <c r="AA1577" s="23">
        <v>3351</v>
      </c>
      <c r="AB1577" s="24">
        <v>46045</v>
      </c>
    </row>
    <row r="1578" spans="2:28" x14ac:dyDescent="0.2">
      <c r="C1578" s="23">
        <v>1100574829</v>
      </c>
      <c r="E1578" s="23">
        <v>60</v>
      </c>
      <c r="F1578" s="23" t="s">
        <v>3431</v>
      </c>
      <c r="G1578" s="23" t="s">
        <v>3432</v>
      </c>
      <c r="H1578" s="24">
        <v>46121</v>
      </c>
      <c r="I1578" s="24">
        <v>46121</v>
      </c>
      <c r="J1578" s="23" t="s">
        <v>501</v>
      </c>
      <c r="K1578" s="23" t="s">
        <v>501</v>
      </c>
      <c r="L1578" s="23">
        <v>1</v>
      </c>
      <c r="M1578" s="23" t="s">
        <v>78</v>
      </c>
      <c r="N1578" s="23" t="s">
        <v>78</v>
      </c>
      <c r="O1578" s="23">
        <v>330</v>
      </c>
      <c r="P1578" s="23" t="s">
        <v>79</v>
      </c>
      <c r="Q1578" s="23" t="s">
        <v>83</v>
      </c>
      <c r="R1578" s="23">
        <v>11100176</v>
      </c>
      <c r="S1578" s="24">
        <v>46121</v>
      </c>
      <c r="T1578" s="24">
        <v>46048</v>
      </c>
      <c r="U1578" s="24" t="s">
        <v>80</v>
      </c>
      <c r="X1578" s="24">
        <v>46045</v>
      </c>
      <c r="Y1578" s="23">
        <v>1111</v>
      </c>
      <c r="Z1578" s="23">
        <v>11400745</v>
      </c>
      <c r="AA1578" s="23">
        <v>3351</v>
      </c>
      <c r="AB1578" s="24">
        <v>46045</v>
      </c>
    </row>
    <row r="1579" spans="2:28" x14ac:dyDescent="0.2">
      <c r="C1579" s="23">
        <v>1100574829</v>
      </c>
      <c r="E1579" s="23">
        <v>70</v>
      </c>
      <c r="F1579" s="23" t="s">
        <v>82</v>
      </c>
      <c r="G1579" s="23" t="s">
        <v>139</v>
      </c>
      <c r="H1579" s="24">
        <v>46121</v>
      </c>
      <c r="I1579" s="24">
        <v>46121</v>
      </c>
      <c r="J1579" s="23" t="s">
        <v>501</v>
      </c>
      <c r="K1579" s="23" t="s">
        <v>501</v>
      </c>
      <c r="L1579" s="23">
        <v>1</v>
      </c>
      <c r="M1579" s="23" t="s">
        <v>78</v>
      </c>
      <c r="N1579" s="23" t="s">
        <v>78</v>
      </c>
      <c r="O1579" s="23">
        <v>0.01</v>
      </c>
      <c r="P1579" s="23" t="s">
        <v>79</v>
      </c>
      <c r="Q1579" s="23" t="s">
        <v>83</v>
      </c>
      <c r="R1579" s="23">
        <v>11100176</v>
      </c>
      <c r="S1579" s="24" t="s">
        <v>80</v>
      </c>
      <c r="T1579" s="24">
        <v>46048</v>
      </c>
      <c r="U1579" s="24" t="s">
        <v>80</v>
      </c>
      <c r="X1579" s="24">
        <v>46045</v>
      </c>
      <c r="Y1579" s="23">
        <v>1111</v>
      </c>
      <c r="Z1579" s="23">
        <v>11400745</v>
      </c>
      <c r="AA1579" s="23">
        <v>3351</v>
      </c>
      <c r="AB1579" s="24">
        <v>46045</v>
      </c>
    </row>
    <row r="1580" spans="2:28" x14ac:dyDescent="0.2">
      <c r="B1580" s="23" t="s">
        <v>81</v>
      </c>
      <c r="C1580" s="23">
        <v>1100574829</v>
      </c>
      <c r="H1580" s="24">
        <v>46121</v>
      </c>
      <c r="O1580" s="23">
        <v>1284.76</v>
      </c>
      <c r="P1580" s="23" t="s">
        <v>79</v>
      </c>
    </row>
    <row r="1581" spans="2:28" x14ac:dyDescent="0.2">
      <c r="C1581" s="23">
        <v>1100575358</v>
      </c>
      <c r="E1581" s="23">
        <v>10</v>
      </c>
      <c r="F1581" s="23" t="s">
        <v>3433</v>
      </c>
      <c r="G1581" s="23" t="s">
        <v>3434</v>
      </c>
      <c r="H1581" s="24">
        <v>46121</v>
      </c>
      <c r="I1581" s="24">
        <v>46121</v>
      </c>
      <c r="J1581" s="23" t="s">
        <v>935</v>
      </c>
      <c r="K1581" s="23" t="s">
        <v>935</v>
      </c>
      <c r="L1581" s="23">
        <v>29</v>
      </c>
      <c r="M1581" s="23" t="s">
        <v>78</v>
      </c>
      <c r="N1581" s="23" t="s">
        <v>78</v>
      </c>
      <c r="O1581" s="23">
        <v>11988.02</v>
      </c>
      <c r="P1581" s="23" t="s">
        <v>79</v>
      </c>
      <c r="Q1581" s="23" t="s">
        <v>83</v>
      </c>
      <c r="R1581" s="23">
        <v>11100189</v>
      </c>
      <c r="S1581" s="24">
        <v>46121</v>
      </c>
      <c r="T1581" s="24">
        <v>46051</v>
      </c>
      <c r="U1581" s="24" t="s">
        <v>80</v>
      </c>
      <c r="X1581" s="24">
        <v>46043</v>
      </c>
      <c r="Y1581" s="23">
        <v>1111</v>
      </c>
      <c r="Z1581" s="23">
        <v>11400895</v>
      </c>
      <c r="AA1581" s="23">
        <v>505103</v>
      </c>
      <c r="AB1581" s="24">
        <v>46043</v>
      </c>
    </row>
    <row r="1582" spans="2:28" x14ac:dyDescent="0.2">
      <c r="C1582" s="23">
        <v>1100575358</v>
      </c>
      <c r="E1582" s="23">
        <v>20</v>
      </c>
      <c r="F1582" s="23" t="s">
        <v>82</v>
      </c>
      <c r="G1582" s="23" t="s">
        <v>139</v>
      </c>
      <c r="H1582" s="24">
        <v>46121</v>
      </c>
      <c r="I1582" s="24">
        <v>46121</v>
      </c>
      <c r="J1582" s="23" t="s">
        <v>935</v>
      </c>
      <c r="K1582" s="23" t="s">
        <v>935</v>
      </c>
      <c r="L1582" s="23">
        <v>1</v>
      </c>
      <c r="M1582" s="23" t="s">
        <v>78</v>
      </c>
      <c r="N1582" s="23" t="s">
        <v>78</v>
      </c>
      <c r="O1582" s="23">
        <v>0.01</v>
      </c>
      <c r="P1582" s="23" t="s">
        <v>79</v>
      </c>
      <c r="Q1582" s="23" t="s">
        <v>83</v>
      </c>
      <c r="R1582" s="23">
        <v>11100189</v>
      </c>
      <c r="S1582" s="24" t="s">
        <v>80</v>
      </c>
      <c r="T1582" s="24">
        <v>46051</v>
      </c>
      <c r="U1582" s="24" t="s">
        <v>80</v>
      </c>
      <c r="X1582" s="24">
        <v>46043</v>
      </c>
      <c r="Y1582" s="23">
        <v>1111</v>
      </c>
      <c r="Z1582" s="23">
        <v>11400895</v>
      </c>
      <c r="AA1582" s="23">
        <v>505103</v>
      </c>
      <c r="AB1582" s="24">
        <v>46043</v>
      </c>
    </row>
    <row r="1583" spans="2:28" x14ac:dyDescent="0.2">
      <c r="B1583" s="23" t="s">
        <v>81</v>
      </c>
      <c r="C1583" s="23">
        <v>1100575358</v>
      </c>
      <c r="H1583" s="24">
        <v>46121</v>
      </c>
      <c r="O1583" s="23">
        <v>11988.03</v>
      </c>
      <c r="P1583" s="23" t="s">
        <v>79</v>
      </c>
    </row>
    <row r="1584" spans="2:28" x14ac:dyDescent="0.2">
      <c r="C1584" s="23">
        <v>1100575596</v>
      </c>
      <c r="E1584" s="23">
        <v>30</v>
      </c>
      <c r="F1584" s="23" t="s">
        <v>3437</v>
      </c>
      <c r="G1584" s="23" t="s">
        <v>3438</v>
      </c>
      <c r="H1584" s="24">
        <v>46121</v>
      </c>
      <c r="I1584" s="24">
        <v>46121</v>
      </c>
      <c r="J1584" s="23" t="s">
        <v>3439</v>
      </c>
      <c r="K1584" s="23" t="s">
        <v>3439</v>
      </c>
      <c r="L1584" s="23">
        <v>1</v>
      </c>
      <c r="M1584" s="23" t="s">
        <v>78</v>
      </c>
      <c r="N1584" s="23" t="s">
        <v>78</v>
      </c>
      <c r="O1584" s="23">
        <v>2671.66</v>
      </c>
      <c r="P1584" s="23" t="s">
        <v>79</v>
      </c>
      <c r="Q1584" s="23" t="s">
        <v>83</v>
      </c>
      <c r="R1584" s="23">
        <v>11100176</v>
      </c>
      <c r="S1584" s="24">
        <v>46121</v>
      </c>
      <c r="T1584" s="24">
        <v>46052</v>
      </c>
      <c r="U1584" s="24">
        <v>46121</v>
      </c>
      <c r="X1584" s="24">
        <v>46038</v>
      </c>
      <c r="Y1584" s="23">
        <v>1111</v>
      </c>
      <c r="Z1584" s="23">
        <v>11400797</v>
      </c>
      <c r="AA1584" s="23">
        <v>5051</v>
      </c>
      <c r="AB1584" s="24">
        <v>46043</v>
      </c>
    </row>
    <row r="1585" spans="2:28" x14ac:dyDescent="0.2">
      <c r="B1585" s="23" t="s">
        <v>81</v>
      </c>
      <c r="C1585" s="23">
        <v>1100575596</v>
      </c>
      <c r="H1585" s="24">
        <v>46121</v>
      </c>
      <c r="O1585" s="23">
        <v>2671.66</v>
      </c>
      <c r="P1585" s="23" t="s">
        <v>79</v>
      </c>
    </row>
    <row r="1586" spans="2:28" x14ac:dyDescent="0.2">
      <c r="C1586" s="23">
        <v>1100576608</v>
      </c>
      <c r="E1586" s="23">
        <v>10</v>
      </c>
      <c r="F1586" s="23" t="s">
        <v>923</v>
      </c>
      <c r="G1586" s="23" t="s">
        <v>714</v>
      </c>
      <c r="H1586" s="24">
        <v>46121</v>
      </c>
      <c r="I1586" s="24">
        <v>46121</v>
      </c>
      <c r="J1586" s="23" t="s">
        <v>102</v>
      </c>
      <c r="K1586" s="23" t="s">
        <v>102</v>
      </c>
      <c r="L1586" s="23">
        <v>1</v>
      </c>
      <c r="M1586" s="23" t="s">
        <v>78</v>
      </c>
      <c r="N1586" s="23" t="s">
        <v>78</v>
      </c>
      <c r="O1586" s="23">
        <v>830.28</v>
      </c>
      <c r="P1586" s="23" t="s">
        <v>79</v>
      </c>
      <c r="Q1586" s="23" t="s">
        <v>83</v>
      </c>
      <c r="R1586" s="23">
        <v>11100176</v>
      </c>
      <c r="S1586" s="24">
        <v>46121</v>
      </c>
      <c r="T1586" s="24">
        <v>46065</v>
      </c>
      <c r="U1586" s="24">
        <v>47116</v>
      </c>
      <c r="X1586" s="24">
        <v>46064</v>
      </c>
      <c r="Y1586" s="23">
        <v>1111</v>
      </c>
      <c r="Z1586" s="23">
        <v>11400895</v>
      </c>
      <c r="AA1586" s="23">
        <v>515103</v>
      </c>
      <c r="AB1586" s="24">
        <v>45903</v>
      </c>
    </row>
    <row r="1587" spans="2:28" x14ac:dyDescent="0.2">
      <c r="B1587" s="23" t="s">
        <v>81</v>
      </c>
      <c r="C1587" s="23">
        <v>1100576608</v>
      </c>
      <c r="H1587" s="24">
        <v>46121</v>
      </c>
      <c r="O1587" s="23">
        <v>830.28</v>
      </c>
      <c r="P1587" s="23" t="s">
        <v>79</v>
      </c>
    </row>
    <row r="1588" spans="2:28" x14ac:dyDescent="0.2">
      <c r="C1588" s="23">
        <v>1100576663</v>
      </c>
      <c r="E1588" s="23">
        <v>10</v>
      </c>
      <c r="F1588" s="23" t="s">
        <v>3440</v>
      </c>
      <c r="G1588" s="23" t="s">
        <v>3441</v>
      </c>
      <c r="H1588" s="24">
        <v>46121</v>
      </c>
      <c r="I1588" s="24">
        <v>46121</v>
      </c>
      <c r="J1588" s="23" t="s">
        <v>296</v>
      </c>
      <c r="K1588" s="23" t="s">
        <v>296</v>
      </c>
      <c r="L1588" s="23">
        <v>2</v>
      </c>
      <c r="M1588" s="23" t="s">
        <v>78</v>
      </c>
      <c r="N1588" s="23" t="s">
        <v>78</v>
      </c>
      <c r="O1588" s="23">
        <v>489.28</v>
      </c>
      <c r="P1588" s="23" t="s">
        <v>79</v>
      </c>
      <c r="Q1588" s="23" t="s">
        <v>83</v>
      </c>
      <c r="R1588" s="23">
        <v>11100176</v>
      </c>
      <c r="S1588" s="24">
        <v>46078</v>
      </c>
      <c r="T1588" s="24">
        <v>46065</v>
      </c>
      <c r="U1588" s="24" t="s">
        <v>80</v>
      </c>
      <c r="X1588" s="24">
        <v>46008</v>
      </c>
      <c r="Y1588" s="23">
        <v>1111</v>
      </c>
      <c r="Z1588" s="23">
        <v>11400704</v>
      </c>
      <c r="AA1588" s="23">
        <v>3951</v>
      </c>
      <c r="AB1588" s="24">
        <v>45957</v>
      </c>
    </row>
    <row r="1589" spans="2:28" x14ac:dyDescent="0.2">
      <c r="C1589" s="23">
        <v>1100576663</v>
      </c>
      <c r="E1589" s="23">
        <v>20</v>
      </c>
      <c r="F1589" s="23" t="s">
        <v>3442</v>
      </c>
      <c r="G1589" s="23" t="s">
        <v>3443</v>
      </c>
      <c r="H1589" s="24">
        <v>46121</v>
      </c>
      <c r="I1589" s="24">
        <v>46121</v>
      </c>
      <c r="J1589" s="23" t="s">
        <v>296</v>
      </c>
      <c r="K1589" s="23" t="s">
        <v>296</v>
      </c>
      <c r="L1589" s="23">
        <v>1</v>
      </c>
      <c r="M1589" s="23" t="s">
        <v>78</v>
      </c>
      <c r="N1589" s="23" t="s">
        <v>78</v>
      </c>
      <c r="O1589" s="23">
        <v>6263.87</v>
      </c>
      <c r="P1589" s="23" t="s">
        <v>79</v>
      </c>
      <c r="Q1589" s="23" t="s">
        <v>83</v>
      </c>
      <c r="R1589" s="23">
        <v>11100176</v>
      </c>
      <c r="S1589" s="24">
        <v>46078</v>
      </c>
      <c r="T1589" s="24">
        <v>46065</v>
      </c>
      <c r="U1589" s="24" t="s">
        <v>80</v>
      </c>
      <c r="X1589" s="24">
        <v>46008</v>
      </c>
      <c r="Y1589" s="23">
        <v>1111</v>
      </c>
      <c r="Z1589" s="23">
        <v>11400704</v>
      </c>
      <c r="AA1589" s="23">
        <v>3951</v>
      </c>
      <c r="AB1589" s="24">
        <v>45957</v>
      </c>
    </row>
    <row r="1590" spans="2:28" x14ac:dyDescent="0.2">
      <c r="C1590" s="23">
        <v>1100576663</v>
      </c>
      <c r="E1590" s="23">
        <v>30</v>
      </c>
      <c r="F1590" s="23" t="s">
        <v>3444</v>
      </c>
      <c r="G1590" s="23" t="s">
        <v>3445</v>
      </c>
      <c r="H1590" s="24">
        <v>46121</v>
      </c>
      <c r="I1590" s="24">
        <v>46121</v>
      </c>
      <c r="J1590" s="23" t="s">
        <v>296</v>
      </c>
      <c r="K1590" s="23" t="s">
        <v>296</v>
      </c>
      <c r="L1590" s="23">
        <v>1</v>
      </c>
      <c r="M1590" s="23" t="s">
        <v>78</v>
      </c>
      <c r="N1590" s="23" t="s">
        <v>78</v>
      </c>
      <c r="O1590" s="23">
        <v>5481.86</v>
      </c>
      <c r="P1590" s="23" t="s">
        <v>79</v>
      </c>
      <c r="Q1590" s="23" t="s">
        <v>83</v>
      </c>
      <c r="R1590" s="23">
        <v>11100176</v>
      </c>
      <c r="S1590" s="24">
        <v>46078</v>
      </c>
      <c r="T1590" s="24">
        <v>46065</v>
      </c>
      <c r="U1590" s="24" t="s">
        <v>80</v>
      </c>
      <c r="X1590" s="24">
        <v>46008</v>
      </c>
      <c r="Y1590" s="23">
        <v>1111</v>
      </c>
      <c r="Z1590" s="23">
        <v>11400704</v>
      </c>
      <c r="AA1590" s="23">
        <v>3951</v>
      </c>
      <c r="AB1590" s="24">
        <v>45957</v>
      </c>
    </row>
    <row r="1591" spans="2:28" x14ac:dyDescent="0.2">
      <c r="C1591" s="23">
        <v>1100576663</v>
      </c>
      <c r="E1591" s="23">
        <v>40</v>
      </c>
      <c r="F1591" s="23" t="s">
        <v>1939</v>
      </c>
      <c r="G1591" s="23" t="s">
        <v>1940</v>
      </c>
      <c r="H1591" s="24">
        <v>46121</v>
      </c>
      <c r="I1591" s="24">
        <v>46121</v>
      </c>
      <c r="J1591" s="23" t="s">
        <v>296</v>
      </c>
      <c r="K1591" s="23" t="s">
        <v>296</v>
      </c>
      <c r="L1591" s="23">
        <v>1</v>
      </c>
      <c r="M1591" s="23" t="s">
        <v>78</v>
      </c>
      <c r="N1591" s="23" t="s">
        <v>78</v>
      </c>
      <c r="O1591" s="23">
        <v>286.82</v>
      </c>
      <c r="P1591" s="23" t="s">
        <v>79</v>
      </c>
      <c r="Q1591" s="23" t="s">
        <v>83</v>
      </c>
      <c r="R1591" s="23">
        <v>11100176</v>
      </c>
      <c r="S1591" s="24">
        <v>46078</v>
      </c>
      <c r="T1591" s="24">
        <v>46065</v>
      </c>
      <c r="U1591" s="24" t="s">
        <v>80</v>
      </c>
      <c r="X1591" s="24">
        <v>46008</v>
      </c>
      <c r="Y1591" s="23">
        <v>1111</v>
      </c>
      <c r="Z1591" s="23">
        <v>11400704</v>
      </c>
      <c r="AA1591" s="23">
        <v>3951</v>
      </c>
      <c r="AB1591" s="24">
        <v>45957</v>
      </c>
    </row>
    <row r="1592" spans="2:28" x14ac:dyDescent="0.2">
      <c r="C1592" s="23">
        <v>1100576663</v>
      </c>
      <c r="E1592" s="23">
        <v>50</v>
      </c>
      <c r="F1592" s="23" t="s">
        <v>3446</v>
      </c>
      <c r="G1592" s="23" t="s">
        <v>3447</v>
      </c>
      <c r="H1592" s="24">
        <v>46121</v>
      </c>
      <c r="I1592" s="24">
        <v>46121</v>
      </c>
      <c r="J1592" s="23" t="s">
        <v>296</v>
      </c>
      <c r="K1592" s="23" t="s">
        <v>296</v>
      </c>
      <c r="L1592" s="23">
        <v>2</v>
      </c>
      <c r="M1592" s="23" t="s">
        <v>78</v>
      </c>
      <c r="N1592" s="23" t="s">
        <v>78</v>
      </c>
      <c r="O1592" s="23">
        <v>2099.19</v>
      </c>
      <c r="P1592" s="23" t="s">
        <v>79</v>
      </c>
      <c r="Q1592" s="23" t="s">
        <v>83</v>
      </c>
      <c r="R1592" s="23">
        <v>11100176</v>
      </c>
      <c r="S1592" s="24">
        <v>46078</v>
      </c>
      <c r="T1592" s="24">
        <v>46065</v>
      </c>
      <c r="U1592" s="24" t="s">
        <v>80</v>
      </c>
      <c r="X1592" s="24">
        <v>46008</v>
      </c>
      <c r="Y1592" s="23">
        <v>1111</v>
      </c>
      <c r="Z1592" s="23">
        <v>11400704</v>
      </c>
      <c r="AA1592" s="23">
        <v>3951</v>
      </c>
      <c r="AB1592" s="24">
        <v>45957</v>
      </c>
    </row>
    <row r="1593" spans="2:28" x14ac:dyDescent="0.2">
      <c r="C1593" s="23">
        <v>1100576663</v>
      </c>
      <c r="E1593" s="23">
        <v>60</v>
      </c>
      <c r="F1593" s="23" t="s">
        <v>3448</v>
      </c>
      <c r="G1593" s="23" t="s">
        <v>3449</v>
      </c>
      <c r="H1593" s="24">
        <v>46121</v>
      </c>
      <c r="I1593" s="24">
        <v>46121</v>
      </c>
      <c r="J1593" s="23" t="s">
        <v>296</v>
      </c>
      <c r="K1593" s="23" t="s">
        <v>296</v>
      </c>
      <c r="L1593" s="23">
        <v>2</v>
      </c>
      <c r="M1593" s="23" t="s">
        <v>78</v>
      </c>
      <c r="N1593" s="23" t="s">
        <v>78</v>
      </c>
      <c r="O1593" s="23">
        <v>2840.92</v>
      </c>
      <c r="P1593" s="23" t="s">
        <v>79</v>
      </c>
      <c r="Q1593" s="23" t="s">
        <v>83</v>
      </c>
      <c r="R1593" s="23">
        <v>11100176</v>
      </c>
      <c r="S1593" s="24">
        <v>46078</v>
      </c>
      <c r="T1593" s="24">
        <v>46065</v>
      </c>
      <c r="U1593" s="24" t="s">
        <v>80</v>
      </c>
      <c r="X1593" s="24">
        <v>46008</v>
      </c>
      <c r="Y1593" s="23">
        <v>1111</v>
      </c>
      <c r="Z1593" s="23">
        <v>11400704</v>
      </c>
      <c r="AA1593" s="23">
        <v>3951</v>
      </c>
      <c r="AB1593" s="24">
        <v>45957</v>
      </c>
    </row>
    <row r="1594" spans="2:28" x14ac:dyDescent="0.2">
      <c r="B1594" s="23" t="s">
        <v>81</v>
      </c>
      <c r="C1594" s="23">
        <v>1100576663</v>
      </c>
      <c r="H1594" s="24">
        <v>46121</v>
      </c>
      <c r="O1594" s="23">
        <v>17461.939999999999</v>
      </c>
      <c r="P1594" s="23" t="s">
        <v>79</v>
      </c>
    </row>
    <row r="1595" spans="2:28" x14ac:dyDescent="0.2">
      <c r="C1595" s="23">
        <v>1100576675</v>
      </c>
      <c r="E1595" s="23">
        <v>10</v>
      </c>
      <c r="F1595" s="23" t="s">
        <v>785</v>
      </c>
      <c r="G1595" s="23" t="s">
        <v>1768</v>
      </c>
      <c r="H1595" s="24">
        <v>46121</v>
      </c>
      <c r="I1595" s="24">
        <v>46121</v>
      </c>
      <c r="J1595" s="23" t="s">
        <v>242</v>
      </c>
      <c r="K1595" s="23" t="s">
        <v>242</v>
      </c>
      <c r="L1595" s="23">
        <v>2</v>
      </c>
      <c r="M1595" s="23" t="s">
        <v>78</v>
      </c>
      <c r="N1595" s="23" t="s">
        <v>78</v>
      </c>
      <c r="O1595" s="23">
        <v>26.32</v>
      </c>
      <c r="P1595" s="23" t="s">
        <v>79</v>
      </c>
      <c r="Q1595" s="23" t="s">
        <v>83</v>
      </c>
      <c r="R1595" s="23">
        <v>11100176</v>
      </c>
      <c r="S1595" s="24">
        <v>46121</v>
      </c>
      <c r="T1595" s="24">
        <v>46065</v>
      </c>
      <c r="U1595" s="24">
        <v>46121</v>
      </c>
      <c r="X1595" s="24">
        <v>46065</v>
      </c>
      <c r="Y1595" s="23">
        <v>1111</v>
      </c>
      <c r="Z1595" s="23">
        <v>11400789</v>
      </c>
      <c r="AA1595" s="23">
        <v>505103</v>
      </c>
      <c r="AB1595" s="24">
        <v>46064</v>
      </c>
    </row>
    <row r="1596" spans="2:28" x14ac:dyDescent="0.2">
      <c r="C1596" s="23">
        <v>1100576675</v>
      </c>
      <c r="E1596" s="23">
        <v>30</v>
      </c>
      <c r="F1596" s="23" t="s">
        <v>3450</v>
      </c>
      <c r="G1596" s="23" t="s">
        <v>3451</v>
      </c>
      <c r="H1596" s="24">
        <v>46121</v>
      </c>
      <c r="I1596" s="24">
        <v>46121</v>
      </c>
      <c r="J1596" s="23" t="s">
        <v>242</v>
      </c>
      <c r="K1596" s="23" t="s">
        <v>242</v>
      </c>
      <c r="L1596" s="23">
        <v>6</v>
      </c>
      <c r="M1596" s="23" t="s">
        <v>78</v>
      </c>
      <c r="N1596" s="23" t="s">
        <v>78</v>
      </c>
      <c r="O1596" s="23">
        <v>297.72000000000003</v>
      </c>
      <c r="P1596" s="23" t="s">
        <v>79</v>
      </c>
      <c r="Q1596" s="23" t="s">
        <v>83</v>
      </c>
      <c r="R1596" s="23">
        <v>11100176</v>
      </c>
      <c r="S1596" s="24">
        <v>46093</v>
      </c>
      <c r="T1596" s="24">
        <v>46065</v>
      </c>
      <c r="U1596" s="24">
        <v>46121</v>
      </c>
      <c r="X1596" s="24">
        <v>46065</v>
      </c>
      <c r="Y1596" s="23">
        <v>1111</v>
      </c>
      <c r="Z1596" s="23">
        <v>11400789</v>
      </c>
      <c r="AA1596" s="23">
        <v>505103</v>
      </c>
      <c r="AB1596" s="24">
        <v>46064</v>
      </c>
    </row>
    <row r="1597" spans="2:28" x14ac:dyDescent="0.2">
      <c r="B1597" s="23" t="s">
        <v>81</v>
      </c>
      <c r="C1597" s="23">
        <v>1100576675</v>
      </c>
      <c r="H1597" s="24">
        <v>46121</v>
      </c>
      <c r="O1597" s="23">
        <v>324.04000000000002</v>
      </c>
      <c r="P1597" s="23" t="s">
        <v>79</v>
      </c>
    </row>
    <row r="1598" spans="2:28" x14ac:dyDescent="0.2">
      <c r="C1598" s="23">
        <v>1100576694</v>
      </c>
      <c r="E1598" s="23">
        <v>10</v>
      </c>
      <c r="F1598" s="23" t="s">
        <v>3452</v>
      </c>
      <c r="G1598" s="23" t="s">
        <v>3453</v>
      </c>
      <c r="H1598" s="24">
        <v>46121</v>
      </c>
      <c r="I1598" s="24">
        <v>46121</v>
      </c>
      <c r="J1598" s="23" t="s">
        <v>898</v>
      </c>
      <c r="K1598" s="23" t="s">
        <v>898</v>
      </c>
      <c r="L1598" s="23">
        <v>11</v>
      </c>
      <c r="M1598" s="23" t="s">
        <v>78</v>
      </c>
      <c r="N1598" s="23" t="s">
        <v>78</v>
      </c>
      <c r="O1598" s="23">
        <v>1628.33</v>
      </c>
      <c r="P1598" s="23" t="s">
        <v>79</v>
      </c>
      <c r="Q1598" s="23" t="s">
        <v>83</v>
      </c>
      <c r="R1598" s="23">
        <v>11100176</v>
      </c>
      <c r="S1598" s="24">
        <v>46070</v>
      </c>
      <c r="T1598" s="24">
        <v>46065</v>
      </c>
      <c r="U1598" s="24" t="s">
        <v>80</v>
      </c>
      <c r="X1598" s="24">
        <v>46059</v>
      </c>
      <c r="Y1598" s="23">
        <v>1111</v>
      </c>
      <c r="Z1598" s="23">
        <v>11600001</v>
      </c>
      <c r="AA1598" s="23">
        <v>335103</v>
      </c>
      <c r="AB1598" s="24">
        <v>46064</v>
      </c>
    </row>
    <row r="1599" spans="2:28" x14ac:dyDescent="0.2">
      <c r="C1599" s="23">
        <v>1100576694</v>
      </c>
      <c r="E1599" s="23">
        <v>20</v>
      </c>
      <c r="F1599" s="23" t="s">
        <v>3452</v>
      </c>
      <c r="G1599" s="23" t="s">
        <v>3453</v>
      </c>
      <c r="H1599" s="24">
        <v>46121</v>
      </c>
      <c r="I1599" s="24">
        <v>46121</v>
      </c>
      <c r="J1599" s="23" t="s">
        <v>898</v>
      </c>
      <c r="K1599" s="23" t="s">
        <v>898</v>
      </c>
      <c r="L1599" s="23">
        <v>20</v>
      </c>
      <c r="M1599" s="23" t="s">
        <v>78</v>
      </c>
      <c r="N1599" s="23" t="s">
        <v>78</v>
      </c>
      <c r="O1599" s="23">
        <v>2960.6</v>
      </c>
      <c r="P1599" s="23" t="s">
        <v>79</v>
      </c>
      <c r="Q1599" s="23" t="s">
        <v>83</v>
      </c>
      <c r="R1599" s="23">
        <v>11100176</v>
      </c>
      <c r="S1599" s="24">
        <v>46100</v>
      </c>
      <c r="T1599" s="24">
        <v>46065</v>
      </c>
      <c r="U1599" s="24" t="s">
        <v>80</v>
      </c>
      <c r="X1599" s="24">
        <v>46059</v>
      </c>
      <c r="Y1599" s="23">
        <v>1111</v>
      </c>
      <c r="Z1599" s="23">
        <v>11600001</v>
      </c>
      <c r="AA1599" s="23">
        <v>335103</v>
      </c>
      <c r="AB1599" s="24">
        <v>46064</v>
      </c>
    </row>
    <row r="1600" spans="2:28" x14ac:dyDescent="0.2">
      <c r="B1600" s="23" t="s">
        <v>81</v>
      </c>
      <c r="C1600" s="23">
        <v>1100576694</v>
      </c>
      <c r="H1600" s="24">
        <v>46121</v>
      </c>
      <c r="O1600" s="23">
        <v>4588.93</v>
      </c>
      <c r="P1600" s="23" t="s">
        <v>79</v>
      </c>
    </row>
    <row r="1601" spans="2:28" x14ac:dyDescent="0.2">
      <c r="C1601" s="23">
        <v>1100577297</v>
      </c>
      <c r="E1601" s="23">
        <v>10</v>
      </c>
      <c r="F1601" s="23" t="s">
        <v>3454</v>
      </c>
      <c r="G1601" s="23" t="s">
        <v>3455</v>
      </c>
      <c r="H1601" s="24">
        <v>46121</v>
      </c>
      <c r="I1601" s="24">
        <v>46121</v>
      </c>
      <c r="J1601" s="23" t="s">
        <v>1221</v>
      </c>
      <c r="K1601" s="23" t="s">
        <v>1221</v>
      </c>
      <c r="L1601" s="23">
        <v>2</v>
      </c>
      <c r="M1601" s="23" t="s">
        <v>78</v>
      </c>
      <c r="N1601" s="23" t="s">
        <v>78</v>
      </c>
      <c r="O1601" s="23">
        <v>1420.08</v>
      </c>
      <c r="P1601" s="23" t="s">
        <v>79</v>
      </c>
      <c r="Q1601" s="23" t="s">
        <v>83</v>
      </c>
      <c r="R1601" s="23">
        <v>11100176</v>
      </c>
      <c r="S1601" s="24">
        <v>46121</v>
      </c>
      <c r="T1601" s="24">
        <v>46072</v>
      </c>
      <c r="U1601" s="24" t="s">
        <v>80</v>
      </c>
      <c r="X1601" s="24">
        <v>46069</v>
      </c>
      <c r="Y1601" s="23">
        <v>1111</v>
      </c>
      <c r="Z1601" s="23">
        <v>11400895</v>
      </c>
      <c r="AA1601" s="23">
        <v>3751</v>
      </c>
      <c r="AB1601" s="24">
        <v>46069</v>
      </c>
    </row>
    <row r="1602" spans="2:28" x14ac:dyDescent="0.2">
      <c r="C1602" s="23">
        <v>1100577297</v>
      </c>
      <c r="E1602" s="23">
        <v>20</v>
      </c>
      <c r="F1602" s="23" t="s">
        <v>82</v>
      </c>
      <c r="G1602" s="23" t="s">
        <v>139</v>
      </c>
      <c r="H1602" s="24">
        <v>46121</v>
      </c>
      <c r="I1602" s="24">
        <v>46121</v>
      </c>
      <c r="J1602" s="23" t="s">
        <v>1221</v>
      </c>
      <c r="K1602" s="23" t="s">
        <v>1221</v>
      </c>
      <c r="L1602" s="23">
        <v>1</v>
      </c>
      <c r="M1602" s="23" t="s">
        <v>78</v>
      </c>
      <c r="N1602" s="23" t="s">
        <v>78</v>
      </c>
      <c r="O1602" s="23">
        <v>0.01</v>
      </c>
      <c r="P1602" s="23" t="s">
        <v>79</v>
      </c>
      <c r="Q1602" s="23" t="s">
        <v>83</v>
      </c>
      <c r="R1602" s="23">
        <v>11100176</v>
      </c>
      <c r="S1602" s="24" t="s">
        <v>80</v>
      </c>
      <c r="T1602" s="24">
        <v>46072</v>
      </c>
      <c r="U1602" s="24" t="s">
        <v>80</v>
      </c>
      <c r="X1602" s="24">
        <v>46069</v>
      </c>
      <c r="Y1602" s="23">
        <v>1111</v>
      </c>
      <c r="Z1602" s="23">
        <v>11400895</v>
      </c>
      <c r="AA1602" s="23">
        <v>3751</v>
      </c>
      <c r="AB1602" s="24">
        <v>46069</v>
      </c>
    </row>
    <row r="1603" spans="2:28" x14ac:dyDescent="0.2">
      <c r="B1603" s="23" t="s">
        <v>81</v>
      </c>
      <c r="C1603" s="23">
        <v>1100577297</v>
      </c>
      <c r="H1603" s="24">
        <v>46121</v>
      </c>
      <c r="O1603" s="23">
        <v>1420.09</v>
      </c>
      <c r="P1603" s="23" t="s">
        <v>79</v>
      </c>
    </row>
    <row r="1604" spans="2:28" x14ac:dyDescent="0.2">
      <c r="C1604" s="23">
        <v>1100577485</v>
      </c>
      <c r="E1604" s="23">
        <v>10</v>
      </c>
      <c r="F1604" s="23" t="s">
        <v>783</v>
      </c>
      <c r="G1604" s="23" t="s">
        <v>1951</v>
      </c>
      <c r="H1604" s="24">
        <v>46121</v>
      </c>
      <c r="I1604" s="24">
        <v>46121</v>
      </c>
      <c r="J1604" s="23" t="s">
        <v>502</v>
      </c>
      <c r="K1604" s="23" t="s">
        <v>502</v>
      </c>
      <c r="L1604" s="23">
        <v>15</v>
      </c>
      <c r="M1604" s="23" t="s">
        <v>78</v>
      </c>
      <c r="N1604" s="23" t="s">
        <v>78</v>
      </c>
      <c r="O1604" s="23">
        <v>641.4</v>
      </c>
      <c r="P1604" s="23" t="s">
        <v>79</v>
      </c>
      <c r="Q1604" s="23" t="s">
        <v>83</v>
      </c>
      <c r="R1604" s="23">
        <v>11100008</v>
      </c>
      <c r="S1604" s="24">
        <v>46115</v>
      </c>
      <c r="T1604" s="24">
        <v>46074</v>
      </c>
      <c r="U1604" s="24" t="s">
        <v>80</v>
      </c>
      <c r="X1604" s="24">
        <v>46056</v>
      </c>
      <c r="Y1604" s="23">
        <v>1111</v>
      </c>
      <c r="Z1604" s="23">
        <v>11400937</v>
      </c>
      <c r="AA1604" s="23">
        <v>335103</v>
      </c>
      <c r="AB1604" s="24">
        <v>46057</v>
      </c>
    </row>
    <row r="1605" spans="2:28" x14ac:dyDescent="0.2">
      <c r="C1605" s="23">
        <v>1100577485</v>
      </c>
      <c r="E1605" s="23">
        <v>20</v>
      </c>
      <c r="F1605" s="23" t="s">
        <v>82</v>
      </c>
      <c r="G1605" s="23" t="s">
        <v>139</v>
      </c>
      <c r="H1605" s="24">
        <v>46121</v>
      </c>
      <c r="I1605" s="24">
        <v>46121</v>
      </c>
      <c r="J1605" s="23" t="s">
        <v>502</v>
      </c>
      <c r="K1605" s="23" t="s">
        <v>502</v>
      </c>
      <c r="L1605" s="23">
        <v>1</v>
      </c>
      <c r="M1605" s="23" t="s">
        <v>78</v>
      </c>
      <c r="N1605" s="23" t="s">
        <v>78</v>
      </c>
      <c r="O1605" s="23">
        <v>0.01</v>
      </c>
      <c r="P1605" s="23" t="s">
        <v>79</v>
      </c>
      <c r="Q1605" s="23" t="s">
        <v>83</v>
      </c>
      <c r="R1605" s="23">
        <v>11100008</v>
      </c>
      <c r="S1605" s="24" t="s">
        <v>80</v>
      </c>
      <c r="T1605" s="24">
        <v>46074</v>
      </c>
      <c r="U1605" s="24" t="s">
        <v>80</v>
      </c>
      <c r="X1605" s="24">
        <v>46056</v>
      </c>
      <c r="Y1605" s="23">
        <v>1111</v>
      </c>
      <c r="Z1605" s="23">
        <v>11400937</v>
      </c>
      <c r="AA1605" s="23">
        <v>335103</v>
      </c>
      <c r="AB1605" s="24">
        <v>46057</v>
      </c>
    </row>
    <row r="1606" spans="2:28" x14ac:dyDescent="0.2">
      <c r="B1606" s="23" t="s">
        <v>81</v>
      </c>
      <c r="C1606" s="23">
        <v>1100577485</v>
      </c>
      <c r="H1606" s="24">
        <v>46121</v>
      </c>
      <c r="O1606" s="23">
        <v>641.41</v>
      </c>
      <c r="P1606" s="23" t="s">
        <v>79</v>
      </c>
    </row>
    <row r="1607" spans="2:28" x14ac:dyDescent="0.2">
      <c r="C1607" s="23">
        <v>1100577489</v>
      </c>
      <c r="E1607" s="23">
        <v>20</v>
      </c>
      <c r="F1607" s="23" t="s">
        <v>1744</v>
      </c>
      <c r="G1607" s="23" t="s">
        <v>1745</v>
      </c>
      <c r="H1607" s="24">
        <v>46121</v>
      </c>
      <c r="I1607" s="24">
        <v>46121</v>
      </c>
      <c r="J1607" s="23" t="s">
        <v>257</v>
      </c>
      <c r="K1607" s="23" t="s">
        <v>257</v>
      </c>
      <c r="L1607" s="23">
        <v>15</v>
      </c>
      <c r="M1607" s="23" t="s">
        <v>78</v>
      </c>
      <c r="N1607" s="23" t="s">
        <v>78</v>
      </c>
      <c r="O1607" s="23">
        <v>9470.5499999999993</v>
      </c>
      <c r="P1607" s="23" t="s">
        <v>79</v>
      </c>
      <c r="Q1607" s="23" t="s">
        <v>83</v>
      </c>
      <c r="R1607" s="23">
        <v>11100176</v>
      </c>
      <c r="S1607" s="24">
        <v>46121</v>
      </c>
      <c r="T1607" s="24">
        <v>46074</v>
      </c>
      <c r="U1607" s="24">
        <v>46121</v>
      </c>
      <c r="X1607" s="24">
        <v>46072</v>
      </c>
      <c r="Y1607" s="23">
        <v>1111</v>
      </c>
      <c r="Z1607" s="23">
        <v>11600001</v>
      </c>
      <c r="AA1607" s="23">
        <v>3951</v>
      </c>
      <c r="AB1607" s="24">
        <v>46071</v>
      </c>
    </row>
    <row r="1608" spans="2:28" x14ac:dyDescent="0.2">
      <c r="B1608" s="23" t="s">
        <v>81</v>
      </c>
      <c r="C1608" s="23">
        <v>1100577489</v>
      </c>
      <c r="H1608" s="24">
        <v>46121</v>
      </c>
      <c r="O1608" s="23">
        <v>9470.5499999999993</v>
      </c>
      <c r="P1608" s="23" t="s">
        <v>79</v>
      </c>
    </row>
    <row r="1609" spans="2:28" x14ac:dyDescent="0.2">
      <c r="C1609" s="23">
        <v>1100577919</v>
      </c>
      <c r="E1609" s="23">
        <v>10</v>
      </c>
      <c r="F1609" s="23" t="s">
        <v>1875</v>
      </c>
      <c r="G1609" s="23" t="s">
        <v>1876</v>
      </c>
      <c r="H1609" s="24">
        <v>46121</v>
      </c>
      <c r="I1609" s="24">
        <v>46121</v>
      </c>
      <c r="J1609" s="23" t="s">
        <v>257</v>
      </c>
      <c r="K1609" s="23" t="s">
        <v>257</v>
      </c>
      <c r="L1609" s="23">
        <v>3</v>
      </c>
      <c r="M1609" s="23" t="s">
        <v>78</v>
      </c>
      <c r="N1609" s="23" t="s">
        <v>78</v>
      </c>
      <c r="O1609" s="23">
        <v>9.9</v>
      </c>
      <c r="P1609" s="23" t="s">
        <v>79</v>
      </c>
      <c r="Q1609" s="23" t="s">
        <v>83</v>
      </c>
      <c r="R1609" s="23">
        <v>11100176</v>
      </c>
      <c r="S1609" s="24">
        <v>46121</v>
      </c>
      <c r="T1609" s="24">
        <v>46078</v>
      </c>
      <c r="U1609" s="24" t="s">
        <v>80</v>
      </c>
      <c r="X1609" s="24">
        <v>46077</v>
      </c>
      <c r="Y1609" s="23">
        <v>1111</v>
      </c>
      <c r="Z1609" s="23">
        <v>11100137</v>
      </c>
      <c r="AA1609" s="23">
        <v>3351</v>
      </c>
      <c r="AB1609" s="24">
        <v>46045</v>
      </c>
    </row>
    <row r="1610" spans="2:28" x14ac:dyDescent="0.2">
      <c r="C1610" s="23">
        <v>1100577919</v>
      </c>
      <c r="E1610" s="23">
        <v>20</v>
      </c>
      <c r="F1610" s="23" t="s">
        <v>3456</v>
      </c>
      <c r="G1610" s="23" t="s">
        <v>3457</v>
      </c>
      <c r="H1610" s="24">
        <v>46121</v>
      </c>
      <c r="I1610" s="24">
        <v>46121</v>
      </c>
      <c r="J1610" s="23" t="s">
        <v>257</v>
      </c>
      <c r="K1610" s="23" t="s">
        <v>257</v>
      </c>
      <c r="L1610" s="23">
        <v>1</v>
      </c>
      <c r="M1610" s="23" t="s">
        <v>78</v>
      </c>
      <c r="N1610" s="23" t="s">
        <v>78</v>
      </c>
      <c r="O1610" s="23">
        <v>2149.36</v>
      </c>
      <c r="P1610" s="23" t="s">
        <v>79</v>
      </c>
      <c r="Q1610" s="23" t="s">
        <v>83</v>
      </c>
      <c r="R1610" s="23">
        <v>11100176</v>
      </c>
      <c r="S1610" s="24">
        <v>46121</v>
      </c>
      <c r="T1610" s="24">
        <v>46078</v>
      </c>
      <c r="U1610" s="24" t="s">
        <v>80</v>
      </c>
      <c r="X1610" s="24">
        <v>46077</v>
      </c>
      <c r="Y1610" s="23">
        <v>1111</v>
      </c>
      <c r="Z1610" s="23">
        <v>11100137</v>
      </c>
      <c r="AA1610" s="23">
        <v>3351</v>
      </c>
      <c r="AB1610" s="24">
        <v>46045</v>
      </c>
    </row>
    <row r="1611" spans="2:28" x14ac:dyDescent="0.2">
      <c r="B1611" s="23" t="s">
        <v>81</v>
      </c>
      <c r="C1611" s="23">
        <v>1100577919</v>
      </c>
      <c r="H1611" s="24">
        <v>46121</v>
      </c>
      <c r="O1611" s="23">
        <v>2159.2600000000002</v>
      </c>
      <c r="P1611" s="23" t="s">
        <v>79</v>
      </c>
    </row>
    <row r="1612" spans="2:28" x14ac:dyDescent="0.2">
      <c r="C1612" s="23">
        <v>1100577933</v>
      </c>
      <c r="E1612" s="23">
        <v>10</v>
      </c>
      <c r="F1612" s="23" t="s">
        <v>240</v>
      </c>
      <c r="G1612" s="23" t="s">
        <v>241</v>
      </c>
      <c r="H1612" s="24">
        <v>46121</v>
      </c>
      <c r="I1612" s="24">
        <v>46121</v>
      </c>
      <c r="J1612" s="23" t="s">
        <v>283</v>
      </c>
      <c r="K1612" s="23" t="s">
        <v>283</v>
      </c>
      <c r="L1612" s="23">
        <v>2</v>
      </c>
      <c r="M1612" s="23" t="s">
        <v>78</v>
      </c>
      <c r="N1612" s="23" t="s">
        <v>78</v>
      </c>
      <c r="O1612" s="23">
        <v>864.3</v>
      </c>
      <c r="P1612" s="23" t="s">
        <v>79</v>
      </c>
      <c r="Q1612" s="23" t="s">
        <v>83</v>
      </c>
      <c r="R1612" s="23">
        <v>11100176</v>
      </c>
      <c r="S1612" s="24">
        <v>46121</v>
      </c>
      <c r="T1612" s="24">
        <v>46078</v>
      </c>
      <c r="U1612" s="24" t="s">
        <v>80</v>
      </c>
      <c r="X1612" s="24">
        <v>46077</v>
      </c>
      <c r="Y1612" s="23">
        <v>1111</v>
      </c>
      <c r="Z1612" s="23">
        <v>11100320</v>
      </c>
      <c r="AA1612" s="23">
        <v>5051</v>
      </c>
      <c r="AB1612" s="24">
        <v>46077</v>
      </c>
    </row>
    <row r="1613" spans="2:28" x14ac:dyDescent="0.2">
      <c r="C1613" s="23">
        <v>1100577933</v>
      </c>
      <c r="E1613" s="23">
        <v>20</v>
      </c>
      <c r="F1613" s="23" t="s">
        <v>426</v>
      </c>
      <c r="G1613" s="23" t="s">
        <v>427</v>
      </c>
      <c r="H1613" s="24">
        <v>46121</v>
      </c>
      <c r="I1613" s="24">
        <v>46121</v>
      </c>
      <c r="J1613" s="23" t="s">
        <v>283</v>
      </c>
      <c r="K1613" s="23" t="s">
        <v>283</v>
      </c>
      <c r="L1613" s="23">
        <v>2</v>
      </c>
      <c r="M1613" s="23" t="s">
        <v>78</v>
      </c>
      <c r="N1613" s="23" t="s">
        <v>78</v>
      </c>
      <c r="O1613" s="23">
        <v>4407.12</v>
      </c>
      <c r="P1613" s="23" t="s">
        <v>79</v>
      </c>
      <c r="Q1613" s="23" t="s">
        <v>83</v>
      </c>
      <c r="R1613" s="23">
        <v>11100176</v>
      </c>
      <c r="S1613" s="24">
        <v>46121</v>
      </c>
      <c r="T1613" s="24">
        <v>46078</v>
      </c>
      <c r="U1613" s="24" t="s">
        <v>80</v>
      </c>
      <c r="X1613" s="24">
        <v>46077</v>
      </c>
      <c r="Y1613" s="23">
        <v>1111</v>
      </c>
      <c r="Z1613" s="23">
        <v>11100320</v>
      </c>
      <c r="AA1613" s="23">
        <v>5051</v>
      </c>
      <c r="AB1613" s="24">
        <v>46077</v>
      </c>
    </row>
    <row r="1614" spans="2:28" x14ac:dyDescent="0.2">
      <c r="C1614" s="23">
        <v>1100577933</v>
      </c>
      <c r="E1614" s="23">
        <v>30</v>
      </c>
      <c r="F1614" s="23" t="s">
        <v>82</v>
      </c>
      <c r="G1614" s="23" t="s">
        <v>139</v>
      </c>
      <c r="H1614" s="24">
        <v>46121</v>
      </c>
      <c r="I1614" s="24">
        <v>46121</v>
      </c>
      <c r="J1614" s="23" t="s">
        <v>283</v>
      </c>
      <c r="K1614" s="23" t="s">
        <v>283</v>
      </c>
      <c r="L1614" s="23">
        <v>1</v>
      </c>
      <c r="M1614" s="23" t="s">
        <v>78</v>
      </c>
      <c r="N1614" s="23" t="s">
        <v>78</v>
      </c>
      <c r="O1614" s="23">
        <v>0.01</v>
      </c>
      <c r="P1614" s="23" t="s">
        <v>79</v>
      </c>
      <c r="Q1614" s="23" t="s">
        <v>83</v>
      </c>
      <c r="R1614" s="23">
        <v>11100176</v>
      </c>
      <c r="S1614" s="24">
        <v>46121</v>
      </c>
      <c r="T1614" s="24">
        <v>46078</v>
      </c>
      <c r="U1614" s="24" t="s">
        <v>80</v>
      </c>
      <c r="X1614" s="24">
        <v>46077</v>
      </c>
      <c r="Y1614" s="23">
        <v>1111</v>
      </c>
      <c r="Z1614" s="23">
        <v>11100320</v>
      </c>
      <c r="AA1614" s="23">
        <v>5051</v>
      </c>
      <c r="AB1614" s="24">
        <v>46077</v>
      </c>
    </row>
    <row r="1615" spans="2:28" x14ac:dyDescent="0.2">
      <c r="B1615" s="23" t="s">
        <v>81</v>
      </c>
      <c r="C1615" s="23">
        <v>1100577933</v>
      </c>
      <c r="H1615" s="24">
        <v>46121</v>
      </c>
      <c r="O1615" s="23">
        <v>5271.43</v>
      </c>
      <c r="P1615" s="23" t="s">
        <v>79</v>
      </c>
    </row>
    <row r="1616" spans="2:28" x14ac:dyDescent="0.2">
      <c r="C1616" s="23">
        <v>1100578126</v>
      </c>
      <c r="E1616" s="23">
        <v>10</v>
      </c>
      <c r="F1616" s="23" t="s">
        <v>275</v>
      </c>
      <c r="G1616" s="23" t="s">
        <v>276</v>
      </c>
      <c r="H1616" s="24">
        <v>46121</v>
      </c>
      <c r="I1616" s="24">
        <v>46121</v>
      </c>
      <c r="J1616" s="23" t="s">
        <v>3458</v>
      </c>
      <c r="K1616" s="23" t="s">
        <v>3458</v>
      </c>
      <c r="L1616" s="23">
        <v>1</v>
      </c>
      <c r="M1616" s="23" t="s">
        <v>78</v>
      </c>
      <c r="N1616" s="23" t="s">
        <v>78</v>
      </c>
      <c r="O1616" s="23">
        <v>2441.92</v>
      </c>
      <c r="P1616" s="23" t="s">
        <v>79</v>
      </c>
      <c r="Q1616" s="23" t="s">
        <v>83</v>
      </c>
      <c r="R1616" s="23">
        <v>11100176</v>
      </c>
      <c r="S1616" s="24">
        <v>46121</v>
      </c>
      <c r="T1616" s="24">
        <v>46079</v>
      </c>
      <c r="U1616" s="24" t="s">
        <v>80</v>
      </c>
      <c r="X1616" s="24">
        <v>46078</v>
      </c>
      <c r="Y1616" s="23">
        <v>1111</v>
      </c>
      <c r="Z1616" s="23">
        <v>11400937</v>
      </c>
      <c r="AA1616" s="23">
        <v>5051</v>
      </c>
      <c r="AB1616" s="24">
        <v>46071</v>
      </c>
    </row>
    <row r="1617" spans="2:28" x14ac:dyDescent="0.2">
      <c r="C1617" s="23">
        <v>1100578126</v>
      </c>
      <c r="E1617" s="23">
        <v>20</v>
      </c>
      <c r="F1617" s="23" t="s">
        <v>82</v>
      </c>
      <c r="G1617" s="23" t="s">
        <v>139</v>
      </c>
      <c r="H1617" s="24">
        <v>46121</v>
      </c>
      <c r="I1617" s="24">
        <v>46121</v>
      </c>
      <c r="J1617" s="23" t="s">
        <v>3458</v>
      </c>
      <c r="K1617" s="23" t="s">
        <v>3458</v>
      </c>
      <c r="L1617" s="23">
        <v>1</v>
      </c>
      <c r="M1617" s="23" t="s">
        <v>78</v>
      </c>
      <c r="N1617" s="23" t="s">
        <v>78</v>
      </c>
      <c r="O1617" s="23">
        <v>0.01</v>
      </c>
      <c r="P1617" s="23" t="s">
        <v>79</v>
      </c>
      <c r="Q1617" s="23" t="s">
        <v>83</v>
      </c>
      <c r="R1617" s="23">
        <v>11100176</v>
      </c>
      <c r="S1617" s="24" t="s">
        <v>80</v>
      </c>
      <c r="T1617" s="24">
        <v>46079</v>
      </c>
      <c r="U1617" s="24" t="s">
        <v>80</v>
      </c>
      <c r="X1617" s="24">
        <v>46078</v>
      </c>
      <c r="Y1617" s="23">
        <v>1111</v>
      </c>
      <c r="Z1617" s="23">
        <v>11400937</v>
      </c>
      <c r="AA1617" s="23">
        <v>5051</v>
      </c>
      <c r="AB1617" s="24">
        <v>46071</v>
      </c>
    </row>
    <row r="1618" spans="2:28" x14ac:dyDescent="0.2">
      <c r="B1618" s="23" t="s">
        <v>81</v>
      </c>
      <c r="C1618" s="23">
        <v>1100578126</v>
      </c>
      <c r="H1618" s="24">
        <v>46121</v>
      </c>
      <c r="O1618" s="23">
        <v>2441.9299999999998</v>
      </c>
      <c r="P1618" s="23" t="s">
        <v>79</v>
      </c>
    </row>
    <row r="1619" spans="2:28" x14ac:dyDescent="0.2">
      <c r="C1619" s="23">
        <v>1100578462</v>
      </c>
      <c r="E1619" s="23">
        <v>10</v>
      </c>
      <c r="F1619" s="23" t="s">
        <v>3459</v>
      </c>
      <c r="G1619" s="23" t="s">
        <v>3460</v>
      </c>
      <c r="H1619" s="24">
        <v>46121</v>
      </c>
      <c r="I1619" s="24">
        <v>46121</v>
      </c>
      <c r="J1619" s="23" t="s">
        <v>1401</v>
      </c>
      <c r="K1619" s="23" t="s">
        <v>1401</v>
      </c>
      <c r="L1619" s="23">
        <v>1</v>
      </c>
      <c r="M1619" s="23" t="s">
        <v>78</v>
      </c>
      <c r="N1619" s="23" t="s">
        <v>78</v>
      </c>
      <c r="O1619" s="23">
        <v>3015.45</v>
      </c>
      <c r="P1619" s="23" t="s">
        <v>79</v>
      </c>
      <c r="Q1619" s="23" t="s">
        <v>83</v>
      </c>
      <c r="R1619" s="23">
        <v>11100176</v>
      </c>
      <c r="S1619" s="24">
        <v>46125</v>
      </c>
      <c r="T1619" s="24">
        <v>46083</v>
      </c>
      <c r="U1619" s="24" t="s">
        <v>80</v>
      </c>
      <c r="X1619" s="24">
        <v>46044</v>
      </c>
      <c r="Y1619" s="23">
        <v>1111</v>
      </c>
      <c r="Z1619" s="23">
        <v>11400606</v>
      </c>
      <c r="AA1619" s="23">
        <v>3351</v>
      </c>
      <c r="AB1619" s="24">
        <v>46044</v>
      </c>
    </row>
    <row r="1620" spans="2:28" x14ac:dyDescent="0.2">
      <c r="B1620" s="23" t="s">
        <v>81</v>
      </c>
      <c r="C1620" s="23">
        <v>1100578462</v>
      </c>
      <c r="H1620" s="24">
        <v>46121</v>
      </c>
      <c r="O1620" s="23">
        <v>3015.45</v>
      </c>
      <c r="P1620" s="23" t="s">
        <v>79</v>
      </c>
    </row>
    <row r="1621" spans="2:28" x14ac:dyDescent="0.2">
      <c r="C1621" s="23">
        <v>1100573220</v>
      </c>
      <c r="E1621" s="23">
        <v>20</v>
      </c>
      <c r="F1621" s="23" t="s">
        <v>1789</v>
      </c>
      <c r="G1621" s="23" t="s">
        <v>1790</v>
      </c>
      <c r="H1621" s="24">
        <v>46122</v>
      </c>
      <c r="I1621" s="24">
        <v>46122</v>
      </c>
      <c r="J1621" s="23" t="s">
        <v>1788</v>
      </c>
      <c r="K1621" s="23" t="s">
        <v>1788</v>
      </c>
      <c r="L1621" s="23">
        <v>1</v>
      </c>
      <c r="M1621" s="23" t="s">
        <v>78</v>
      </c>
      <c r="N1621" s="23" t="s">
        <v>78</v>
      </c>
      <c r="O1621" s="23">
        <v>1941.83</v>
      </c>
      <c r="P1621" s="23" t="s">
        <v>79</v>
      </c>
      <c r="Q1621" s="23" t="s">
        <v>83</v>
      </c>
      <c r="R1621" s="23">
        <v>11100176</v>
      </c>
      <c r="S1621" s="24">
        <v>46066</v>
      </c>
      <c r="T1621" s="24">
        <v>46031</v>
      </c>
      <c r="U1621" s="24">
        <v>46752</v>
      </c>
      <c r="X1621" s="24">
        <v>46029</v>
      </c>
      <c r="Y1621" s="23">
        <v>1111</v>
      </c>
      <c r="Z1621" s="23">
        <v>11100137</v>
      </c>
      <c r="AA1621" s="23">
        <v>3351</v>
      </c>
      <c r="AB1621" s="24">
        <v>46028</v>
      </c>
    </row>
    <row r="1622" spans="2:28" x14ac:dyDescent="0.2">
      <c r="C1622" s="23">
        <v>1100573220</v>
      </c>
      <c r="E1622" s="23">
        <v>30</v>
      </c>
      <c r="F1622" s="23" t="s">
        <v>1791</v>
      </c>
      <c r="G1622" s="23" t="s">
        <v>1792</v>
      </c>
      <c r="H1622" s="24">
        <v>46122</v>
      </c>
      <c r="I1622" s="24">
        <v>46122</v>
      </c>
      <c r="J1622" s="23" t="s">
        <v>1788</v>
      </c>
      <c r="K1622" s="23" t="s">
        <v>1788</v>
      </c>
      <c r="L1622" s="23">
        <v>1</v>
      </c>
      <c r="M1622" s="23" t="s">
        <v>78</v>
      </c>
      <c r="N1622" s="23" t="s">
        <v>78</v>
      </c>
      <c r="O1622" s="23">
        <v>1383.73</v>
      </c>
      <c r="P1622" s="23" t="s">
        <v>79</v>
      </c>
      <c r="Q1622" s="23" t="s">
        <v>83</v>
      </c>
      <c r="R1622" s="23">
        <v>11100176</v>
      </c>
      <c r="S1622" s="24">
        <v>46066</v>
      </c>
      <c r="T1622" s="24">
        <v>46031</v>
      </c>
      <c r="U1622" s="24">
        <v>46752</v>
      </c>
      <c r="X1622" s="24">
        <v>46029</v>
      </c>
      <c r="Y1622" s="23">
        <v>1111</v>
      </c>
      <c r="Z1622" s="23">
        <v>11100137</v>
      </c>
      <c r="AA1622" s="23">
        <v>3351</v>
      </c>
      <c r="AB1622" s="24">
        <v>46028</v>
      </c>
    </row>
    <row r="1623" spans="2:28" x14ac:dyDescent="0.2">
      <c r="B1623" s="23" t="s">
        <v>81</v>
      </c>
      <c r="C1623" s="23">
        <v>1100573220</v>
      </c>
      <c r="H1623" s="24">
        <v>46122</v>
      </c>
      <c r="O1623" s="23">
        <v>3325.56</v>
      </c>
      <c r="P1623" s="23" t="s">
        <v>79</v>
      </c>
    </row>
    <row r="1624" spans="2:28" x14ac:dyDescent="0.2">
      <c r="C1624" s="23">
        <v>1100574034</v>
      </c>
      <c r="E1624" s="23">
        <v>90</v>
      </c>
      <c r="F1624" s="23" t="s">
        <v>1800</v>
      </c>
      <c r="G1624" s="23" t="s">
        <v>1801</v>
      </c>
      <c r="H1624" s="24">
        <v>46122</v>
      </c>
      <c r="I1624" s="24">
        <v>46122</v>
      </c>
      <c r="J1624" s="23" t="s">
        <v>102</v>
      </c>
      <c r="K1624" s="23" t="s">
        <v>102</v>
      </c>
      <c r="L1624" s="23">
        <v>1</v>
      </c>
      <c r="M1624" s="23" t="s">
        <v>78</v>
      </c>
      <c r="N1624" s="23" t="s">
        <v>78</v>
      </c>
      <c r="O1624" s="23">
        <v>2150.2399999999998</v>
      </c>
      <c r="P1624" s="23" t="s">
        <v>79</v>
      </c>
      <c r="Q1624" s="23" t="s">
        <v>83</v>
      </c>
      <c r="R1624" s="23">
        <v>11100176</v>
      </c>
      <c r="S1624" s="24">
        <v>46122</v>
      </c>
      <c r="T1624" s="24">
        <v>46038</v>
      </c>
      <c r="U1624" s="24">
        <v>47116</v>
      </c>
      <c r="X1624" s="24">
        <v>46037</v>
      </c>
      <c r="Y1624" s="23">
        <v>1111</v>
      </c>
      <c r="Z1624" s="23">
        <v>11400789</v>
      </c>
      <c r="AA1624" s="23">
        <v>515103</v>
      </c>
      <c r="AB1624" s="24">
        <v>46010</v>
      </c>
    </row>
    <row r="1625" spans="2:28" x14ac:dyDescent="0.2">
      <c r="B1625" s="23" t="s">
        <v>81</v>
      </c>
      <c r="C1625" s="23">
        <v>1100574034</v>
      </c>
      <c r="H1625" s="24">
        <v>46122</v>
      </c>
      <c r="O1625" s="23">
        <v>2150.2399999999998</v>
      </c>
      <c r="P1625" s="23" t="s">
        <v>79</v>
      </c>
    </row>
    <row r="1626" spans="2:28" x14ac:dyDescent="0.2">
      <c r="C1626" s="23">
        <v>1100574569</v>
      </c>
      <c r="E1626" s="23">
        <v>30</v>
      </c>
      <c r="F1626" s="23" t="s">
        <v>861</v>
      </c>
      <c r="G1626" s="23" t="s">
        <v>862</v>
      </c>
      <c r="H1626" s="24">
        <v>46122</v>
      </c>
      <c r="I1626" s="24">
        <v>46122</v>
      </c>
      <c r="J1626" s="23" t="s">
        <v>878</v>
      </c>
      <c r="K1626" s="23" t="s">
        <v>878</v>
      </c>
      <c r="L1626" s="23">
        <v>1</v>
      </c>
      <c r="M1626" s="23" t="s">
        <v>78</v>
      </c>
      <c r="N1626" s="23" t="s">
        <v>78</v>
      </c>
      <c r="O1626" s="23">
        <v>1925.76</v>
      </c>
      <c r="P1626" s="23" t="s">
        <v>79</v>
      </c>
      <c r="Q1626" s="23" t="s">
        <v>83</v>
      </c>
      <c r="R1626" s="23">
        <v>11100176</v>
      </c>
      <c r="S1626" s="24">
        <v>46122</v>
      </c>
      <c r="T1626" s="24">
        <v>46045</v>
      </c>
      <c r="U1626" s="24">
        <v>46100</v>
      </c>
      <c r="X1626" s="24">
        <v>46043</v>
      </c>
      <c r="Y1626" s="23">
        <v>1111</v>
      </c>
      <c r="Z1626" s="23">
        <v>11600001</v>
      </c>
      <c r="AA1626" s="23">
        <v>335103</v>
      </c>
      <c r="AB1626" s="24">
        <v>46043</v>
      </c>
    </row>
    <row r="1627" spans="2:28" x14ac:dyDescent="0.2">
      <c r="C1627" s="23">
        <v>1100574569</v>
      </c>
      <c r="E1627" s="23">
        <v>40</v>
      </c>
      <c r="F1627" s="23" t="s">
        <v>209</v>
      </c>
      <c r="G1627" s="23" t="s">
        <v>210</v>
      </c>
      <c r="H1627" s="24">
        <v>46122</v>
      </c>
      <c r="I1627" s="24">
        <v>46122</v>
      </c>
      <c r="J1627" s="23" t="s">
        <v>878</v>
      </c>
      <c r="K1627" s="23" t="s">
        <v>878</v>
      </c>
      <c r="L1627" s="23">
        <v>1</v>
      </c>
      <c r="M1627" s="23" t="s">
        <v>78</v>
      </c>
      <c r="N1627" s="23" t="s">
        <v>78</v>
      </c>
      <c r="O1627" s="23">
        <v>0</v>
      </c>
      <c r="P1627" s="23" t="s">
        <v>79</v>
      </c>
      <c r="Q1627" s="23" t="s">
        <v>83</v>
      </c>
      <c r="R1627" s="23">
        <v>11100176</v>
      </c>
      <c r="S1627" s="24">
        <v>46122</v>
      </c>
      <c r="T1627" s="24">
        <v>46045</v>
      </c>
      <c r="U1627" s="24">
        <v>46087</v>
      </c>
      <c r="X1627" s="24">
        <v>46043</v>
      </c>
      <c r="Y1627" s="23">
        <v>1111</v>
      </c>
      <c r="Z1627" s="23">
        <v>11600001</v>
      </c>
      <c r="AA1627" s="23">
        <v>335103</v>
      </c>
      <c r="AB1627" s="24">
        <v>46043</v>
      </c>
    </row>
    <row r="1628" spans="2:28" x14ac:dyDescent="0.2">
      <c r="B1628" s="23" t="s">
        <v>81</v>
      </c>
      <c r="C1628" s="23">
        <v>1100574569</v>
      </c>
      <c r="H1628" s="24">
        <v>46122</v>
      </c>
      <c r="O1628" s="23">
        <v>1925.76</v>
      </c>
      <c r="P1628" s="23" t="s">
        <v>79</v>
      </c>
    </row>
    <row r="1629" spans="2:28" x14ac:dyDescent="0.2">
      <c r="C1629" s="23">
        <v>1100574888</v>
      </c>
      <c r="E1629" s="23">
        <v>30</v>
      </c>
      <c r="F1629" s="23" t="s">
        <v>2265</v>
      </c>
      <c r="G1629" s="23" t="s">
        <v>2266</v>
      </c>
      <c r="H1629" s="24">
        <v>46122</v>
      </c>
      <c r="I1629" s="24">
        <v>46122</v>
      </c>
      <c r="J1629" s="23" t="s">
        <v>1266</v>
      </c>
      <c r="K1629" s="23" t="s">
        <v>1266</v>
      </c>
      <c r="L1629" s="23">
        <v>1</v>
      </c>
      <c r="M1629" s="23" t="s">
        <v>566</v>
      </c>
      <c r="N1629" s="23" t="s">
        <v>566</v>
      </c>
      <c r="O1629" s="23">
        <v>2307.2600000000002</v>
      </c>
      <c r="P1629" s="23" t="s">
        <v>79</v>
      </c>
      <c r="Q1629" s="23" t="s">
        <v>83</v>
      </c>
      <c r="R1629" s="23">
        <v>11100176</v>
      </c>
      <c r="S1629" s="24">
        <v>46090</v>
      </c>
      <c r="T1629" s="24">
        <v>46048</v>
      </c>
      <c r="U1629" s="24">
        <v>47116</v>
      </c>
      <c r="X1629" s="24">
        <v>46045</v>
      </c>
      <c r="Y1629" s="23">
        <v>1111</v>
      </c>
      <c r="Z1629" s="23">
        <v>11400745</v>
      </c>
      <c r="AA1629" s="23">
        <v>395103</v>
      </c>
      <c r="AB1629" s="24">
        <v>46045</v>
      </c>
    </row>
    <row r="1630" spans="2:28" x14ac:dyDescent="0.2">
      <c r="C1630" s="23">
        <v>1100574888</v>
      </c>
      <c r="E1630" s="23">
        <v>50</v>
      </c>
      <c r="F1630" s="23" t="s">
        <v>3461</v>
      </c>
      <c r="G1630" s="23" t="s">
        <v>3462</v>
      </c>
      <c r="H1630" s="24">
        <v>46122</v>
      </c>
      <c r="I1630" s="24">
        <v>46122</v>
      </c>
      <c r="J1630" s="23" t="s">
        <v>1266</v>
      </c>
      <c r="K1630" s="23" t="s">
        <v>1266</v>
      </c>
      <c r="L1630" s="23">
        <v>1</v>
      </c>
      <c r="M1630" s="23" t="s">
        <v>566</v>
      </c>
      <c r="N1630" s="23" t="s">
        <v>566</v>
      </c>
      <c r="O1630" s="23">
        <v>2363.5100000000002</v>
      </c>
      <c r="P1630" s="23" t="s">
        <v>79</v>
      </c>
      <c r="Q1630" s="23" t="s">
        <v>83</v>
      </c>
      <c r="R1630" s="23">
        <v>11100176</v>
      </c>
      <c r="S1630" s="24">
        <v>46104</v>
      </c>
      <c r="T1630" s="24">
        <v>46048</v>
      </c>
      <c r="U1630" s="24">
        <v>47116</v>
      </c>
      <c r="X1630" s="24">
        <v>46045</v>
      </c>
      <c r="Y1630" s="23">
        <v>1111</v>
      </c>
      <c r="Z1630" s="23">
        <v>11400745</v>
      </c>
      <c r="AA1630" s="23">
        <v>395103</v>
      </c>
      <c r="AB1630" s="24">
        <v>46045</v>
      </c>
    </row>
    <row r="1631" spans="2:28" x14ac:dyDescent="0.2">
      <c r="B1631" s="23" t="s">
        <v>81</v>
      </c>
      <c r="C1631" s="23">
        <v>1100574888</v>
      </c>
      <c r="H1631" s="24">
        <v>46122</v>
      </c>
      <c r="O1631" s="23">
        <v>4670.7700000000004</v>
      </c>
      <c r="P1631" s="23" t="s">
        <v>79</v>
      </c>
    </row>
    <row r="1632" spans="2:28" x14ac:dyDescent="0.2">
      <c r="C1632" s="23">
        <v>1100575101</v>
      </c>
      <c r="E1632" s="23">
        <v>10</v>
      </c>
      <c r="F1632" s="23" t="s">
        <v>538</v>
      </c>
      <c r="G1632" s="23" t="s">
        <v>539</v>
      </c>
      <c r="H1632" s="24">
        <v>46122</v>
      </c>
      <c r="I1632" s="24">
        <v>46122</v>
      </c>
      <c r="J1632" s="23" t="s">
        <v>565</v>
      </c>
      <c r="K1632" s="23" t="s">
        <v>565</v>
      </c>
      <c r="L1632" s="23">
        <v>1</v>
      </c>
      <c r="M1632" s="23" t="s">
        <v>78</v>
      </c>
      <c r="N1632" s="23" t="s">
        <v>78</v>
      </c>
      <c r="O1632" s="23">
        <v>1115.1400000000001</v>
      </c>
      <c r="P1632" s="23" t="s">
        <v>79</v>
      </c>
      <c r="Q1632" s="23" t="s">
        <v>83</v>
      </c>
      <c r="R1632" s="23">
        <v>11100176</v>
      </c>
      <c r="S1632" s="24">
        <v>46091</v>
      </c>
      <c r="T1632" s="24">
        <v>46049</v>
      </c>
      <c r="U1632" s="24" t="s">
        <v>80</v>
      </c>
      <c r="X1632" s="24">
        <v>46049</v>
      </c>
      <c r="Y1632" s="23">
        <v>1111</v>
      </c>
      <c r="Z1632" s="23">
        <v>11400745</v>
      </c>
      <c r="AA1632" s="23">
        <v>335103</v>
      </c>
      <c r="AB1632" s="24">
        <v>46049</v>
      </c>
    </row>
    <row r="1633" spans="2:28" x14ac:dyDescent="0.2">
      <c r="C1633" s="23">
        <v>1100575101</v>
      </c>
      <c r="E1633" s="23">
        <v>20</v>
      </c>
      <c r="F1633" s="23" t="s">
        <v>82</v>
      </c>
      <c r="G1633" s="23" t="s">
        <v>139</v>
      </c>
      <c r="H1633" s="24">
        <v>46122</v>
      </c>
      <c r="I1633" s="24">
        <v>46122</v>
      </c>
      <c r="J1633" s="23" t="s">
        <v>565</v>
      </c>
      <c r="K1633" s="23" t="s">
        <v>565</v>
      </c>
      <c r="L1633" s="23">
        <v>1</v>
      </c>
      <c r="M1633" s="23" t="s">
        <v>78</v>
      </c>
      <c r="N1633" s="23" t="s">
        <v>78</v>
      </c>
      <c r="O1633" s="23">
        <v>0.01</v>
      </c>
      <c r="P1633" s="23" t="s">
        <v>79</v>
      </c>
      <c r="Q1633" s="23" t="s">
        <v>83</v>
      </c>
      <c r="R1633" s="23">
        <v>11100176</v>
      </c>
      <c r="S1633" s="24" t="s">
        <v>80</v>
      </c>
      <c r="T1633" s="24">
        <v>46049</v>
      </c>
      <c r="U1633" s="24" t="s">
        <v>80</v>
      </c>
      <c r="X1633" s="24">
        <v>46049</v>
      </c>
      <c r="Y1633" s="23">
        <v>1111</v>
      </c>
      <c r="Z1633" s="23">
        <v>11400745</v>
      </c>
      <c r="AA1633" s="23">
        <v>335103</v>
      </c>
      <c r="AB1633" s="24">
        <v>46049</v>
      </c>
    </row>
    <row r="1634" spans="2:28" x14ac:dyDescent="0.2">
      <c r="B1634" s="23" t="s">
        <v>81</v>
      </c>
      <c r="C1634" s="23">
        <v>1100575101</v>
      </c>
      <c r="H1634" s="24">
        <v>46122</v>
      </c>
      <c r="O1634" s="23">
        <v>1115.1500000000001</v>
      </c>
      <c r="P1634" s="23" t="s">
        <v>79</v>
      </c>
    </row>
    <row r="1635" spans="2:28" x14ac:dyDescent="0.2">
      <c r="C1635" s="23">
        <v>1100575253</v>
      </c>
      <c r="E1635" s="23">
        <v>10</v>
      </c>
      <c r="F1635" s="23" t="s">
        <v>3463</v>
      </c>
      <c r="G1635" s="23" t="s">
        <v>3464</v>
      </c>
      <c r="H1635" s="24">
        <v>46122</v>
      </c>
      <c r="I1635" s="24">
        <v>46122</v>
      </c>
      <c r="J1635" s="23" t="s">
        <v>3465</v>
      </c>
      <c r="K1635" s="23" t="s">
        <v>3465</v>
      </c>
      <c r="L1635" s="23">
        <v>1</v>
      </c>
      <c r="M1635" s="23" t="s">
        <v>78</v>
      </c>
      <c r="N1635" s="23" t="s">
        <v>78</v>
      </c>
      <c r="O1635" s="23">
        <v>7727.65</v>
      </c>
      <c r="P1635" s="23" t="s">
        <v>79</v>
      </c>
      <c r="Q1635" s="23" t="s">
        <v>83</v>
      </c>
      <c r="R1635" s="23">
        <v>11100176</v>
      </c>
      <c r="S1635" s="24">
        <v>46093</v>
      </c>
      <c r="T1635" s="24">
        <v>46050</v>
      </c>
      <c r="U1635" s="24" t="s">
        <v>80</v>
      </c>
      <c r="X1635" s="24">
        <v>46050</v>
      </c>
      <c r="Y1635" s="23">
        <v>1111</v>
      </c>
      <c r="Z1635" s="23">
        <v>11100320</v>
      </c>
      <c r="AA1635" s="23">
        <v>3951</v>
      </c>
      <c r="AB1635" s="24">
        <v>46049</v>
      </c>
    </row>
    <row r="1636" spans="2:28" x14ac:dyDescent="0.2">
      <c r="C1636" s="23">
        <v>1100575253</v>
      </c>
      <c r="E1636" s="23">
        <v>20</v>
      </c>
      <c r="F1636" s="23" t="s">
        <v>82</v>
      </c>
      <c r="G1636" s="23" t="s">
        <v>139</v>
      </c>
      <c r="H1636" s="24">
        <v>46122</v>
      </c>
      <c r="I1636" s="24">
        <v>46122</v>
      </c>
      <c r="J1636" s="23" t="s">
        <v>3465</v>
      </c>
      <c r="K1636" s="23" t="s">
        <v>3465</v>
      </c>
      <c r="L1636" s="23">
        <v>1</v>
      </c>
      <c r="M1636" s="23" t="s">
        <v>78</v>
      </c>
      <c r="N1636" s="23" t="s">
        <v>78</v>
      </c>
      <c r="O1636" s="23">
        <v>0.01</v>
      </c>
      <c r="P1636" s="23" t="s">
        <v>79</v>
      </c>
      <c r="Q1636" s="23" t="s">
        <v>83</v>
      </c>
      <c r="R1636" s="23">
        <v>11100176</v>
      </c>
      <c r="S1636" s="24">
        <v>46093</v>
      </c>
      <c r="T1636" s="24">
        <v>46050</v>
      </c>
      <c r="U1636" s="24" t="s">
        <v>80</v>
      </c>
      <c r="X1636" s="24">
        <v>46050</v>
      </c>
      <c r="Y1636" s="23">
        <v>1111</v>
      </c>
      <c r="Z1636" s="23">
        <v>11100320</v>
      </c>
      <c r="AA1636" s="23">
        <v>3951</v>
      </c>
      <c r="AB1636" s="24">
        <v>46049</v>
      </c>
    </row>
    <row r="1637" spans="2:28" x14ac:dyDescent="0.2">
      <c r="B1637" s="23" t="s">
        <v>81</v>
      </c>
      <c r="C1637" s="23">
        <v>1100575253</v>
      </c>
      <c r="H1637" s="24">
        <v>46122</v>
      </c>
      <c r="O1637" s="23">
        <v>7727.66</v>
      </c>
      <c r="P1637" s="23" t="s">
        <v>79</v>
      </c>
    </row>
    <row r="1638" spans="2:28" x14ac:dyDescent="0.2">
      <c r="C1638" s="23">
        <v>1100575308</v>
      </c>
      <c r="E1638" s="23">
        <v>10</v>
      </c>
      <c r="F1638" s="23" t="s">
        <v>691</v>
      </c>
      <c r="G1638" s="23" t="s">
        <v>1891</v>
      </c>
      <c r="H1638" s="24">
        <v>46122</v>
      </c>
      <c r="I1638" s="24">
        <v>46122</v>
      </c>
      <c r="J1638" s="23" t="s">
        <v>685</v>
      </c>
      <c r="K1638" s="23" t="s">
        <v>685</v>
      </c>
      <c r="L1638" s="23">
        <v>2</v>
      </c>
      <c r="M1638" s="23" t="s">
        <v>78</v>
      </c>
      <c r="N1638" s="23" t="s">
        <v>78</v>
      </c>
      <c r="O1638" s="23">
        <v>1353.08</v>
      </c>
      <c r="P1638" s="23" t="s">
        <v>79</v>
      </c>
      <c r="Q1638" s="23" t="s">
        <v>83</v>
      </c>
      <c r="R1638" s="23">
        <v>11100176</v>
      </c>
      <c r="S1638" s="24">
        <v>46065</v>
      </c>
      <c r="T1638" s="24">
        <v>46051</v>
      </c>
      <c r="U1638" s="24">
        <v>47116</v>
      </c>
      <c r="X1638" s="24">
        <v>46050</v>
      </c>
      <c r="Y1638" s="23">
        <v>1111</v>
      </c>
      <c r="Z1638" s="23">
        <v>11400937</v>
      </c>
      <c r="AA1638" s="23">
        <v>505103</v>
      </c>
      <c r="AB1638" s="24">
        <v>46050</v>
      </c>
    </row>
    <row r="1639" spans="2:28" x14ac:dyDescent="0.2">
      <c r="B1639" s="23" t="s">
        <v>81</v>
      </c>
      <c r="C1639" s="23">
        <v>1100575308</v>
      </c>
      <c r="H1639" s="24">
        <v>46122</v>
      </c>
      <c r="O1639" s="23">
        <v>1353.08</v>
      </c>
      <c r="P1639" s="23" t="s">
        <v>79</v>
      </c>
    </row>
    <row r="1640" spans="2:28" x14ac:dyDescent="0.2">
      <c r="C1640" s="23">
        <v>1100575431</v>
      </c>
      <c r="E1640" s="23">
        <v>10</v>
      </c>
      <c r="F1640" s="23" t="s">
        <v>3466</v>
      </c>
      <c r="G1640" s="23" t="s">
        <v>3467</v>
      </c>
      <c r="H1640" s="24">
        <v>46122</v>
      </c>
      <c r="I1640" s="24">
        <v>46122</v>
      </c>
      <c r="J1640" s="23" t="s">
        <v>878</v>
      </c>
      <c r="K1640" s="23" t="s">
        <v>878</v>
      </c>
      <c r="L1640" s="23">
        <v>3</v>
      </c>
      <c r="M1640" s="23" t="s">
        <v>78</v>
      </c>
      <c r="N1640" s="23" t="s">
        <v>78</v>
      </c>
      <c r="O1640" s="23">
        <v>12154.71</v>
      </c>
      <c r="P1640" s="23" t="s">
        <v>79</v>
      </c>
      <c r="Q1640" s="23" t="s">
        <v>83</v>
      </c>
      <c r="R1640" s="23">
        <v>11100176</v>
      </c>
      <c r="S1640" s="24">
        <v>46122</v>
      </c>
      <c r="T1640" s="24">
        <v>46051</v>
      </c>
      <c r="U1640" s="24" t="s">
        <v>80</v>
      </c>
      <c r="X1640" s="24">
        <v>46050</v>
      </c>
      <c r="Y1640" s="23">
        <v>1111</v>
      </c>
      <c r="Z1640" s="23">
        <v>11400704</v>
      </c>
      <c r="AA1640" s="23">
        <v>335103</v>
      </c>
      <c r="AB1640" s="24">
        <v>46051</v>
      </c>
    </row>
    <row r="1641" spans="2:28" x14ac:dyDescent="0.2">
      <c r="C1641" s="23">
        <v>1100575431</v>
      </c>
      <c r="E1641" s="23">
        <v>20</v>
      </c>
      <c r="F1641" s="23" t="s">
        <v>3468</v>
      </c>
      <c r="G1641" s="23" t="s">
        <v>3469</v>
      </c>
      <c r="H1641" s="24">
        <v>46122</v>
      </c>
      <c r="I1641" s="24">
        <v>46122</v>
      </c>
      <c r="J1641" s="23" t="s">
        <v>878</v>
      </c>
      <c r="K1641" s="23" t="s">
        <v>878</v>
      </c>
      <c r="L1641" s="23">
        <v>3</v>
      </c>
      <c r="M1641" s="23" t="s">
        <v>78</v>
      </c>
      <c r="N1641" s="23" t="s">
        <v>78</v>
      </c>
      <c r="O1641" s="23">
        <v>11526.15</v>
      </c>
      <c r="P1641" s="23" t="s">
        <v>79</v>
      </c>
      <c r="Q1641" s="23" t="s">
        <v>83</v>
      </c>
      <c r="R1641" s="23">
        <v>11100176</v>
      </c>
      <c r="S1641" s="24">
        <v>46122</v>
      </c>
      <c r="T1641" s="24">
        <v>46051</v>
      </c>
      <c r="U1641" s="24" t="s">
        <v>80</v>
      </c>
      <c r="X1641" s="24">
        <v>46050</v>
      </c>
      <c r="Y1641" s="23">
        <v>1111</v>
      </c>
      <c r="Z1641" s="23">
        <v>11400704</v>
      </c>
      <c r="AA1641" s="23">
        <v>335103</v>
      </c>
      <c r="AB1641" s="24">
        <v>46051</v>
      </c>
    </row>
    <row r="1642" spans="2:28" x14ac:dyDescent="0.2">
      <c r="C1642" s="23">
        <v>1100575431</v>
      </c>
      <c r="E1642" s="23">
        <v>30</v>
      </c>
      <c r="F1642" s="23" t="s">
        <v>3470</v>
      </c>
      <c r="G1642" s="23" t="s">
        <v>3471</v>
      </c>
      <c r="H1642" s="24">
        <v>46122</v>
      </c>
      <c r="I1642" s="24">
        <v>46122</v>
      </c>
      <c r="J1642" s="23" t="s">
        <v>878</v>
      </c>
      <c r="K1642" s="23" t="s">
        <v>878</v>
      </c>
      <c r="L1642" s="23">
        <v>6</v>
      </c>
      <c r="M1642" s="23" t="s">
        <v>78</v>
      </c>
      <c r="N1642" s="23" t="s">
        <v>78</v>
      </c>
      <c r="O1642" s="23">
        <v>13957.8</v>
      </c>
      <c r="P1642" s="23" t="s">
        <v>79</v>
      </c>
      <c r="Q1642" s="23" t="s">
        <v>83</v>
      </c>
      <c r="R1642" s="23">
        <v>11100176</v>
      </c>
      <c r="S1642" s="24">
        <v>46122</v>
      </c>
      <c r="T1642" s="24">
        <v>46051</v>
      </c>
      <c r="U1642" s="24" t="s">
        <v>80</v>
      </c>
      <c r="X1642" s="24">
        <v>46050</v>
      </c>
      <c r="Y1642" s="23">
        <v>1111</v>
      </c>
      <c r="Z1642" s="23">
        <v>11400704</v>
      </c>
      <c r="AA1642" s="23">
        <v>335103</v>
      </c>
      <c r="AB1642" s="24">
        <v>46051</v>
      </c>
    </row>
    <row r="1643" spans="2:28" x14ac:dyDescent="0.2">
      <c r="C1643" s="23">
        <v>1100575431</v>
      </c>
      <c r="E1643" s="23">
        <v>40</v>
      </c>
      <c r="F1643" s="23" t="s">
        <v>3472</v>
      </c>
      <c r="G1643" s="23" t="s">
        <v>3473</v>
      </c>
      <c r="H1643" s="24">
        <v>46122</v>
      </c>
      <c r="I1643" s="24">
        <v>46122</v>
      </c>
      <c r="J1643" s="23" t="s">
        <v>878</v>
      </c>
      <c r="K1643" s="23" t="s">
        <v>878</v>
      </c>
      <c r="L1643" s="23">
        <v>3</v>
      </c>
      <c r="M1643" s="23" t="s">
        <v>566</v>
      </c>
      <c r="N1643" s="23" t="s">
        <v>566</v>
      </c>
      <c r="O1643" s="23">
        <v>9276.39</v>
      </c>
      <c r="P1643" s="23" t="s">
        <v>79</v>
      </c>
      <c r="Q1643" s="23" t="s">
        <v>83</v>
      </c>
      <c r="R1643" s="23">
        <v>11100176</v>
      </c>
      <c r="S1643" s="24">
        <v>46122</v>
      </c>
      <c r="T1643" s="24">
        <v>46051</v>
      </c>
      <c r="U1643" s="24" t="s">
        <v>80</v>
      </c>
      <c r="X1643" s="24">
        <v>46050</v>
      </c>
      <c r="Y1643" s="23">
        <v>1111</v>
      </c>
      <c r="Z1643" s="23">
        <v>11400704</v>
      </c>
      <c r="AA1643" s="23">
        <v>335103</v>
      </c>
      <c r="AB1643" s="24">
        <v>46051</v>
      </c>
    </row>
    <row r="1644" spans="2:28" x14ac:dyDescent="0.2">
      <c r="C1644" s="23">
        <v>1100575431</v>
      </c>
      <c r="E1644" s="23">
        <v>50</v>
      </c>
      <c r="F1644" s="23" t="s">
        <v>3474</v>
      </c>
      <c r="G1644" s="23" t="s">
        <v>3475</v>
      </c>
      <c r="H1644" s="24">
        <v>46122</v>
      </c>
      <c r="I1644" s="24">
        <v>46122</v>
      </c>
      <c r="J1644" s="23" t="s">
        <v>878</v>
      </c>
      <c r="K1644" s="23" t="s">
        <v>878</v>
      </c>
      <c r="L1644" s="23">
        <v>4</v>
      </c>
      <c r="M1644" s="23" t="s">
        <v>566</v>
      </c>
      <c r="N1644" s="23" t="s">
        <v>566</v>
      </c>
      <c r="O1644" s="23">
        <v>15070.28</v>
      </c>
      <c r="P1644" s="23" t="s">
        <v>79</v>
      </c>
      <c r="Q1644" s="23" t="s">
        <v>83</v>
      </c>
      <c r="R1644" s="23">
        <v>11100176</v>
      </c>
      <c r="S1644" s="24">
        <v>46122</v>
      </c>
      <c r="T1644" s="24">
        <v>46051</v>
      </c>
      <c r="U1644" s="24" t="s">
        <v>80</v>
      </c>
      <c r="X1644" s="24">
        <v>46050</v>
      </c>
      <c r="Y1644" s="23">
        <v>1111</v>
      </c>
      <c r="Z1644" s="23">
        <v>11400704</v>
      </c>
      <c r="AA1644" s="23">
        <v>335103</v>
      </c>
      <c r="AB1644" s="24">
        <v>46051</v>
      </c>
    </row>
    <row r="1645" spans="2:28" x14ac:dyDescent="0.2">
      <c r="C1645" s="23">
        <v>1100575431</v>
      </c>
      <c r="E1645" s="23">
        <v>60</v>
      </c>
      <c r="F1645" s="23" t="s">
        <v>3476</v>
      </c>
      <c r="G1645" s="23" t="s">
        <v>3477</v>
      </c>
      <c r="H1645" s="24">
        <v>46122</v>
      </c>
      <c r="I1645" s="24">
        <v>46122</v>
      </c>
      <c r="J1645" s="23" t="s">
        <v>878</v>
      </c>
      <c r="K1645" s="23" t="s">
        <v>878</v>
      </c>
      <c r="L1645" s="23">
        <v>3</v>
      </c>
      <c r="M1645" s="23" t="s">
        <v>566</v>
      </c>
      <c r="N1645" s="23" t="s">
        <v>566</v>
      </c>
      <c r="O1645" s="23">
        <v>11302.71</v>
      </c>
      <c r="P1645" s="23" t="s">
        <v>79</v>
      </c>
      <c r="Q1645" s="23" t="s">
        <v>83</v>
      </c>
      <c r="R1645" s="23">
        <v>11100176</v>
      </c>
      <c r="S1645" s="24">
        <v>46122</v>
      </c>
      <c r="T1645" s="24">
        <v>46051</v>
      </c>
      <c r="U1645" s="24" t="s">
        <v>80</v>
      </c>
      <c r="X1645" s="24">
        <v>46050</v>
      </c>
      <c r="Y1645" s="23">
        <v>1111</v>
      </c>
      <c r="Z1645" s="23">
        <v>11400704</v>
      </c>
      <c r="AA1645" s="23">
        <v>335103</v>
      </c>
      <c r="AB1645" s="24">
        <v>46051</v>
      </c>
    </row>
    <row r="1646" spans="2:28" x14ac:dyDescent="0.2">
      <c r="C1646" s="23">
        <v>1100575431</v>
      </c>
      <c r="E1646" s="23">
        <v>70</v>
      </c>
      <c r="F1646" s="23" t="s">
        <v>209</v>
      </c>
      <c r="G1646" s="23" t="s">
        <v>210</v>
      </c>
      <c r="H1646" s="24">
        <v>46122</v>
      </c>
      <c r="I1646" s="24">
        <v>46122</v>
      </c>
      <c r="J1646" s="23" t="s">
        <v>878</v>
      </c>
      <c r="K1646" s="23" t="s">
        <v>878</v>
      </c>
      <c r="L1646" s="23">
        <v>1</v>
      </c>
      <c r="M1646" s="23" t="s">
        <v>78</v>
      </c>
      <c r="N1646" s="23" t="s">
        <v>78</v>
      </c>
      <c r="O1646" s="23">
        <v>0</v>
      </c>
      <c r="P1646" s="23" t="s">
        <v>79</v>
      </c>
      <c r="Q1646" s="23" t="s">
        <v>83</v>
      </c>
      <c r="R1646" s="23">
        <v>11100176</v>
      </c>
      <c r="S1646" s="24" t="s">
        <v>80</v>
      </c>
      <c r="T1646" s="24">
        <v>46051</v>
      </c>
      <c r="U1646" s="24" t="s">
        <v>80</v>
      </c>
      <c r="X1646" s="24">
        <v>46050</v>
      </c>
      <c r="Y1646" s="23">
        <v>1111</v>
      </c>
      <c r="Z1646" s="23">
        <v>11400704</v>
      </c>
      <c r="AA1646" s="23">
        <v>335103</v>
      </c>
      <c r="AB1646" s="24">
        <v>46051</v>
      </c>
    </row>
    <row r="1647" spans="2:28" x14ac:dyDescent="0.2">
      <c r="B1647" s="23" t="s">
        <v>81</v>
      </c>
      <c r="C1647" s="23">
        <v>1100575431</v>
      </c>
      <c r="H1647" s="24">
        <v>46122</v>
      </c>
      <c r="O1647" s="23">
        <v>73288.039999999994</v>
      </c>
      <c r="P1647" s="23" t="s">
        <v>79</v>
      </c>
    </row>
    <row r="1648" spans="2:28" x14ac:dyDescent="0.2">
      <c r="C1648" s="23">
        <v>1100575579</v>
      </c>
      <c r="E1648" s="23">
        <v>30</v>
      </c>
      <c r="F1648" s="23" t="s">
        <v>3478</v>
      </c>
      <c r="G1648" s="23" t="s">
        <v>3479</v>
      </c>
      <c r="H1648" s="24">
        <v>46122</v>
      </c>
      <c r="I1648" s="24">
        <v>46122</v>
      </c>
      <c r="J1648" s="23" t="s">
        <v>3480</v>
      </c>
      <c r="K1648" s="23" t="s">
        <v>3480</v>
      </c>
      <c r="L1648" s="23">
        <v>1</v>
      </c>
      <c r="M1648" s="23" t="s">
        <v>566</v>
      </c>
      <c r="N1648" s="23" t="s">
        <v>566</v>
      </c>
      <c r="O1648" s="23">
        <v>2480.2800000000002</v>
      </c>
      <c r="P1648" s="23" t="s">
        <v>79</v>
      </c>
      <c r="Q1648" s="23" t="s">
        <v>83</v>
      </c>
      <c r="R1648" s="23">
        <v>11100176</v>
      </c>
      <c r="S1648" s="24">
        <v>46122</v>
      </c>
      <c r="T1648" s="24">
        <v>46052</v>
      </c>
      <c r="U1648" s="24">
        <v>47116</v>
      </c>
      <c r="X1648" s="24">
        <v>46052</v>
      </c>
      <c r="Y1648" s="23">
        <v>1111</v>
      </c>
      <c r="Z1648" s="23">
        <v>11400937</v>
      </c>
      <c r="AA1648" s="23">
        <v>335103</v>
      </c>
      <c r="AB1648" s="24">
        <v>46052</v>
      </c>
    </row>
    <row r="1649" spans="2:28" x14ac:dyDescent="0.2">
      <c r="B1649" s="23" t="s">
        <v>81</v>
      </c>
      <c r="C1649" s="23">
        <v>1100575579</v>
      </c>
      <c r="H1649" s="24">
        <v>46122</v>
      </c>
      <c r="O1649" s="23">
        <v>2480.2800000000002</v>
      </c>
      <c r="P1649" s="23" t="s">
        <v>79</v>
      </c>
    </row>
    <row r="1650" spans="2:28" x14ac:dyDescent="0.2">
      <c r="C1650" s="23">
        <v>1100576254</v>
      </c>
      <c r="E1650" s="23">
        <v>10</v>
      </c>
      <c r="F1650" s="23" t="s">
        <v>3481</v>
      </c>
      <c r="G1650" s="23" t="s">
        <v>3482</v>
      </c>
      <c r="H1650" s="24">
        <v>46122</v>
      </c>
      <c r="I1650" s="24">
        <v>46122</v>
      </c>
      <c r="J1650" s="23" t="s">
        <v>727</v>
      </c>
      <c r="K1650" s="23" t="s">
        <v>727</v>
      </c>
      <c r="L1650" s="23">
        <v>1</v>
      </c>
      <c r="M1650" s="23" t="s">
        <v>78</v>
      </c>
      <c r="N1650" s="23" t="s">
        <v>78</v>
      </c>
      <c r="O1650" s="23">
        <v>2039.1</v>
      </c>
      <c r="P1650" s="23" t="s">
        <v>79</v>
      </c>
      <c r="Q1650" s="23" t="s">
        <v>83</v>
      </c>
      <c r="R1650" s="23">
        <v>11100176</v>
      </c>
      <c r="S1650" s="24">
        <v>46122</v>
      </c>
      <c r="T1650" s="24">
        <v>46062</v>
      </c>
      <c r="U1650" s="24" t="s">
        <v>80</v>
      </c>
      <c r="X1650" s="24">
        <v>46059</v>
      </c>
      <c r="Y1650" s="23">
        <v>1111</v>
      </c>
      <c r="Z1650" s="23">
        <v>11100137</v>
      </c>
      <c r="AA1650" s="23">
        <v>5051</v>
      </c>
      <c r="AB1650" s="24">
        <v>46057</v>
      </c>
    </row>
    <row r="1651" spans="2:28" x14ac:dyDescent="0.2">
      <c r="C1651" s="23">
        <v>1100576254</v>
      </c>
      <c r="E1651" s="23">
        <v>20</v>
      </c>
      <c r="F1651" s="23" t="s">
        <v>209</v>
      </c>
      <c r="G1651" s="23" t="s">
        <v>210</v>
      </c>
      <c r="H1651" s="24">
        <v>46122</v>
      </c>
      <c r="I1651" s="24">
        <v>46122</v>
      </c>
      <c r="J1651" s="23" t="s">
        <v>727</v>
      </c>
      <c r="K1651" s="23" t="s">
        <v>727</v>
      </c>
      <c r="L1651" s="23">
        <v>1</v>
      </c>
      <c r="M1651" s="23" t="s">
        <v>78</v>
      </c>
      <c r="N1651" s="23" t="s">
        <v>78</v>
      </c>
      <c r="O1651" s="23">
        <v>0.01</v>
      </c>
      <c r="P1651" s="23" t="s">
        <v>79</v>
      </c>
      <c r="Q1651" s="23" t="s">
        <v>83</v>
      </c>
      <c r="R1651" s="23">
        <v>11100176</v>
      </c>
      <c r="S1651" s="24" t="s">
        <v>80</v>
      </c>
      <c r="T1651" s="24">
        <v>46062</v>
      </c>
      <c r="U1651" s="24" t="s">
        <v>80</v>
      </c>
      <c r="X1651" s="24">
        <v>46059</v>
      </c>
      <c r="Y1651" s="23">
        <v>1111</v>
      </c>
      <c r="Z1651" s="23">
        <v>11100137</v>
      </c>
      <c r="AA1651" s="23">
        <v>5051</v>
      </c>
      <c r="AB1651" s="24">
        <v>46057</v>
      </c>
    </row>
    <row r="1652" spans="2:28" x14ac:dyDescent="0.2">
      <c r="B1652" s="23" t="s">
        <v>81</v>
      </c>
      <c r="C1652" s="23">
        <v>1100576254</v>
      </c>
      <c r="H1652" s="24">
        <v>46122</v>
      </c>
      <c r="O1652" s="23">
        <v>2039.11</v>
      </c>
      <c r="P1652" s="23" t="s">
        <v>79</v>
      </c>
    </row>
    <row r="1653" spans="2:28" x14ac:dyDescent="0.2">
      <c r="C1653" s="23">
        <v>1100576601</v>
      </c>
      <c r="E1653" s="23">
        <v>10</v>
      </c>
      <c r="F1653" s="23" t="s">
        <v>87</v>
      </c>
      <c r="G1653" s="23" t="s">
        <v>3483</v>
      </c>
      <c r="H1653" s="24">
        <v>46122</v>
      </c>
      <c r="I1653" s="24">
        <v>46122</v>
      </c>
      <c r="J1653" s="23" t="s">
        <v>135</v>
      </c>
      <c r="K1653" s="23" t="s">
        <v>135</v>
      </c>
      <c r="L1653" s="23">
        <v>1</v>
      </c>
      <c r="M1653" s="23" t="s">
        <v>78</v>
      </c>
      <c r="N1653" s="23" t="s">
        <v>78</v>
      </c>
      <c r="O1653" s="23">
        <v>958.44</v>
      </c>
      <c r="P1653" s="23" t="s">
        <v>79</v>
      </c>
      <c r="Q1653" s="23" t="s">
        <v>83</v>
      </c>
      <c r="R1653" s="23">
        <v>11100176</v>
      </c>
      <c r="S1653" s="24">
        <v>46100</v>
      </c>
      <c r="T1653" s="24">
        <v>46065</v>
      </c>
      <c r="U1653" s="24" t="s">
        <v>80</v>
      </c>
      <c r="X1653" s="24">
        <v>46062</v>
      </c>
      <c r="Y1653" s="23">
        <v>1111</v>
      </c>
      <c r="Z1653" s="23">
        <v>11400895</v>
      </c>
      <c r="AA1653" s="23">
        <v>3351</v>
      </c>
      <c r="AB1653" s="24">
        <v>46050</v>
      </c>
    </row>
    <row r="1654" spans="2:28" x14ac:dyDescent="0.2">
      <c r="C1654" s="23">
        <v>1100576601</v>
      </c>
      <c r="E1654" s="23">
        <v>20</v>
      </c>
      <c r="F1654" s="23" t="s">
        <v>84</v>
      </c>
      <c r="G1654" s="23" t="s">
        <v>123</v>
      </c>
      <c r="H1654" s="24">
        <v>46122</v>
      </c>
      <c r="I1654" s="24">
        <v>46122</v>
      </c>
      <c r="J1654" s="23" t="s">
        <v>135</v>
      </c>
      <c r="K1654" s="23" t="s">
        <v>135</v>
      </c>
      <c r="L1654" s="23">
        <v>1</v>
      </c>
      <c r="M1654" s="23" t="s">
        <v>78</v>
      </c>
      <c r="N1654" s="23" t="s">
        <v>78</v>
      </c>
      <c r="O1654" s="23">
        <v>0.01</v>
      </c>
      <c r="P1654" s="23" t="s">
        <v>79</v>
      </c>
      <c r="Q1654" s="23" t="s">
        <v>83</v>
      </c>
      <c r="R1654" s="23">
        <v>11100176</v>
      </c>
      <c r="S1654" s="24" t="s">
        <v>80</v>
      </c>
      <c r="T1654" s="24">
        <v>46065</v>
      </c>
      <c r="U1654" s="24" t="s">
        <v>80</v>
      </c>
      <c r="X1654" s="24">
        <v>46062</v>
      </c>
      <c r="Y1654" s="23">
        <v>1111</v>
      </c>
      <c r="Z1654" s="23">
        <v>11400895</v>
      </c>
      <c r="AA1654" s="23">
        <v>3351</v>
      </c>
      <c r="AB1654" s="24">
        <v>46050</v>
      </c>
    </row>
    <row r="1655" spans="2:28" x14ac:dyDescent="0.2">
      <c r="C1655" s="23">
        <v>1100576601</v>
      </c>
      <c r="E1655" s="23">
        <v>30</v>
      </c>
      <c r="F1655" s="23" t="s">
        <v>82</v>
      </c>
      <c r="G1655" s="23" t="s">
        <v>139</v>
      </c>
      <c r="H1655" s="24">
        <v>46122</v>
      </c>
      <c r="I1655" s="24">
        <v>46122</v>
      </c>
      <c r="J1655" s="23" t="s">
        <v>135</v>
      </c>
      <c r="K1655" s="23" t="s">
        <v>135</v>
      </c>
      <c r="L1655" s="23">
        <v>1</v>
      </c>
      <c r="M1655" s="23" t="s">
        <v>78</v>
      </c>
      <c r="N1655" s="23" t="s">
        <v>78</v>
      </c>
      <c r="O1655" s="23">
        <v>0.01</v>
      </c>
      <c r="P1655" s="23" t="s">
        <v>79</v>
      </c>
      <c r="Q1655" s="23" t="s">
        <v>83</v>
      </c>
      <c r="R1655" s="23">
        <v>11100176</v>
      </c>
      <c r="S1655" s="24" t="s">
        <v>80</v>
      </c>
      <c r="T1655" s="24">
        <v>46065</v>
      </c>
      <c r="U1655" s="24" t="s">
        <v>80</v>
      </c>
      <c r="X1655" s="24">
        <v>46062</v>
      </c>
      <c r="Y1655" s="23">
        <v>1111</v>
      </c>
      <c r="Z1655" s="23">
        <v>11400895</v>
      </c>
      <c r="AA1655" s="23">
        <v>3351</v>
      </c>
      <c r="AB1655" s="24">
        <v>46050</v>
      </c>
    </row>
    <row r="1656" spans="2:28" x14ac:dyDescent="0.2">
      <c r="B1656" s="23" t="s">
        <v>81</v>
      </c>
      <c r="C1656" s="23">
        <v>1100576601</v>
      </c>
      <c r="H1656" s="24">
        <v>46122</v>
      </c>
      <c r="O1656" s="23">
        <v>958.46</v>
      </c>
      <c r="P1656" s="23" t="s">
        <v>79</v>
      </c>
    </row>
    <row r="1657" spans="2:28" x14ac:dyDescent="0.2">
      <c r="C1657" s="23">
        <v>1100576690</v>
      </c>
      <c r="E1657" s="23">
        <v>10</v>
      </c>
      <c r="F1657" s="23" t="s">
        <v>3484</v>
      </c>
      <c r="G1657" s="23" t="s">
        <v>3485</v>
      </c>
      <c r="H1657" s="24">
        <v>46122</v>
      </c>
      <c r="I1657" s="24">
        <v>46122</v>
      </c>
      <c r="J1657" s="23" t="s">
        <v>3486</v>
      </c>
      <c r="K1657" s="23" t="s">
        <v>3486</v>
      </c>
      <c r="L1657" s="23">
        <v>2</v>
      </c>
      <c r="M1657" s="23" t="s">
        <v>78</v>
      </c>
      <c r="N1657" s="23" t="s">
        <v>78</v>
      </c>
      <c r="O1657" s="23">
        <v>384.72</v>
      </c>
      <c r="P1657" s="23" t="s">
        <v>79</v>
      </c>
      <c r="Q1657" s="23" t="s">
        <v>83</v>
      </c>
      <c r="R1657" s="23">
        <v>11100176</v>
      </c>
      <c r="S1657" s="24">
        <v>46094</v>
      </c>
      <c r="T1657" s="24">
        <v>46065</v>
      </c>
      <c r="U1657" s="24" t="s">
        <v>80</v>
      </c>
      <c r="X1657" s="24">
        <v>46062</v>
      </c>
      <c r="Y1657" s="23">
        <v>1111</v>
      </c>
      <c r="Z1657" s="23">
        <v>11400704</v>
      </c>
      <c r="AA1657" s="23">
        <v>335103</v>
      </c>
      <c r="AB1657" s="24">
        <v>46064</v>
      </c>
    </row>
    <row r="1658" spans="2:28" x14ac:dyDescent="0.2">
      <c r="B1658" s="23" t="s">
        <v>81</v>
      </c>
      <c r="C1658" s="23">
        <v>1100576690</v>
      </c>
      <c r="H1658" s="24">
        <v>46122</v>
      </c>
      <c r="O1658" s="23">
        <v>384.72</v>
      </c>
      <c r="P1658" s="23" t="s">
        <v>79</v>
      </c>
    </row>
    <row r="1659" spans="2:28" x14ac:dyDescent="0.2">
      <c r="C1659" s="23">
        <v>1100576845</v>
      </c>
      <c r="E1659" s="23">
        <v>10</v>
      </c>
      <c r="F1659" s="23" t="s">
        <v>722</v>
      </c>
      <c r="G1659" s="23" t="s">
        <v>723</v>
      </c>
      <c r="H1659" s="24">
        <v>46122</v>
      </c>
      <c r="I1659" s="24">
        <v>46122</v>
      </c>
      <c r="J1659" s="23" t="s">
        <v>256</v>
      </c>
      <c r="K1659" s="23" t="s">
        <v>256</v>
      </c>
      <c r="L1659" s="23">
        <v>2</v>
      </c>
      <c r="M1659" s="23" t="s">
        <v>78</v>
      </c>
      <c r="N1659" s="23" t="s">
        <v>78</v>
      </c>
      <c r="O1659" s="23">
        <v>5741.28</v>
      </c>
      <c r="P1659" s="23" t="s">
        <v>79</v>
      </c>
      <c r="Q1659" s="23" t="s">
        <v>83</v>
      </c>
      <c r="R1659" s="23">
        <v>11100176</v>
      </c>
      <c r="S1659" s="24">
        <v>46073</v>
      </c>
      <c r="T1659" s="24">
        <v>46066</v>
      </c>
      <c r="U1659" s="24" t="s">
        <v>80</v>
      </c>
      <c r="X1659" s="24">
        <v>46065</v>
      </c>
      <c r="Y1659" s="23">
        <v>1111</v>
      </c>
      <c r="Z1659" s="23">
        <v>11600003</v>
      </c>
      <c r="AA1659" s="23">
        <v>515103</v>
      </c>
      <c r="AB1659" s="24">
        <v>46063</v>
      </c>
    </row>
    <row r="1660" spans="2:28" x14ac:dyDescent="0.2">
      <c r="B1660" s="23" t="s">
        <v>81</v>
      </c>
      <c r="C1660" s="23">
        <v>1100576845</v>
      </c>
      <c r="H1660" s="24">
        <v>46122</v>
      </c>
      <c r="O1660" s="23">
        <v>5741.28</v>
      </c>
      <c r="P1660" s="23" t="s">
        <v>79</v>
      </c>
    </row>
    <row r="1661" spans="2:28" x14ac:dyDescent="0.2">
      <c r="C1661" s="23">
        <v>1100576847</v>
      </c>
      <c r="E1661" s="23">
        <v>10</v>
      </c>
      <c r="F1661" s="23" t="s">
        <v>691</v>
      </c>
      <c r="G1661" s="23" t="s">
        <v>1891</v>
      </c>
      <c r="H1661" s="24">
        <v>46122</v>
      </c>
      <c r="I1661" s="24">
        <v>46122</v>
      </c>
      <c r="J1661" s="23" t="s">
        <v>643</v>
      </c>
      <c r="K1661" s="23" t="s">
        <v>643</v>
      </c>
      <c r="L1661" s="23">
        <v>1</v>
      </c>
      <c r="M1661" s="23" t="s">
        <v>78</v>
      </c>
      <c r="N1661" s="23" t="s">
        <v>78</v>
      </c>
      <c r="O1661" s="23">
        <v>473.58</v>
      </c>
      <c r="P1661" s="23" t="s">
        <v>79</v>
      </c>
      <c r="Q1661" s="23" t="s">
        <v>83</v>
      </c>
      <c r="R1661" s="23">
        <v>11100176</v>
      </c>
      <c r="S1661" s="24">
        <v>46122</v>
      </c>
      <c r="T1661" s="24">
        <v>46066</v>
      </c>
      <c r="U1661" s="24" t="s">
        <v>80</v>
      </c>
      <c r="X1661" s="24">
        <v>46065</v>
      </c>
      <c r="Y1661" s="23">
        <v>1111</v>
      </c>
      <c r="Z1661" s="23">
        <v>11100137</v>
      </c>
      <c r="AA1661" s="23">
        <v>5051</v>
      </c>
      <c r="AB1661" s="24">
        <v>46064</v>
      </c>
    </row>
    <row r="1662" spans="2:28" x14ac:dyDescent="0.2">
      <c r="C1662" s="23">
        <v>1100576847</v>
      </c>
      <c r="E1662" s="23">
        <v>20</v>
      </c>
      <c r="F1662" s="23" t="s">
        <v>701</v>
      </c>
      <c r="G1662" s="23" t="s">
        <v>1799</v>
      </c>
      <c r="H1662" s="24">
        <v>46122</v>
      </c>
      <c r="I1662" s="24">
        <v>46122</v>
      </c>
      <c r="J1662" s="23" t="s">
        <v>643</v>
      </c>
      <c r="K1662" s="23" t="s">
        <v>643</v>
      </c>
      <c r="L1662" s="23">
        <v>1</v>
      </c>
      <c r="M1662" s="23" t="s">
        <v>78</v>
      </c>
      <c r="N1662" s="23" t="s">
        <v>78</v>
      </c>
      <c r="O1662" s="23">
        <v>89.8</v>
      </c>
      <c r="P1662" s="23" t="s">
        <v>79</v>
      </c>
      <c r="Q1662" s="23" t="s">
        <v>83</v>
      </c>
      <c r="R1662" s="23">
        <v>11100176</v>
      </c>
      <c r="S1662" s="24">
        <v>46122</v>
      </c>
      <c r="T1662" s="24">
        <v>46066</v>
      </c>
      <c r="U1662" s="24" t="s">
        <v>80</v>
      </c>
      <c r="X1662" s="24">
        <v>46065</v>
      </c>
      <c r="Y1662" s="23">
        <v>1111</v>
      </c>
      <c r="Z1662" s="23">
        <v>11100137</v>
      </c>
      <c r="AA1662" s="23">
        <v>5051</v>
      </c>
      <c r="AB1662" s="24">
        <v>46064</v>
      </c>
    </row>
    <row r="1663" spans="2:28" x14ac:dyDescent="0.2">
      <c r="C1663" s="23">
        <v>1100576847</v>
      </c>
      <c r="E1663" s="23">
        <v>30</v>
      </c>
      <c r="F1663" s="23" t="s">
        <v>3487</v>
      </c>
      <c r="G1663" s="23" t="s">
        <v>3488</v>
      </c>
      <c r="H1663" s="24">
        <v>46122</v>
      </c>
      <c r="I1663" s="24">
        <v>46122</v>
      </c>
      <c r="J1663" s="23" t="s">
        <v>643</v>
      </c>
      <c r="K1663" s="23" t="s">
        <v>643</v>
      </c>
      <c r="L1663" s="23">
        <v>1</v>
      </c>
      <c r="M1663" s="23" t="s">
        <v>78</v>
      </c>
      <c r="N1663" s="23" t="s">
        <v>78</v>
      </c>
      <c r="O1663" s="23">
        <v>12.28</v>
      </c>
      <c r="P1663" s="23" t="s">
        <v>79</v>
      </c>
      <c r="Q1663" s="23" t="s">
        <v>83</v>
      </c>
      <c r="R1663" s="23">
        <v>11100176</v>
      </c>
      <c r="S1663" s="24">
        <v>46122</v>
      </c>
      <c r="T1663" s="24">
        <v>46066</v>
      </c>
      <c r="U1663" s="24" t="s">
        <v>80</v>
      </c>
      <c r="X1663" s="24">
        <v>46065</v>
      </c>
      <c r="Y1663" s="23">
        <v>1111</v>
      </c>
      <c r="Z1663" s="23">
        <v>11100137</v>
      </c>
      <c r="AA1663" s="23">
        <v>5051</v>
      </c>
      <c r="AB1663" s="24">
        <v>46064</v>
      </c>
    </row>
    <row r="1664" spans="2:28" x14ac:dyDescent="0.2">
      <c r="C1664" s="23">
        <v>1100576847</v>
      </c>
      <c r="E1664" s="23">
        <v>40</v>
      </c>
      <c r="F1664" s="23" t="s">
        <v>759</v>
      </c>
      <c r="G1664" s="23" t="s">
        <v>1911</v>
      </c>
      <c r="H1664" s="24">
        <v>46122</v>
      </c>
      <c r="I1664" s="24">
        <v>46122</v>
      </c>
      <c r="J1664" s="23" t="s">
        <v>643</v>
      </c>
      <c r="K1664" s="23" t="s">
        <v>643</v>
      </c>
      <c r="L1664" s="23">
        <v>3</v>
      </c>
      <c r="M1664" s="23" t="s">
        <v>78</v>
      </c>
      <c r="N1664" s="23" t="s">
        <v>78</v>
      </c>
      <c r="O1664" s="23">
        <v>303.95999999999998</v>
      </c>
      <c r="P1664" s="23" t="s">
        <v>79</v>
      </c>
      <c r="Q1664" s="23" t="s">
        <v>83</v>
      </c>
      <c r="R1664" s="23">
        <v>11100176</v>
      </c>
      <c r="S1664" s="24">
        <v>46122</v>
      </c>
      <c r="T1664" s="24">
        <v>46066</v>
      </c>
      <c r="U1664" s="24" t="s">
        <v>80</v>
      </c>
      <c r="X1664" s="24">
        <v>46065</v>
      </c>
      <c r="Y1664" s="23">
        <v>1111</v>
      </c>
      <c r="Z1664" s="23">
        <v>11100137</v>
      </c>
      <c r="AA1664" s="23">
        <v>5051</v>
      </c>
      <c r="AB1664" s="24">
        <v>46064</v>
      </c>
    </row>
    <row r="1665" spans="2:28" x14ac:dyDescent="0.2">
      <c r="C1665" s="23">
        <v>1100576847</v>
      </c>
      <c r="E1665" s="23">
        <v>50</v>
      </c>
      <c r="F1665" s="23" t="s">
        <v>722</v>
      </c>
      <c r="G1665" s="23" t="s">
        <v>723</v>
      </c>
      <c r="H1665" s="24">
        <v>46122</v>
      </c>
      <c r="I1665" s="24">
        <v>46122</v>
      </c>
      <c r="J1665" s="23" t="s">
        <v>643</v>
      </c>
      <c r="K1665" s="23" t="s">
        <v>643</v>
      </c>
      <c r="L1665" s="23">
        <v>2</v>
      </c>
      <c r="M1665" s="23" t="s">
        <v>78</v>
      </c>
      <c r="N1665" s="23" t="s">
        <v>78</v>
      </c>
      <c r="O1665" s="23">
        <v>4018.9</v>
      </c>
      <c r="P1665" s="23" t="s">
        <v>79</v>
      </c>
      <c r="Q1665" s="23" t="s">
        <v>83</v>
      </c>
      <c r="R1665" s="23">
        <v>11100176</v>
      </c>
      <c r="S1665" s="24">
        <v>46122</v>
      </c>
      <c r="T1665" s="24">
        <v>46066</v>
      </c>
      <c r="U1665" s="24" t="s">
        <v>80</v>
      </c>
      <c r="X1665" s="24">
        <v>46065</v>
      </c>
      <c r="Y1665" s="23">
        <v>1111</v>
      </c>
      <c r="Z1665" s="23">
        <v>11100137</v>
      </c>
      <c r="AA1665" s="23">
        <v>5051</v>
      </c>
      <c r="AB1665" s="24">
        <v>46064</v>
      </c>
    </row>
    <row r="1666" spans="2:28" x14ac:dyDescent="0.2">
      <c r="C1666" s="23">
        <v>1100576847</v>
      </c>
      <c r="E1666" s="23">
        <v>60</v>
      </c>
      <c r="F1666" s="23" t="s">
        <v>672</v>
      </c>
      <c r="G1666" s="23" t="s">
        <v>1782</v>
      </c>
      <c r="H1666" s="24">
        <v>46122</v>
      </c>
      <c r="I1666" s="24">
        <v>46122</v>
      </c>
      <c r="J1666" s="23" t="s">
        <v>643</v>
      </c>
      <c r="K1666" s="23" t="s">
        <v>643</v>
      </c>
      <c r="L1666" s="23">
        <v>1</v>
      </c>
      <c r="M1666" s="23" t="s">
        <v>78</v>
      </c>
      <c r="N1666" s="23" t="s">
        <v>78</v>
      </c>
      <c r="O1666" s="23">
        <v>120.51</v>
      </c>
      <c r="P1666" s="23" t="s">
        <v>79</v>
      </c>
      <c r="Q1666" s="23" t="s">
        <v>83</v>
      </c>
      <c r="R1666" s="23">
        <v>11100176</v>
      </c>
      <c r="S1666" s="24">
        <v>46122</v>
      </c>
      <c r="T1666" s="24">
        <v>46066</v>
      </c>
      <c r="U1666" s="24" t="s">
        <v>80</v>
      </c>
      <c r="X1666" s="24">
        <v>46065</v>
      </c>
      <c r="Y1666" s="23">
        <v>1111</v>
      </c>
      <c r="Z1666" s="23">
        <v>11100137</v>
      </c>
      <c r="AA1666" s="23">
        <v>5051</v>
      </c>
      <c r="AB1666" s="24">
        <v>46064</v>
      </c>
    </row>
    <row r="1667" spans="2:28" x14ac:dyDescent="0.2">
      <c r="C1667" s="23">
        <v>1100576847</v>
      </c>
      <c r="E1667" s="23">
        <v>70</v>
      </c>
      <c r="F1667" s="23" t="s">
        <v>800</v>
      </c>
      <c r="G1667" s="23" t="s">
        <v>801</v>
      </c>
      <c r="H1667" s="24">
        <v>46122</v>
      </c>
      <c r="I1667" s="24">
        <v>46122</v>
      </c>
      <c r="J1667" s="23" t="s">
        <v>643</v>
      </c>
      <c r="K1667" s="23" t="s">
        <v>643</v>
      </c>
      <c r="L1667" s="23">
        <v>2</v>
      </c>
      <c r="M1667" s="23" t="s">
        <v>78</v>
      </c>
      <c r="N1667" s="23" t="s">
        <v>78</v>
      </c>
      <c r="O1667" s="23">
        <v>13.82</v>
      </c>
      <c r="P1667" s="23" t="s">
        <v>79</v>
      </c>
      <c r="Q1667" s="23" t="s">
        <v>83</v>
      </c>
      <c r="R1667" s="23">
        <v>11100176</v>
      </c>
      <c r="S1667" s="24">
        <v>46122</v>
      </c>
      <c r="T1667" s="24">
        <v>46066</v>
      </c>
      <c r="U1667" s="24" t="s">
        <v>80</v>
      </c>
      <c r="X1667" s="24">
        <v>46065</v>
      </c>
      <c r="Y1667" s="23">
        <v>1111</v>
      </c>
      <c r="Z1667" s="23">
        <v>11100137</v>
      </c>
      <c r="AA1667" s="23">
        <v>5051</v>
      </c>
      <c r="AB1667" s="24">
        <v>46064</v>
      </c>
    </row>
    <row r="1668" spans="2:28" x14ac:dyDescent="0.2">
      <c r="C1668" s="23">
        <v>1100576847</v>
      </c>
      <c r="E1668" s="23">
        <v>80</v>
      </c>
      <c r="F1668" s="23" t="s">
        <v>739</v>
      </c>
      <c r="G1668" s="23" t="s">
        <v>740</v>
      </c>
      <c r="H1668" s="24">
        <v>46122</v>
      </c>
      <c r="I1668" s="24">
        <v>46122</v>
      </c>
      <c r="J1668" s="23" t="s">
        <v>643</v>
      </c>
      <c r="K1668" s="23" t="s">
        <v>643</v>
      </c>
      <c r="L1668" s="23">
        <v>1</v>
      </c>
      <c r="M1668" s="23" t="s">
        <v>78</v>
      </c>
      <c r="N1668" s="23" t="s">
        <v>78</v>
      </c>
      <c r="O1668" s="23">
        <v>26.1</v>
      </c>
      <c r="P1668" s="23" t="s">
        <v>79</v>
      </c>
      <c r="Q1668" s="23" t="s">
        <v>83</v>
      </c>
      <c r="R1668" s="23">
        <v>11100176</v>
      </c>
      <c r="S1668" s="24">
        <v>46122</v>
      </c>
      <c r="T1668" s="24">
        <v>46066</v>
      </c>
      <c r="U1668" s="24" t="s">
        <v>80</v>
      </c>
      <c r="X1668" s="24">
        <v>46065</v>
      </c>
      <c r="Y1668" s="23">
        <v>1111</v>
      </c>
      <c r="Z1668" s="23">
        <v>11100137</v>
      </c>
      <c r="AA1668" s="23">
        <v>5051</v>
      </c>
      <c r="AB1668" s="24">
        <v>46064</v>
      </c>
    </row>
    <row r="1669" spans="2:28" x14ac:dyDescent="0.2">
      <c r="C1669" s="23">
        <v>1100576847</v>
      </c>
      <c r="E1669" s="23">
        <v>90</v>
      </c>
      <c r="F1669" s="23" t="s">
        <v>835</v>
      </c>
      <c r="G1669" s="23" t="s">
        <v>836</v>
      </c>
      <c r="H1669" s="24">
        <v>46122</v>
      </c>
      <c r="I1669" s="24">
        <v>46122</v>
      </c>
      <c r="J1669" s="23" t="s">
        <v>643</v>
      </c>
      <c r="K1669" s="23" t="s">
        <v>643</v>
      </c>
      <c r="L1669" s="23">
        <v>1</v>
      </c>
      <c r="M1669" s="23" t="s">
        <v>78</v>
      </c>
      <c r="N1669" s="23" t="s">
        <v>78</v>
      </c>
      <c r="O1669" s="23">
        <v>88.27</v>
      </c>
      <c r="P1669" s="23" t="s">
        <v>79</v>
      </c>
      <c r="Q1669" s="23" t="s">
        <v>83</v>
      </c>
      <c r="R1669" s="23">
        <v>11100176</v>
      </c>
      <c r="S1669" s="24">
        <v>46122</v>
      </c>
      <c r="T1669" s="24">
        <v>46066</v>
      </c>
      <c r="U1669" s="24" t="s">
        <v>80</v>
      </c>
      <c r="X1669" s="24">
        <v>46065</v>
      </c>
      <c r="Y1669" s="23">
        <v>1111</v>
      </c>
      <c r="Z1669" s="23">
        <v>11100137</v>
      </c>
      <c r="AA1669" s="23">
        <v>5051</v>
      </c>
      <c r="AB1669" s="24">
        <v>46064</v>
      </c>
    </row>
    <row r="1670" spans="2:28" x14ac:dyDescent="0.2">
      <c r="C1670" s="23">
        <v>1100576847</v>
      </c>
      <c r="E1670" s="23">
        <v>100</v>
      </c>
      <c r="F1670" s="23" t="s">
        <v>806</v>
      </c>
      <c r="G1670" s="23" t="s">
        <v>807</v>
      </c>
      <c r="H1670" s="24">
        <v>46122</v>
      </c>
      <c r="I1670" s="24">
        <v>46122</v>
      </c>
      <c r="J1670" s="23" t="s">
        <v>643</v>
      </c>
      <c r="K1670" s="23" t="s">
        <v>643</v>
      </c>
      <c r="L1670" s="23">
        <v>1</v>
      </c>
      <c r="M1670" s="23" t="s">
        <v>78</v>
      </c>
      <c r="N1670" s="23" t="s">
        <v>78</v>
      </c>
      <c r="O1670" s="23">
        <v>246.39</v>
      </c>
      <c r="P1670" s="23" t="s">
        <v>79</v>
      </c>
      <c r="Q1670" s="23" t="s">
        <v>83</v>
      </c>
      <c r="R1670" s="23">
        <v>11100176</v>
      </c>
      <c r="S1670" s="24">
        <v>46122</v>
      </c>
      <c r="T1670" s="24">
        <v>46066</v>
      </c>
      <c r="U1670" s="24" t="s">
        <v>80</v>
      </c>
      <c r="X1670" s="24">
        <v>46065</v>
      </c>
      <c r="Y1670" s="23">
        <v>1111</v>
      </c>
      <c r="Z1670" s="23">
        <v>11100137</v>
      </c>
      <c r="AA1670" s="23">
        <v>5051</v>
      </c>
      <c r="AB1670" s="24">
        <v>46064</v>
      </c>
    </row>
    <row r="1671" spans="2:28" x14ac:dyDescent="0.2">
      <c r="C1671" s="23">
        <v>1100576847</v>
      </c>
      <c r="E1671" s="23">
        <v>110</v>
      </c>
      <c r="F1671" s="23" t="s">
        <v>3489</v>
      </c>
      <c r="G1671" s="23" t="s">
        <v>3490</v>
      </c>
      <c r="H1671" s="24">
        <v>46122</v>
      </c>
      <c r="I1671" s="24">
        <v>46122</v>
      </c>
      <c r="J1671" s="23" t="s">
        <v>643</v>
      </c>
      <c r="K1671" s="23" t="s">
        <v>643</v>
      </c>
      <c r="L1671" s="23">
        <v>1</v>
      </c>
      <c r="M1671" s="23" t="s">
        <v>78</v>
      </c>
      <c r="N1671" s="23" t="s">
        <v>78</v>
      </c>
      <c r="O1671" s="23">
        <v>63.71</v>
      </c>
      <c r="P1671" s="23" t="s">
        <v>79</v>
      </c>
      <c r="Q1671" s="23" t="s">
        <v>83</v>
      </c>
      <c r="R1671" s="23">
        <v>11100176</v>
      </c>
      <c r="S1671" s="24">
        <v>46122</v>
      </c>
      <c r="T1671" s="24">
        <v>46066</v>
      </c>
      <c r="U1671" s="24" t="s">
        <v>80</v>
      </c>
      <c r="X1671" s="24">
        <v>46065</v>
      </c>
      <c r="Y1671" s="23">
        <v>1111</v>
      </c>
      <c r="Z1671" s="23">
        <v>11100137</v>
      </c>
      <c r="AA1671" s="23">
        <v>5051</v>
      </c>
      <c r="AB1671" s="24">
        <v>46064</v>
      </c>
    </row>
    <row r="1672" spans="2:28" x14ac:dyDescent="0.2">
      <c r="C1672" s="23">
        <v>1100576847</v>
      </c>
      <c r="E1672" s="23">
        <v>120</v>
      </c>
      <c r="F1672" s="23" t="s">
        <v>3491</v>
      </c>
      <c r="G1672" s="23" t="s">
        <v>3492</v>
      </c>
      <c r="H1672" s="24">
        <v>46122</v>
      </c>
      <c r="I1672" s="24">
        <v>46122</v>
      </c>
      <c r="J1672" s="23" t="s">
        <v>643</v>
      </c>
      <c r="K1672" s="23" t="s">
        <v>643</v>
      </c>
      <c r="L1672" s="23">
        <v>1</v>
      </c>
      <c r="M1672" s="23" t="s">
        <v>78</v>
      </c>
      <c r="N1672" s="23" t="s">
        <v>78</v>
      </c>
      <c r="O1672" s="23">
        <v>635.53</v>
      </c>
      <c r="P1672" s="23" t="s">
        <v>79</v>
      </c>
      <c r="Q1672" s="23" t="s">
        <v>83</v>
      </c>
      <c r="R1672" s="23">
        <v>11100176</v>
      </c>
      <c r="S1672" s="24">
        <v>46122</v>
      </c>
      <c r="T1672" s="24">
        <v>46066</v>
      </c>
      <c r="U1672" s="24" t="s">
        <v>80</v>
      </c>
      <c r="X1672" s="24">
        <v>46065</v>
      </c>
      <c r="Y1672" s="23">
        <v>1111</v>
      </c>
      <c r="Z1672" s="23">
        <v>11100137</v>
      </c>
      <c r="AA1672" s="23">
        <v>5051</v>
      </c>
      <c r="AB1672" s="24">
        <v>46064</v>
      </c>
    </row>
    <row r="1673" spans="2:28" x14ac:dyDescent="0.2">
      <c r="C1673" s="23">
        <v>1100576847</v>
      </c>
      <c r="E1673" s="23">
        <v>130</v>
      </c>
      <c r="F1673" s="23" t="s">
        <v>823</v>
      </c>
      <c r="G1673" s="23" t="s">
        <v>824</v>
      </c>
      <c r="H1673" s="24">
        <v>46122</v>
      </c>
      <c r="I1673" s="24">
        <v>46122</v>
      </c>
      <c r="J1673" s="23" t="s">
        <v>643</v>
      </c>
      <c r="K1673" s="23" t="s">
        <v>643</v>
      </c>
      <c r="L1673" s="23">
        <v>1</v>
      </c>
      <c r="M1673" s="23" t="s">
        <v>78</v>
      </c>
      <c r="N1673" s="23" t="s">
        <v>78</v>
      </c>
      <c r="O1673" s="23">
        <v>345.4</v>
      </c>
      <c r="P1673" s="23" t="s">
        <v>79</v>
      </c>
      <c r="Q1673" s="23" t="s">
        <v>83</v>
      </c>
      <c r="R1673" s="23">
        <v>11100176</v>
      </c>
      <c r="S1673" s="24">
        <v>46122</v>
      </c>
      <c r="T1673" s="24">
        <v>46066</v>
      </c>
      <c r="U1673" s="24" t="s">
        <v>80</v>
      </c>
      <c r="X1673" s="24">
        <v>46065</v>
      </c>
      <c r="Y1673" s="23">
        <v>1111</v>
      </c>
      <c r="Z1673" s="23">
        <v>11100137</v>
      </c>
      <c r="AA1673" s="23">
        <v>5051</v>
      </c>
      <c r="AB1673" s="24">
        <v>46064</v>
      </c>
    </row>
    <row r="1674" spans="2:28" x14ac:dyDescent="0.2">
      <c r="B1674" s="23" t="s">
        <v>81</v>
      </c>
      <c r="C1674" s="23">
        <v>1100576847</v>
      </c>
      <c r="H1674" s="24">
        <v>46122</v>
      </c>
      <c r="O1674" s="23">
        <v>6438.25</v>
      </c>
      <c r="P1674" s="23" t="s">
        <v>79</v>
      </c>
    </row>
    <row r="1675" spans="2:28" x14ac:dyDescent="0.2">
      <c r="C1675" s="23">
        <v>1100576938</v>
      </c>
      <c r="E1675" s="23">
        <v>10</v>
      </c>
      <c r="F1675" s="23" t="s">
        <v>87</v>
      </c>
      <c r="G1675" s="23" t="s">
        <v>142</v>
      </c>
      <c r="H1675" s="24">
        <v>46122</v>
      </c>
      <c r="I1675" s="24">
        <v>46122</v>
      </c>
      <c r="J1675" s="23" t="s">
        <v>113</v>
      </c>
      <c r="K1675" s="23" t="s">
        <v>113</v>
      </c>
      <c r="L1675" s="23">
        <v>1</v>
      </c>
      <c r="M1675" s="23" t="s">
        <v>78</v>
      </c>
      <c r="N1675" s="23" t="s">
        <v>78</v>
      </c>
      <c r="O1675" s="23">
        <v>7113.92</v>
      </c>
      <c r="P1675" s="23" t="s">
        <v>79</v>
      </c>
      <c r="Q1675" s="23" t="s">
        <v>83</v>
      </c>
      <c r="R1675" s="23">
        <v>11100176</v>
      </c>
      <c r="S1675" s="24">
        <v>46111</v>
      </c>
      <c r="T1675" s="24">
        <v>46069</v>
      </c>
      <c r="U1675" s="24" t="s">
        <v>80</v>
      </c>
      <c r="X1675" s="24">
        <v>46066</v>
      </c>
      <c r="Y1675" s="23">
        <v>1111</v>
      </c>
      <c r="Z1675" s="23">
        <v>11400745</v>
      </c>
      <c r="AA1675" s="23">
        <v>3351</v>
      </c>
      <c r="AB1675" s="24">
        <v>46057</v>
      </c>
    </row>
    <row r="1676" spans="2:28" x14ac:dyDescent="0.2">
      <c r="C1676" s="23">
        <v>1100576938</v>
      </c>
      <c r="E1676" s="23">
        <v>20</v>
      </c>
      <c r="F1676" s="23" t="s">
        <v>84</v>
      </c>
      <c r="G1676" s="23" t="s">
        <v>123</v>
      </c>
      <c r="H1676" s="24">
        <v>46122</v>
      </c>
      <c r="I1676" s="24">
        <v>46122</v>
      </c>
      <c r="J1676" s="23" t="s">
        <v>113</v>
      </c>
      <c r="K1676" s="23" t="s">
        <v>113</v>
      </c>
      <c r="L1676" s="23">
        <v>1</v>
      </c>
      <c r="M1676" s="23" t="s">
        <v>78</v>
      </c>
      <c r="N1676" s="23" t="s">
        <v>78</v>
      </c>
      <c r="O1676" s="23">
        <v>0.01</v>
      </c>
      <c r="P1676" s="23" t="s">
        <v>79</v>
      </c>
      <c r="Q1676" s="23" t="s">
        <v>83</v>
      </c>
      <c r="R1676" s="23">
        <v>11100176</v>
      </c>
      <c r="S1676" s="24" t="s">
        <v>80</v>
      </c>
      <c r="T1676" s="24">
        <v>46069</v>
      </c>
      <c r="U1676" s="24" t="s">
        <v>80</v>
      </c>
      <c r="X1676" s="24">
        <v>46066</v>
      </c>
      <c r="Y1676" s="23">
        <v>1111</v>
      </c>
      <c r="Z1676" s="23">
        <v>11400745</v>
      </c>
      <c r="AA1676" s="23">
        <v>3351</v>
      </c>
      <c r="AB1676" s="24">
        <v>46057</v>
      </c>
    </row>
    <row r="1677" spans="2:28" x14ac:dyDescent="0.2">
      <c r="C1677" s="23">
        <v>1100576938</v>
      </c>
      <c r="E1677" s="23">
        <v>30</v>
      </c>
      <c r="F1677" s="23" t="s">
        <v>82</v>
      </c>
      <c r="G1677" s="23" t="s">
        <v>139</v>
      </c>
      <c r="H1677" s="24">
        <v>46122</v>
      </c>
      <c r="I1677" s="24">
        <v>46122</v>
      </c>
      <c r="J1677" s="23" t="s">
        <v>113</v>
      </c>
      <c r="K1677" s="23" t="s">
        <v>113</v>
      </c>
      <c r="L1677" s="23">
        <v>1</v>
      </c>
      <c r="M1677" s="23" t="s">
        <v>78</v>
      </c>
      <c r="N1677" s="23" t="s">
        <v>78</v>
      </c>
      <c r="O1677" s="23">
        <v>0.01</v>
      </c>
      <c r="P1677" s="23" t="s">
        <v>79</v>
      </c>
      <c r="Q1677" s="23" t="s">
        <v>83</v>
      </c>
      <c r="R1677" s="23">
        <v>11100176</v>
      </c>
      <c r="S1677" s="24" t="s">
        <v>80</v>
      </c>
      <c r="T1677" s="24">
        <v>46069</v>
      </c>
      <c r="U1677" s="24" t="s">
        <v>80</v>
      </c>
      <c r="X1677" s="24">
        <v>46066</v>
      </c>
      <c r="Y1677" s="23">
        <v>1111</v>
      </c>
      <c r="Z1677" s="23">
        <v>11400745</v>
      </c>
      <c r="AA1677" s="23">
        <v>3351</v>
      </c>
      <c r="AB1677" s="24">
        <v>46057</v>
      </c>
    </row>
    <row r="1678" spans="2:28" x14ac:dyDescent="0.2">
      <c r="B1678" s="23" t="s">
        <v>81</v>
      </c>
      <c r="C1678" s="23">
        <v>1100576938</v>
      </c>
      <c r="H1678" s="24">
        <v>46122</v>
      </c>
      <c r="O1678" s="23">
        <v>7113.94</v>
      </c>
      <c r="P1678" s="23" t="s">
        <v>79</v>
      </c>
    </row>
    <row r="1679" spans="2:28" x14ac:dyDescent="0.2">
      <c r="C1679" s="23">
        <v>1100577056</v>
      </c>
      <c r="E1679" s="23">
        <v>10</v>
      </c>
      <c r="F1679" s="23" t="s">
        <v>1804</v>
      </c>
      <c r="G1679" s="23" t="s">
        <v>1805</v>
      </c>
      <c r="H1679" s="24">
        <v>46122</v>
      </c>
      <c r="I1679" s="24">
        <v>46122</v>
      </c>
      <c r="J1679" s="23" t="s">
        <v>968</v>
      </c>
      <c r="K1679" s="23" t="s">
        <v>968</v>
      </c>
      <c r="L1679" s="23">
        <v>14</v>
      </c>
      <c r="M1679" s="23" t="s">
        <v>78</v>
      </c>
      <c r="N1679" s="23" t="s">
        <v>78</v>
      </c>
      <c r="O1679" s="23">
        <v>709.38</v>
      </c>
      <c r="P1679" s="23" t="s">
        <v>79</v>
      </c>
      <c r="Q1679" s="23" t="s">
        <v>83</v>
      </c>
      <c r="R1679" s="23">
        <v>11100176</v>
      </c>
      <c r="S1679" s="24">
        <v>46122</v>
      </c>
      <c r="T1679" s="24">
        <v>46071</v>
      </c>
      <c r="U1679" s="24" t="s">
        <v>80</v>
      </c>
      <c r="X1679" s="24">
        <v>46065</v>
      </c>
      <c r="Y1679" s="23">
        <v>1111</v>
      </c>
      <c r="Z1679" s="23">
        <v>11600003</v>
      </c>
      <c r="AA1679" s="23">
        <v>335103</v>
      </c>
      <c r="AB1679" s="24">
        <v>46066</v>
      </c>
    </row>
    <row r="1680" spans="2:28" x14ac:dyDescent="0.2">
      <c r="C1680" s="23">
        <v>1100577056</v>
      </c>
      <c r="E1680" s="23">
        <v>20</v>
      </c>
      <c r="F1680" s="23" t="s">
        <v>82</v>
      </c>
      <c r="G1680" s="23" t="s">
        <v>139</v>
      </c>
      <c r="H1680" s="24">
        <v>46122</v>
      </c>
      <c r="I1680" s="24">
        <v>46122</v>
      </c>
      <c r="J1680" s="23" t="s">
        <v>968</v>
      </c>
      <c r="K1680" s="23" t="s">
        <v>968</v>
      </c>
      <c r="L1680" s="23">
        <v>1</v>
      </c>
      <c r="M1680" s="23" t="s">
        <v>78</v>
      </c>
      <c r="N1680" s="23" t="s">
        <v>78</v>
      </c>
      <c r="O1680" s="23">
        <v>0.01</v>
      </c>
      <c r="P1680" s="23" t="s">
        <v>79</v>
      </c>
      <c r="Q1680" s="23" t="s">
        <v>83</v>
      </c>
      <c r="R1680" s="23">
        <v>11100176</v>
      </c>
      <c r="S1680" s="24">
        <v>46122</v>
      </c>
      <c r="T1680" s="24">
        <v>46071</v>
      </c>
      <c r="U1680" s="24" t="s">
        <v>80</v>
      </c>
      <c r="X1680" s="24">
        <v>46065</v>
      </c>
      <c r="Y1680" s="23">
        <v>1111</v>
      </c>
      <c r="Z1680" s="23">
        <v>11600003</v>
      </c>
      <c r="AA1680" s="23">
        <v>335103</v>
      </c>
      <c r="AB1680" s="24">
        <v>46066</v>
      </c>
    </row>
    <row r="1681" spans="2:28" x14ac:dyDescent="0.2">
      <c r="B1681" s="23" t="s">
        <v>81</v>
      </c>
      <c r="C1681" s="23">
        <v>1100577056</v>
      </c>
      <c r="H1681" s="24">
        <v>46122</v>
      </c>
      <c r="O1681" s="23">
        <v>709.39</v>
      </c>
      <c r="P1681" s="23" t="s">
        <v>79</v>
      </c>
    </row>
    <row r="1682" spans="2:28" x14ac:dyDescent="0.2">
      <c r="C1682" s="23">
        <v>1100577118</v>
      </c>
      <c r="E1682" s="23">
        <v>40</v>
      </c>
      <c r="F1682" s="23" t="s">
        <v>663</v>
      </c>
      <c r="G1682" s="23" t="s">
        <v>1814</v>
      </c>
      <c r="H1682" s="24">
        <v>46122</v>
      </c>
      <c r="I1682" s="24">
        <v>46122</v>
      </c>
      <c r="J1682" s="23" t="s">
        <v>92</v>
      </c>
      <c r="K1682" s="23" t="s">
        <v>92</v>
      </c>
      <c r="L1682" s="23">
        <v>3</v>
      </c>
      <c r="M1682" s="23" t="s">
        <v>78</v>
      </c>
      <c r="N1682" s="23" t="s">
        <v>78</v>
      </c>
      <c r="O1682" s="23">
        <v>139.32</v>
      </c>
      <c r="P1682" s="23" t="s">
        <v>79</v>
      </c>
      <c r="Q1682" s="23" t="s">
        <v>83</v>
      </c>
      <c r="R1682" s="23">
        <v>11100176</v>
      </c>
      <c r="S1682" s="24">
        <v>46099</v>
      </c>
      <c r="T1682" s="24">
        <v>46071</v>
      </c>
      <c r="U1682" s="24">
        <v>47116</v>
      </c>
      <c r="X1682" s="24">
        <v>46071</v>
      </c>
      <c r="Y1682" s="23">
        <v>1111</v>
      </c>
      <c r="Z1682" s="23">
        <v>11600007</v>
      </c>
      <c r="AA1682" s="23">
        <v>525103</v>
      </c>
      <c r="AB1682" s="24">
        <v>46066</v>
      </c>
    </row>
    <row r="1683" spans="2:28" x14ac:dyDescent="0.2">
      <c r="B1683" s="23" t="s">
        <v>81</v>
      </c>
      <c r="C1683" s="23">
        <v>1100577118</v>
      </c>
      <c r="H1683" s="24">
        <v>46122</v>
      </c>
      <c r="O1683" s="23">
        <v>139.32</v>
      </c>
      <c r="P1683" s="23" t="s">
        <v>79</v>
      </c>
    </row>
    <row r="1684" spans="2:28" x14ac:dyDescent="0.2">
      <c r="C1684" s="23">
        <v>1100577122</v>
      </c>
      <c r="E1684" s="23">
        <v>30</v>
      </c>
      <c r="F1684" s="23" t="s">
        <v>3493</v>
      </c>
      <c r="G1684" s="23" t="s">
        <v>3494</v>
      </c>
      <c r="H1684" s="24">
        <v>46122</v>
      </c>
      <c r="I1684" s="24">
        <v>46122</v>
      </c>
      <c r="J1684" s="23" t="s">
        <v>242</v>
      </c>
      <c r="K1684" s="23" t="s">
        <v>242</v>
      </c>
      <c r="L1684" s="23">
        <v>1</v>
      </c>
      <c r="M1684" s="23" t="s">
        <v>566</v>
      </c>
      <c r="N1684" s="23" t="s">
        <v>566</v>
      </c>
      <c r="O1684" s="23">
        <v>1494.25</v>
      </c>
      <c r="P1684" s="23" t="s">
        <v>79</v>
      </c>
      <c r="Q1684" s="23" t="s">
        <v>83</v>
      </c>
      <c r="R1684" s="23">
        <v>11100008</v>
      </c>
      <c r="S1684" s="24">
        <v>46099</v>
      </c>
      <c r="T1684" s="24">
        <v>46071</v>
      </c>
      <c r="U1684" s="24">
        <v>47116</v>
      </c>
      <c r="X1684" s="24">
        <v>46065</v>
      </c>
      <c r="Y1684" s="23">
        <v>1111</v>
      </c>
      <c r="Z1684" s="23">
        <v>11400937</v>
      </c>
      <c r="AA1684" s="23">
        <v>5051</v>
      </c>
      <c r="AB1684" s="24">
        <v>46069</v>
      </c>
    </row>
    <row r="1685" spans="2:28" x14ac:dyDescent="0.2">
      <c r="C1685" s="23">
        <v>1100577122</v>
      </c>
      <c r="E1685" s="23">
        <v>40</v>
      </c>
      <c r="F1685" s="23" t="s">
        <v>1731</v>
      </c>
      <c r="G1685" s="23" t="s">
        <v>1732</v>
      </c>
      <c r="H1685" s="24">
        <v>46122</v>
      </c>
      <c r="I1685" s="24">
        <v>46122</v>
      </c>
      <c r="J1685" s="23" t="s">
        <v>242</v>
      </c>
      <c r="K1685" s="23" t="s">
        <v>242</v>
      </c>
      <c r="L1685" s="23">
        <v>1</v>
      </c>
      <c r="M1685" s="23" t="s">
        <v>78</v>
      </c>
      <c r="N1685" s="23" t="s">
        <v>78</v>
      </c>
      <c r="O1685" s="23">
        <v>2411.1999999999998</v>
      </c>
      <c r="P1685" s="23" t="s">
        <v>79</v>
      </c>
      <c r="Q1685" s="23" t="s">
        <v>83</v>
      </c>
      <c r="R1685" s="23">
        <v>11100008</v>
      </c>
      <c r="S1685" s="24">
        <v>46099</v>
      </c>
      <c r="T1685" s="24">
        <v>46071</v>
      </c>
      <c r="U1685" s="24">
        <v>47116</v>
      </c>
      <c r="X1685" s="24">
        <v>46065</v>
      </c>
      <c r="Y1685" s="23">
        <v>1111</v>
      </c>
      <c r="Z1685" s="23">
        <v>11400937</v>
      </c>
      <c r="AA1685" s="23">
        <v>5051</v>
      </c>
      <c r="AB1685" s="24">
        <v>46069</v>
      </c>
    </row>
    <row r="1686" spans="2:28" x14ac:dyDescent="0.2">
      <c r="B1686" s="23" t="s">
        <v>81</v>
      </c>
      <c r="C1686" s="23">
        <v>1100577122</v>
      </c>
      <c r="H1686" s="24">
        <v>46122</v>
      </c>
      <c r="O1686" s="23">
        <v>3905.45</v>
      </c>
      <c r="P1686" s="23" t="s">
        <v>79</v>
      </c>
    </row>
    <row r="1687" spans="2:28" x14ac:dyDescent="0.2">
      <c r="C1687" s="23">
        <v>1100577331</v>
      </c>
      <c r="E1687" s="23">
        <v>10</v>
      </c>
      <c r="F1687" s="23" t="s">
        <v>3495</v>
      </c>
      <c r="G1687" s="23" t="s">
        <v>3496</v>
      </c>
      <c r="H1687" s="24">
        <v>46122</v>
      </c>
      <c r="I1687" s="24">
        <v>46122</v>
      </c>
      <c r="J1687" s="23" t="s">
        <v>741</v>
      </c>
      <c r="K1687" s="23" t="s">
        <v>741</v>
      </c>
      <c r="L1687" s="23">
        <v>1</v>
      </c>
      <c r="M1687" s="23" t="s">
        <v>78</v>
      </c>
      <c r="N1687" s="23" t="s">
        <v>78</v>
      </c>
      <c r="O1687" s="23">
        <v>2009.88</v>
      </c>
      <c r="P1687" s="23" t="s">
        <v>79</v>
      </c>
      <c r="Q1687" s="23" t="s">
        <v>83</v>
      </c>
      <c r="R1687" s="23">
        <v>11100176</v>
      </c>
      <c r="S1687" s="24">
        <v>46122</v>
      </c>
      <c r="T1687" s="24">
        <v>46073</v>
      </c>
      <c r="U1687" s="24" t="s">
        <v>80</v>
      </c>
      <c r="X1687" s="24">
        <v>46069</v>
      </c>
      <c r="Y1687" s="23">
        <v>1111</v>
      </c>
      <c r="Z1687" s="23">
        <v>11600003</v>
      </c>
      <c r="AA1687" s="23">
        <v>315103</v>
      </c>
      <c r="AB1687" s="24">
        <v>46070</v>
      </c>
    </row>
    <row r="1688" spans="2:28" x14ac:dyDescent="0.2">
      <c r="C1688" s="23">
        <v>1100577331</v>
      </c>
      <c r="E1688" s="23">
        <v>20</v>
      </c>
      <c r="F1688" s="23" t="s">
        <v>3497</v>
      </c>
      <c r="G1688" s="23" t="s">
        <v>3498</v>
      </c>
      <c r="H1688" s="24">
        <v>46122</v>
      </c>
      <c r="I1688" s="24">
        <v>46122</v>
      </c>
      <c r="J1688" s="23" t="s">
        <v>741</v>
      </c>
      <c r="K1688" s="23" t="s">
        <v>741</v>
      </c>
      <c r="L1688" s="23">
        <v>1</v>
      </c>
      <c r="M1688" s="23" t="s">
        <v>78</v>
      </c>
      <c r="N1688" s="23" t="s">
        <v>78</v>
      </c>
      <c r="O1688" s="23">
        <v>7404.66</v>
      </c>
      <c r="P1688" s="23" t="s">
        <v>79</v>
      </c>
      <c r="Q1688" s="23" t="s">
        <v>83</v>
      </c>
      <c r="R1688" s="23">
        <v>11100176</v>
      </c>
      <c r="S1688" s="24">
        <v>46122</v>
      </c>
      <c r="T1688" s="24">
        <v>46073</v>
      </c>
      <c r="U1688" s="24" t="s">
        <v>80</v>
      </c>
      <c r="X1688" s="24">
        <v>46069</v>
      </c>
      <c r="Y1688" s="23">
        <v>1111</v>
      </c>
      <c r="Z1688" s="23">
        <v>11600003</v>
      </c>
      <c r="AA1688" s="23">
        <v>315103</v>
      </c>
      <c r="AB1688" s="24">
        <v>46070</v>
      </c>
    </row>
    <row r="1689" spans="2:28" x14ac:dyDescent="0.2">
      <c r="C1689" s="23">
        <v>1100577331</v>
      </c>
      <c r="E1689" s="23">
        <v>30</v>
      </c>
      <c r="F1689" s="23" t="s">
        <v>82</v>
      </c>
      <c r="G1689" s="23" t="s">
        <v>139</v>
      </c>
      <c r="H1689" s="24">
        <v>46122</v>
      </c>
      <c r="I1689" s="24">
        <v>46122</v>
      </c>
      <c r="J1689" s="23" t="s">
        <v>741</v>
      </c>
      <c r="K1689" s="23" t="s">
        <v>741</v>
      </c>
      <c r="L1689" s="23">
        <v>1</v>
      </c>
      <c r="M1689" s="23" t="s">
        <v>78</v>
      </c>
      <c r="N1689" s="23" t="s">
        <v>78</v>
      </c>
      <c r="O1689" s="23">
        <v>0.01</v>
      </c>
      <c r="P1689" s="23" t="s">
        <v>79</v>
      </c>
      <c r="Q1689" s="23" t="s">
        <v>83</v>
      </c>
      <c r="R1689" s="23">
        <v>11100176</v>
      </c>
      <c r="S1689" s="24">
        <v>46122</v>
      </c>
      <c r="T1689" s="24">
        <v>46073</v>
      </c>
      <c r="U1689" s="24" t="s">
        <v>80</v>
      </c>
      <c r="X1689" s="24">
        <v>46069</v>
      </c>
      <c r="Y1689" s="23">
        <v>1111</v>
      </c>
      <c r="Z1689" s="23">
        <v>11600003</v>
      </c>
      <c r="AA1689" s="23">
        <v>315103</v>
      </c>
      <c r="AB1689" s="24">
        <v>46070</v>
      </c>
    </row>
    <row r="1690" spans="2:28" x14ac:dyDescent="0.2">
      <c r="B1690" s="23" t="s">
        <v>81</v>
      </c>
      <c r="C1690" s="23">
        <v>1100577331</v>
      </c>
      <c r="H1690" s="24">
        <v>46122</v>
      </c>
      <c r="O1690" s="23">
        <v>9414.5499999999993</v>
      </c>
      <c r="P1690" s="23" t="s">
        <v>79</v>
      </c>
    </row>
    <row r="1691" spans="2:28" x14ac:dyDescent="0.2">
      <c r="C1691" s="23">
        <v>1100577374</v>
      </c>
      <c r="E1691" s="23">
        <v>10</v>
      </c>
      <c r="F1691" s="23" t="s">
        <v>1080</v>
      </c>
      <c r="G1691" s="23" t="s">
        <v>1948</v>
      </c>
      <c r="H1691" s="24">
        <v>46122</v>
      </c>
      <c r="I1691" s="24">
        <v>46122</v>
      </c>
      <c r="J1691" s="23" t="s">
        <v>92</v>
      </c>
      <c r="K1691" s="23" t="s">
        <v>92</v>
      </c>
      <c r="L1691" s="23">
        <v>4</v>
      </c>
      <c r="M1691" s="23" t="s">
        <v>78</v>
      </c>
      <c r="N1691" s="23" t="s">
        <v>78</v>
      </c>
      <c r="O1691" s="23">
        <v>14834.36</v>
      </c>
      <c r="P1691" s="23" t="s">
        <v>79</v>
      </c>
      <c r="Q1691" s="23" t="s">
        <v>83</v>
      </c>
      <c r="R1691" s="23">
        <v>11100176</v>
      </c>
      <c r="S1691" s="24">
        <v>46108</v>
      </c>
      <c r="T1691" s="24">
        <v>46073</v>
      </c>
      <c r="U1691" s="24" t="s">
        <v>80</v>
      </c>
      <c r="X1691" s="24">
        <v>46073</v>
      </c>
      <c r="Y1691" s="23">
        <v>1111</v>
      </c>
      <c r="Z1691" s="23">
        <v>11600007</v>
      </c>
      <c r="AA1691" s="23">
        <v>525103</v>
      </c>
      <c r="AB1691" s="24">
        <v>46071</v>
      </c>
    </row>
    <row r="1692" spans="2:28" x14ac:dyDescent="0.2">
      <c r="B1692" s="23" t="s">
        <v>81</v>
      </c>
      <c r="C1692" s="23">
        <v>1100577374</v>
      </c>
      <c r="H1692" s="24">
        <v>46122</v>
      </c>
      <c r="O1692" s="23">
        <v>14834.36</v>
      </c>
      <c r="P1692" s="23" t="s">
        <v>79</v>
      </c>
    </row>
    <row r="1693" spans="2:28" x14ac:dyDescent="0.2">
      <c r="C1693" s="23">
        <v>1100577780</v>
      </c>
      <c r="E1693" s="23">
        <v>10</v>
      </c>
      <c r="F1693" s="23" t="s">
        <v>87</v>
      </c>
      <c r="G1693" s="23" t="s">
        <v>3499</v>
      </c>
      <c r="H1693" s="24">
        <v>46122</v>
      </c>
      <c r="I1693" s="24">
        <v>46122</v>
      </c>
      <c r="J1693" s="23" t="s">
        <v>421</v>
      </c>
      <c r="K1693" s="23" t="s">
        <v>421</v>
      </c>
      <c r="L1693" s="23">
        <v>5</v>
      </c>
      <c r="M1693" s="23" t="s">
        <v>78</v>
      </c>
      <c r="N1693" s="23" t="s">
        <v>78</v>
      </c>
      <c r="O1693" s="23">
        <v>0.05</v>
      </c>
      <c r="P1693" s="23" t="s">
        <v>79</v>
      </c>
      <c r="Q1693" s="23" t="s">
        <v>83</v>
      </c>
      <c r="R1693" s="23">
        <v>11100176</v>
      </c>
      <c r="S1693" s="24" t="s">
        <v>80</v>
      </c>
      <c r="T1693" s="24">
        <v>46077</v>
      </c>
      <c r="U1693" s="24" t="s">
        <v>80</v>
      </c>
      <c r="X1693" s="24" t="s">
        <v>80</v>
      </c>
      <c r="Y1693" s="23">
        <v>1111</v>
      </c>
      <c r="Z1693" s="23">
        <v>11400797</v>
      </c>
      <c r="AA1693" s="23">
        <v>3301</v>
      </c>
      <c r="AB1693" s="24" t="s">
        <v>80</v>
      </c>
    </row>
    <row r="1694" spans="2:28" x14ac:dyDescent="0.2">
      <c r="C1694" s="23">
        <v>1100577780</v>
      </c>
      <c r="E1694" s="23">
        <v>20</v>
      </c>
      <c r="F1694" s="23" t="s">
        <v>96</v>
      </c>
      <c r="G1694" s="23" t="s">
        <v>3500</v>
      </c>
      <c r="H1694" s="24">
        <v>46122</v>
      </c>
      <c r="I1694" s="24">
        <v>46122</v>
      </c>
      <c r="J1694" s="23" t="s">
        <v>421</v>
      </c>
      <c r="K1694" s="23" t="s">
        <v>421</v>
      </c>
      <c r="L1694" s="23">
        <v>1</v>
      </c>
      <c r="M1694" s="23" t="s">
        <v>78</v>
      </c>
      <c r="N1694" s="23" t="s">
        <v>78</v>
      </c>
      <c r="O1694" s="23">
        <v>0</v>
      </c>
      <c r="P1694" s="23" t="s">
        <v>79</v>
      </c>
      <c r="Q1694" s="23" t="s">
        <v>83</v>
      </c>
      <c r="R1694" s="23">
        <v>11100176</v>
      </c>
      <c r="S1694" s="24" t="s">
        <v>80</v>
      </c>
      <c r="T1694" s="24">
        <v>46077</v>
      </c>
      <c r="U1694" s="24" t="s">
        <v>80</v>
      </c>
      <c r="X1694" s="24">
        <v>46077</v>
      </c>
      <c r="Y1694" s="23">
        <v>1111</v>
      </c>
      <c r="Z1694" s="23">
        <v>11400797</v>
      </c>
      <c r="AA1694" s="23">
        <v>3301</v>
      </c>
      <c r="AB1694" s="24">
        <v>46077</v>
      </c>
    </row>
    <row r="1695" spans="2:28" x14ac:dyDescent="0.2">
      <c r="C1695" s="23">
        <v>1100577780</v>
      </c>
      <c r="E1695" s="23">
        <v>30</v>
      </c>
      <c r="F1695" s="23" t="s">
        <v>84</v>
      </c>
      <c r="G1695" s="23" t="s">
        <v>123</v>
      </c>
      <c r="H1695" s="24">
        <v>46122</v>
      </c>
      <c r="I1695" s="24">
        <v>46122</v>
      </c>
      <c r="J1695" s="23" t="s">
        <v>421</v>
      </c>
      <c r="K1695" s="23" t="s">
        <v>421</v>
      </c>
      <c r="L1695" s="23">
        <v>1</v>
      </c>
      <c r="M1695" s="23" t="s">
        <v>78</v>
      </c>
      <c r="N1695" s="23" t="s">
        <v>78</v>
      </c>
      <c r="O1695" s="23">
        <v>0</v>
      </c>
      <c r="P1695" s="23" t="s">
        <v>79</v>
      </c>
      <c r="Q1695" s="23" t="s">
        <v>83</v>
      </c>
      <c r="R1695" s="23">
        <v>11100176</v>
      </c>
      <c r="S1695" s="24" t="s">
        <v>80</v>
      </c>
      <c r="T1695" s="24">
        <v>46077</v>
      </c>
      <c r="U1695" s="24" t="s">
        <v>80</v>
      </c>
      <c r="X1695" s="24">
        <v>46077</v>
      </c>
      <c r="Y1695" s="23">
        <v>1111</v>
      </c>
      <c r="Z1695" s="23">
        <v>11400797</v>
      </c>
      <c r="AA1695" s="23">
        <v>3301</v>
      </c>
      <c r="AB1695" s="24">
        <v>46077</v>
      </c>
    </row>
    <row r="1696" spans="2:28" x14ac:dyDescent="0.2">
      <c r="B1696" s="23" t="s">
        <v>81</v>
      </c>
      <c r="C1696" s="23">
        <v>1100577780</v>
      </c>
      <c r="H1696" s="24">
        <v>46122</v>
      </c>
      <c r="O1696" s="23">
        <v>0.05</v>
      </c>
      <c r="P1696" s="23" t="s">
        <v>79</v>
      </c>
    </row>
    <row r="1697" spans="2:28" x14ac:dyDescent="0.2">
      <c r="C1697" s="23">
        <v>1100577849</v>
      </c>
      <c r="E1697" s="23">
        <v>20</v>
      </c>
      <c r="F1697" s="23" t="s">
        <v>3501</v>
      </c>
      <c r="G1697" s="23" t="s">
        <v>3502</v>
      </c>
      <c r="H1697" s="24">
        <v>46122</v>
      </c>
      <c r="I1697" s="24">
        <v>46122</v>
      </c>
      <c r="J1697" s="23" t="s">
        <v>886</v>
      </c>
      <c r="K1697" s="23" t="s">
        <v>886</v>
      </c>
      <c r="L1697" s="23">
        <v>1</v>
      </c>
      <c r="M1697" s="23" t="s">
        <v>78</v>
      </c>
      <c r="N1697" s="23" t="s">
        <v>78</v>
      </c>
      <c r="O1697" s="23">
        <v>2286.6</v>
      </c>
      <c r="P1697" s="23" t="s">
        <v>79</v>
      </c>
      <c r="Q1697" s="23" t="s">
        <v>83</v>
      </c>
      <c r="R1697" s="23">
        <v>11100189</v>
      </c>
      <c r="S1697" s="24">
        <v>46115</v>
      </c>
      <c r="T1697" s="24">
        <v>46077</v>
      </c>
      <c r="U1697" s="24">
        <v>47116</v>
      </c>
      <c r="X1697" s="24">
        <v>46076</v>
      </c>
      <c r="Y1697" s="23">
        <v>1111</v>
      </c>
      <c r="Z1697" s="23">
        <v>11400704</v>
      </c>
      <c r="AA1697" s="23">
        <v>5051</v>
      </c>
      <c r="AB1697" s="24">
        <v>46076</v>
      </c>
    </row>
    <row r="1698" spans="2:28" x14ac:dyDescent="0.2">
      <c r="B1698" s="23" t="s">
        <v>81</v>
      </c>
      <c r="C1698" s="23">
        <v>1100577849</v>
      </c>
      <c r="H1698" s="24">
        <v>46122</v>
      </c>
      <c r="O1698" s="23">
        <v>2286.6</v>
      </c>
      <c r="P1698" s="23" t="s">
        <v>79</v>
      </c>
    </row>
    <row r="1699" spans="2:28" x14ac:dyDescent="0.2">
      <c r="C1699" s="23">
        <v>1100577891</v>
      </c>
      <c r="E1699" s="23">
        <v>10</v>
      </c>
      <c r="F1699" s="23" t="s">
        <v>87</v>
      </c>
      <c r="G1699" s="23" t="s">
        <v>3503</v>
      </c>
      <c r="H1699" s="24">
        <v>46122</v>
      </c>
      <c r="I1699" s="24">
        <v>46122</v>
      </c>
      <c r="J1699" s="23" t="s">
        <v>3504</v>
      </c>
      <c r="K1699" s="23" t="s">
        <v>3504</v>
      </c>
      <c r="L1699" s="23">
        <v>4</v>
      </c>
      <c r="M1699" s="23" t="s">
        <v>78</v>
      </c>
      <c r="N1699" s="23" t="s">
        <v>78</v>
      </c>
      <c r="O1699" s="23">
        <v>1000.6</v>
      </c>
      <c r="P1699" s="23" t="s">
        <v>79</v>
      </c>
      <c r="Q1699" s="23" t="s">
        <v>83</v>
      </c>
      <c r="R1699" s="23">
        <v>11100176</v>
      </c>
      <c r="S1699" s="24">
        <v>46122</v>
      </c>
      <c r="T1699" s="24">
        <v>46078</v>
      </c>
      <c r="U1699" s="24" t="s">
        <v>80</v>
      </c>
      <c r="X1699" s="24">
        <v>46070</v>
      </c>
      <c r="Y1699" s="23">
        <v>1111</v>
      </c>
      <c r="Z1699" s="23">
        <v>11400704</v>
      </c>
      <c r="AA1699" s="23">
        <v>3951</v>
      </c>
      <c r="AB1699" s="24">
        <v>46078</v>
      </c>
    </row>
    <row r="1700" spans="2:28" x14ac:dyDescent="0.2">
      <c r="C1700" s="23">
        <v>1100577891</v>
      </c>
      <c r="E1700" s="23">
        <v>20</v>
      </c>
      <c r="F1700" s="23" t="s">
        <v>84</v>
      </c>
      <c r="G1700" s="23" t="s">
        <v>123</v>
      </c>
      <c r="H1700" s="24">
        <v>46122</v>
      </c>
      <c r="I1700" s="24">
        <v>46122</v>
      </c>
      <c r="J1700" s="23" t="s">
        <v>3504</v>
      </c>
      <c r="K1700" s="23" t="s">
        <v>3504</v>
      </c>
      <c r="L1700" s="23">
        <v>1</v>
      </c>
      <c r="M1700" s="23" t="s">
        <v>78</v>
      </c>
      <c r="N1700" s="23" t="s">
        <v>78</v>
      </c>
      <c r="O1700" s="23">
        <v>0.01</v>
      </c>
      <c r="P1700" s="23" t="s">
        <v>79</v>
      </c>
      <c r="Q1700" s="23" t="s">
        <v>83</v>
      </c>
      <c r="R1700" s="23">
        <v>11100176</v>
      </c>
      <c r="S1700" s="24" t="s">
        <v>80</v>
      </c>
      <c r="T1700" s="24">
        <v>46078</v>
      </c>
      <c r="U1700" s="24" t="s">
        <v>80</v>
      </c>
      <c r="X1700" s="24">
        <v>46070</v>
      </c>
      <c r="Y1700" s="23">
        <v>1111</v>
      </c>
      <c r="Z1700" s="23">
        <v>11400704</v>
      </c>
      <c r="AA1700" s="23">
        <v>3951</v>
      </c>
      <c r="AB1700" s="24">
        <v>46078</v>
      </c>
    </row>
    <row r="1701" spans="2:28" x14ac:dyDescent="0.2">
      <c r="B1701" s="23" t="s">
        <v>81</v>
      </c>
      <c r="C1701" s="23">
        <v>1100577891</v>
      </c>
      <c r="H1701" s="24">
        <v>46122</v>
      </c>
      <c r="O1701" s="23">
        <v>1000.61</v>
      </c>
      <c r="P1701" s="23" t="s">
        <v>79</v>
      </c>
    </row>
    <row r="1702" spans="2:28" x14ac:dyDescent="0.2">
      <c r="C1702" s="23">
        <v>1100577966</v>
      </c>
      <c r="E1702" s="23">
        <v>10</v>
      </c>
      <c r="F1702" s="23" t="s">
        <v>3505</v>
      </c>
      <c r="G1702" s="23" t="s">
        <v>3506</v>
      </c>
      <c r="H1702" s="24">
        <v>46122</v>
      </c>
      <c r="I1702" s="24">
        <v>46122</v>
      </c>
      <c r="J1702" s="23" t="s">
        <v>3335</v>
      </c>
      <c r="K1702" s="23" t="s">
        <v>3335</v>
      </c>
      <c r="L1702" s="23">
        <v>1</v>
      </c>
      <c r="M1702" s="23" t="s">
        <v>78</v>
      </c>
      <c r="N1702" s="23" t="s">
        <v>78</v>
      </c>
      <c r="O1702" s="23">
        <v>870.2</v>
      </c>
      <c r="P1702" s="23" t="s">
        <v>79</v>
      </c>
      <c r="Q1702" s="23" t="s">
        <v>83</v>
      </c>
      <c r="R1702" s="23">
        <v>11100176</v>
      </c>
      <c r="S1702" s="24">
        <v>46122</v>
      </c>
      <c r="T1702" s="24">
        <v>46078</v>
      </c>
      <c r="U1702" s="24" t="s">
        <v>80</v>
      </c>
      <c r="X1702" s="24">
        <v>46077</v>
      </c>
      <c r="Y1702" s="23">
        <v>1111</v>
      </c>
      <c r="Z1702" s="23">
        <v>11400704</v>
      </c>
      <c r="AA1702" s="23">
        <v>3351</v>
      </c>
      <c r="AB1702" s="24">
        <v>46072</v>
      </c>
    </row>
    <row r="1703" spans="2:28" x14ac:dyDescent="0.2">
      <c r="C1703" s="23">
        <v>1100577966</v>
      </c>
      <c r="E1703" s="23">
        <v>20</v>
      </c>
      <c r="F1703" s="23" t="s">
        <v>82</v>
      </c>
      <c r="G1703" s="23" t="s">
        <v>139</v>
      </c>
      <c r="H1703" s="24">
        <v>46122</v>
      </c>
      <c r="I1703" s="24">
        <v>46122</v>
      </c>
      <c r="J1703" s="23" t="s">
        <v>3335</v>
      </c>
      <c r="K1703" s="23" t="s">
        <v>3335</v>
      </c>
      <c r="L1703" s="23">
        <v>1</v>
      </c>
      <c r="M1703" s="23" t="s">
        <v>78</v>
      </c>
      <c r="N1703" s="23" t="s">
        <v>78</v>
      </c>
      <c r="O1703" s="23">
        <v>0.01</v>
      </c>
      <c r="P1703" s="23" t="s">
        <v>79</v>
      </c>
      <c r="Q1703" s="23" t="s">
        <v>83</v>
      </c>
      <c r="R1703" s="23">
        <v>11100176</v>
      </c>
      <c r="S1703" s="24" t="s">
        <v>80</v>
      </c>
      <c r="T1703" s="24">
        <v>46078</v>
      </c>
      <c r="U1703" s="24" t="s">
        <v>80</v>
      </c>
      <c r="X1703" s="24">
        <v>46077</v>
      </c>
      <c r="Y1703" s="23">
        <v>1111</v>
      </c>
      <c r="Z1703" s="23">
        <v>11400704</v>
      </c>
      <c r="AA1703" s="23">
        <v>3351</v>
      </c>
      <c r="AB1703" s="24">
        <v>46072</v>
      </c>
    </row>
    <row r="1704" spans="2:28" x14ac:dyDescent="0.2">
      <c r="B1704" s="23" t="s">
        <v>81</v>
      </c>
      <c r="C1704" s="23">
        <v>1100577966</v>
      </c>
      <c r="H1704" s="24">
        <v>46122</v>
      </c>
      <c r="O1704" s="23">
        <v>870.21</v>
      </c>
      <c r="P1704" s="23" t="s">
        <v>79</v>
      </c>
    </row>
    <row r="1705" spans="2:28" x14ac:dyDescent="0.2">
      <c r="C1705" s="23">
        <v>1100578006</v>
      </c>
      <c r="E1705" s="23">
        <v>10</v>
      </c>
      <c r="F1705" s="23" t="s">
        <v>127</v>
      </c>
      <c r="G1705" s="23" t="s">
        <v>128</v>
      </c>
      <c r="H1705" s="24">
        <v>46122</v>
      </c>
      <c r="I1705" s="24">
        <v>46122</v>
      </c>
      <c r="J1705" s="23" t="s">
        <v>3053</v>
      </c>
      <c r="K1705" s="23" t="s">
        <v>3053</v>
      </c>
      <c r="L1705" s="23">
        <v>1</v>
      </c>
      <c r="M1705" s="23" t="s">
        <v>78</v>
      </c>
      <c r="N1705" s="23" t="s">
        <v>78</v>
      </c>
      <c r="O1705" s="23">
        <v>1486.03</v>
      </c>
      <c r="P1705" s="23" t="s">
        <v>79</v>
      </c>
      <c r="Q1705" s="23" t="s">
        <v>83</v>
      </c>
      <c r="R1705" s="23">
        <v>11100176</v>
      </c>
      <c r="S1705" s="24">
        <v>46122</v>
      </c>
      <c r="T1705" s="24">
        <v>46078</v>
      </c>
      <c r="U1705" s="24" t="s">
        <v>80</v>
      </c>
      <c r="X1705" s="24">
        <v>46065</v>
      </c>
      <c r="Y1705" s="23">
        <v>1111</v>
      </c>
      <c r="Z1705" s="23">
        <v>11100320</v>
      </c>
      <c r="AA1705" s="23">
        <v>3951</v>
      </c>
      <c r="AB1705" s="24">
        <v>46078</v>
      </c>
    </row>
    <row r="1706" spans="2:28" x14ac:dyDescent="0.2">
      <c r="C1706" s="23">
        <v>1100578006</v>
      </c>
      <c r="E1706" s="23">
        <v>20</v>
      </c>
      <c r="F1706" s="23" t="s">
        <v>82</v>
      </c>
      <c r="G1706" s="23" t="s">
        <v>139</v>
      </c>
      <c r="H1706" s="24">
        <v>46122</v>
      </c>
      <c r="I1706" s="24">
        <v>46122</v>
      </c>
      <c r="J1706" s="23" t="s">
        <v>3053</v>
      </c>
      <c r="K1706" s="23" t="s">
        <v>3053</v>
      </c>
      <c r="L1706" s="23">
        <v>1</v>
      </c>
      <c r="M1706" s="23" t="s">
        <v>78</v>
      </c>
      <c r="N1706" s="23" t="s">
        <v>78</v>
      </c>
      <c r="O1706" s="23">
        <v>0.01</v>
      </c>
      <c r="P1706" s="23" t="s">
        <v>79</v>
      </c>
      <c r="Q1706" s="23" t="s">
        <v>83</v>
      </c>
      <c r="R1706" s="23">
        <v>11100176</v>
      </c>
      <c r="S1706" s="24">
        <v>46122</v>
      </c>
      <c r="T1706" s="24">
        <v>46078</v>
      </c>
      <c r="U1706" s="24" t="s">
        <v>80</v>
      </c>
      <c r="X1706" s="24">
        <v>46065</v>
      </c>
      <c r="Y1706" s="23">
        <v>1111</v>
      </c>
      <c r="Z1706" s="23">
        <v>11100320</v>
      </c>
      <c r="AA1706" s="23">
        <v>3951</v>
      </c>
      <c r="AB1706" s="24">
        <v>46078</v>
      </c>
    </row>
    <row r="1707" spans="2:28" x14ac:dyDescent="0.2">
      <c r="B1707" s="23" t="s">
        <v>81</v>
      </c>
      <c r="C1707" s="23">
        <v>1100578006</v>
      </c>
      <c r="H1707" s="24">
        <v>46122</v>
      </c>
      <c r="O1707" s="23">
        <v>1486.04</v>
      </c>
      <c r="P1707" s="23" t="s">
        <v>79</v>
      </c>
    </row>
    <row r="1708" spans="2:28" x14ac:dyDescent="0.2">
      <c r="C1708" s="23">
        <v>1100578034</v>
      </c>
      <c r="E1708" s="23">
        <v>10</v>
      </c>
      <c r="F1708" s="23" t="s">
        <v>3507</v>
      </c>
      <c r="G1708" s="23" t="s">
        <v>3508</v>
      </c>
      <c r="H1708" s="24">
        <v>46122</v>
      </c>
      <c r="I1708" s="24">
        <v>46122</v>
      </c>
      <c r="J1708" s="23" t="s">
        <v>415</v>
      </c>
      <c r="K1708" s="23" t="s">
        <v>415</v>
      </c>
      <c r="L1708" s="23">
        <v>1</v>
      </c>
      <c r="M1708" s="23" t="s">
        <v>78</v>
      </c>
      <c r="N1708" s="23" t="s">
        <v>78</v>
      </c>
      <c r="O1708" s="23">
        <v>1650</v>
      </c>
      <c r="P1708" s="23" t="s">
        <v>79</v>
      </c>
      <c r="Q1708" s="23" t="s">
        <v>83</v>
      </c>
      <c r="R1708" s="23">
        <v>11100176</v>
      </c>
      <c r="S1708" s="24">
        <v>46107</v>
      </c>
      <c r="T1708" s="24">
        <v>46079</v>
      </c>
      <c r="U1708" s="24" t="s">
        <v>80</v>
      </c>
      <c r="X1708" s="24">
        <v>46064</v>
      </c>
      <c r="Y1708" s="23">
        <v>1111</v>
      </c>
      <c r="Z1708" s="23">
        <v>11400937</v>
      </c>
      <c r="AA1708" s="23">
        <v>3351</v>
      </c>
      <c r="AB1708" s="24">
        <v>46051</v>
      </c>
    </row>
    <row r="1709" spans="2:28" x14ac:dyDescent="0.2">
      <c r="C1709" s="23">
        <v>1100578034</v>
      </c>
      <c r="E1709" s="23">
        <v>20</v>
      </c>
      <c r="F1709" s="23" t="s">
        <v>3509</v>
      </c>
      <c r="G1709" s="23" t="s">
        <v>3510</v>
      </c>
      <c r="H1709" s="24">
        <v>46122</v>
      </c>
      <c r="I1709" s="24">
        <v>46122</v>
      </c>
      <c r="J1709" s="23" t="s">
        <v>415</v>
      </c>
      <c r="K1709" s="23" t="s">
        <v>415</v>
      </c>
      <c r="L1709" s="23">
        <v>1</v>
      </c>
      <c r="M1709" s="23" t="s">
        <v>78</v>
      </c>
      <c r="N1709" s="23" t="s">
        <v>78</v>
      </c>
      <c r="O1709" s="23">
        <v>240</v>
      </c>
      <c r="P1709" s="23" t="s">
        <v>79</v>
      </c>
      <c r="Q1709" s="23" t="s">
        <v>83</v>
      </c>
      <c r="R1709" s="23">
        <v>11100176</v>
      </c>
      <c r="S1709" s="24">
        <v>46107</v>
      </c>
      <c r="T1709" s="24">
        <v>46079</v>
      </c>
      <c r="U1709" s="24" t="s">
        <v>80</v>
      </c>
      <c r="X1709" s="24">
        <v>46064</v>
      </c>
      <c r="Y1709" s="23">
        <v>1111</v>
      </c>
      <c r="Z1709" s="23">
        <v>11400937</v>
      </c>
      <c r="AA1709" s="23">
        <v>3351</v>
      </c>
      <c r="AB1709" s="24">
        <v>46051</v>
      </c>
    </row>
    <row r="1710" spans="2:28" x14ac:dyDescent="0.2">
      <c r="C1710" s="23">
        <v>1100578034</v>
      </c>
      <c r="E1710" s="23">
        <v>30</v>
      </c>
      <c r="F1710" s="23" t="s">
        <v>3511</v>
      </c>
      <c r="G1710" s="23" t="s">
        <v>3512</v>
      </c>
      <c r="H1710" s="24">
        <v>46122</v>
      </c>
      <c r="I1710" s="24">
        <v>46122</v>
      </c>
      <c r="J1710" s="23" t="s">
        <v>415</v>
      </c>
      <c r="K1710" s="23" t="s">
        <v>415</v>
      </c>
      <c r="L1710" s="23">
        <v>1</v>
      </c>
      <c r="M1710" s="23" t="s">
        <v>78</v>
      </c>
      <c r="N1710" s="23" t="s">
        <v>78</v>
      </c>
      <c r="O1710" s="23">
        <v>580</v>
      </c>
      <c r="P1710" s="23" t="s">
        <v>79</v>
      </c>
      <c r="Q1710" s="23" t="s">
        <v>83</v>
      </c>
      <c r="R1710" s="23">
        <v>11100176</v>
      </c>
      <c r="S1710" s="24">
        <v>46107</v>
      </c>
      <c r="T1710" s="24">
        <v>46079</v>
      </c>
      <c r="U1710" s="24" t="s">
        <v>80</v>
      </c>
      <c r="X1710" s="24">
        <v>46064</v>
      </c>
      <c r="Y1710" s="23">
        <v>1111</v>
      </c>
      <c r="Z1710" s="23">
        <v>11400937</v>
      </c>
      <c r="AA1710" s="23">
        <v>3351</v>
      </c>
      <c r="AB1710" s="24">
        <v>46051</v>
      </c>
    </row>
    <row r="1711" spans="2:28" x14ac:dyDescent="0.2">
      <c r="B1711" s="23" t="s">
        <v>81</v>
      </c>
      <c r="C1711" s="23">
        <v>1100578034</v>
      </c>
      <c r="H1711" s="24">
        <v>46122</v>
      </c>
      <c r="O1711" s="23">
        <v>2470</v>
      </c>
      <c r="P1711" s="23" t="s">
        <v>79</v>
      </c>
    </row>
    <row r="1712" spans="2:28" x14ac:dyDescent="0.2">
      <c r="C1712" s="23">
        <v>1100578045</v>
      </c>
      <c r="E1712" s="23">
        <v>10</v>
      </c>
      <c r="F1712" s="23" t="s">
        <v>3513</v>
      </c>
      <c r="G1712" s="23" t="s">
        <v>3514</v>
      </c>
      <c r="H1712" s="24">
        <v>46122</v>
      </c>
      <c r="I1712" s="24">
        <v>46122</v>
      </c>
      <c r="J1712" s="23" t="s">
        <v>92</v>
      </c>
      <c r="K1712" s="23" t="s">
        <v>92</v>
      </c>
      <c r="L1712" s="23">
        <v>1</v>
      </c>
      <c r="M1712" s="23" t="s">
        <v>78</v>
      </c>
      <c r="N1712" s="23" t="s">
        <v>78</v>
      </c>
      <c r="O1712" s="23">
        <v>671</v>
      </c>
      <c r="P1712" s="23" t="s">
        <v>79</v>
      </c>
      <c r="Q1712" s="23" t="s">
        <v>83</v>
      </c>
      <c r="R1712" s="23">
        <v>11100176</v>
      </c>
      <c r="S1712" s="24">
        <v>46107</v>
      </c>
      <c r="T1712" s="24">
        <v>46079</v>
      </c>
      <c r="U1712" s="24">
        <v>46086</v>
      </c>
      <c r="X1712" s="24">
        <v>46078</v>
      </c>
      <c r="Y1712" s="23">
        <v>1111</v>
      </c>
      <c r="Z1712" s="23">
        <v>11400937</v>
      </c>
      <c r="AA1712" s="23">
        <v>525103</v>
      </c>
      <c r="AB1712" s="24">
        <v>46078</v>
      </c>
    </row>
    <row r="1713" spans="2:28" x14ac:dyDescent="0.2">
      <c r="B1713" s="23" t="s">
        <v>81</v>
      </c>
      <c r="C1713" s="23">
        <v>1100578045</v>
      </c>
      <c r="H1713" s="24">
        <v>46122</v>
      </c>
      <c r="O1713" s="23">
        <v>671</v>
      </c>
      <c r="P1713" s="23" t="s">
        <v>79</v>
      </c>
    </row>
    <row r="1714" spans="2:28" x14ac:dyDescent="0.2">
      <c r="C1714" s="23">
        <v>1100578079</v>
      </c>
      <c r="E1714" s="23">
        <v>40</v>
      </c>
      <c r="F1714" s="23" t="s">
        <v>3515</v>
      </c>
      <c r="G1714" s="23" t="s">
        <v>3516</v>
      </c>
      <c r="H1714" s="24">
        <v>46122</v>
      </c>
      <c r="I1714" s="24">
        <v>46122</v>
      </c>
      <c r="J1714" s="23" t="s">
        <v>3517</v>
      </c>
      <c r="K1714" s="23" t="s">
        <v>3517</v>
      </c>
      <c r="L1714" s="23">
        <v>1</v>
      </c>
      <c r="M1714" s="23" t="s">
        <v>78</v>
      </c>
      <c r="N1714" s="23" t="s">
        <v>78</v>
      </c>
      <c r="O1714" s="23">
        <v>446.28</v>
      </c>
      <c r="P1714" s="23" t="s">
        <v>79</v>
      </c>
      <c r="Q1714" s="23" t="s">
        <v>83</v>
      </c>
      <c r="R1714" s="23">
        <v>11100176</v>
      </c>
      <c r="S1714" s="24">
        <v>46108</v>
      </c>
      <c r="T1714" s="24">
        <v>46079</v>
      </c>
      <c r="U1714" s="24">
        <v>47116</v>
      </c>
      <c r="X1714" s="24">
        <v>46079</v>
      </c>
      <c r="Y1714" s="23">
        <v>1111</v>
      </c>
      <c r="Z1714" s="23">
        <v>11600003</v>
      </c>
      <c r="AA1714" s="23">
        <v>505103</v>
      </c>
      <c r="AB1714" s="24">
        <v>46072</v>
      </c>
    </row>
    <row r="1715" spans="2:28" x14ac:dyDescent="0.2">
      <c r="C1715" s="23">
        <v>1100578079</v>
      </c>
      <c r="E1715" s="23">
        <v>80</v>
      </c>
      <c r="F1715" s="23" t="s">
        <v>3356</v>
      </c>
      <c r="G1715" s="23" t="s">
        <v>3357</v>
      </c>
      <c r="H1715" s="24">
        <v>46122</v>
      </c>
      <c r="I1715" s="24">
        <v>46122</v>
      </c>
      <c r="J1715" s="23" t="s">
        <v>3517</v>
      </c>
      <c r="K1715" s="23" t="s">
        <v>3517</v>
      </c>
      <c r="L1715" s="23">
        <v>1</v>
      </c>
      <c r="M1715" s="23" t="s">
        <v>78</v>
      </c>
      <c r="N1715" s="23" t="s">
        <v>78</v>
      </c>
      <c r="O1715" s="23">
        <v>37.28</v>
      </c>
      <c r="P1715" s="23" t="s">
        <v>79</v>
      </c>
      <c r="Q1715" s="23" t="s">
        <v>83</v>
      </c>
      <c r="R1715" s="23">
        <v>11100176</v>
      </c>
      <c r="S1715" s="24">
        <v>46135</v>
      </c>
      <c r="T1715" s="24">
        <v>46079</v>
      </c>
      <c r="U1715" s="24">
        <v>47116</v>
      </c>
      <c r="X1715" s="24">
        <v>46079</v>
      </c>
      <c r="Y1715" s="23">
        <v>1111</v>
      </c>
      <c r="Z1715" s="23">
        <v>11600003</v>
      </c>
      <c r="AA1715" s="23">
        <v>505103</v>
      </c>
      <c r="AB1715" s="24">
        <v>46072</v>
      </c>
    </row>
    <row r="1716" spans="2:28" x14ac:dyDescent="0.2">
      <c r="C1716" s="23">
        <v>1100578079</v>
      </c>
      <c r="E1716" s="23">
        <v>100</v>
      </c>
      <c r="F1716" s="23" t="s">
        <v>3518</v>
      </c>
      <c r="G1716" s="23" t="s">
        <v>3519</v>
      </c>
      <c r="H1716" s="24">
        <v>46122</v>
      </c>
      <c r="I1716" s="24">
        <v>46122</v>
      </c>
      <c r="J1716" s="23" t="s">
        <v>3517</v>
      </c>
      <c r="K1716" s="23" t="s">
        <v>3517</v>
      </c>
      <c r="L1716" s="23">
        <v>1</v>
      </c>
      <c r="M1716" s="23" t="s">
        <v>78</v>
      </c>
      <c r="N1716" s="23" t="s">
        <v>78</v>
      </c>
      <c r="O1716" s="23">
        <v>762.07</v>
      </c>
      <c r="P1716" s="23" t="s">
        <v>79</v>
      </c>
      <c r="Q1716" s="23" t="s">
        <v>83</v>
      </c>
      <c r="R1716" s="23">
        <v>11100176</v>
      </c>
      <c r="S1716" s="24">
        <v>46108</v>
      </c>
      <c r="T1716" s="24">
        <v>46079</v>
      </c>
      <c r="U1716" s="24">
        <v>47116</v>
      </c>
      <c r="X1716" s="24">
        <v>46079</v>
      </c>
      <c r="Y1716" s="23">
        <v>1111</v>
      </c>
      <c r="Z1716" s="23">
        <v>11600003</v>
      </c>
      <c r="AA1716" s="23">
        <v>505103</v>
      </c>
      <c r="AB1716" s="24">
        <v>46072</v>
      </c>
    </row>
    <row r="1717" spans="2:28" x14ac:dyDescent="0.2">
      <c r="C1717" s="23">
        <v>1100578079</v>
      </c>
      <c r="E1717" s="23">
        <v>250</v>
      </c>
      <c r="F1717" s="23" t="s">
        <v>2757</v>
      </c>
      <c r="G1717" s="23" t="s">
        <v>2758</v>
      </c>
      <c r="H1717" s="24">
        <v>46122</v>
      </c>
      <c r="I1717" s="24">
        <v>46122</v>
      </c>
      <c r="J1717" s="23" t="s">
        <v>3517</v>
      </c>
      <c r="K1717" s="23" t="s">
        <v>3517</v>
      </c>
      <c r="L1717" s="23">
        <v>2</v>
      </c>
      <c r="M1717" s="23" t="s">
        <v>78</v>
      </c>
      <c r="N1717" s="23" t="s">
        <v>78</v>
      </c>
      <c r="O1717" s="23">
        <v>263.92</v>
      </c>
      <c r="P1717" s="23" t="s">
        <v>79</v>
      </c>
      <c r="Q1717" s="23" t="s">
        <v>83</v>
      </c>
      <c r="R1717" s="23">
        <v>11100176</v>
      </c>
      <c r="S1717" s="24">
        <v>46086</v>
      </c>
      <c r="T1717" s="24">
        <v>46079</v>
      </c>
      <c r="U1717" s="24">
        <v>47116</v>
      </c>
      <c r="X1717" s="24">
        <v>46079</v>
      </c>
      <c r="Y1717" s="23">
        <v>1111</v>
      </c>
      <c r="Z1717" s="23">
        <v>11600003</v>
      </c>
      <c r="AA1717" s="23">
        <v>505103</v>
      </c>
      <c r="AB1717" s="24">
        <v>46072</v>
      </c>
    </row>
    <row r="1718" spans="2:28" x14ac:dyDescent="0.2">
      <c r="B1718" s="23" t="s">
        <v>81</v>
      </c>
      <c r="C1718" s="23">
        <v>1100578079</v>
      </c>
      <c r="H1718" s="24">
        <v>46122</v>
      </c>
      <c r="O1718" s="23">
        <v>1509.55</v>
      </c>
      <c r="P1718" s="23" t="s">
        <v>79</v>
      </c>
    </row>
    <row r="1719" spans="2:28" x14ac:dyDescent="0.2">
      <c r="C1719" s="23">
        <v>1100578123</v>
      </c>
      <c r="E1719" s="23">
        <v>10</v>
      </c>
      <c r="F1719" s="23" t="s">
        <v>722</v>
      </c>
      <c r="G1719" s="23" t="s">
        <v>723</v>
      </c>
      <c r="H1719" s="24">
        <v>46122</v>
      </c>
      <c r="I1719" s="24">
        <v>46122</v>
      </c>
      <c r="J1719" s="23" t="s">
        <v>879</v>
      </c>
      <c r="K1719" s="23" t="s">
        <v>879</v>
      </c>
      <c r="L1719" s="23">
        <v>2</v>
      </c>
      <c r="M1719" s="23" t="s">
        <v>78</v>
      </c>
      <c r="N1719" s="23" t="s">
        <v>78</v>
      </c>
      <c r="O1719" s="23">
        <v>5741.28</v>
      </c>
      <c r="P1719" s="23" t="s">
        <v>79</v>
      </c>
      <c r="Q1719" s="23" t="s">
        <v>83</v>
      </c>
      <c r="R1719" s="23">
        <v>11100176</v>
      </c>
      <c r="S1719" s="24">
        <v>46122</v>
      </c>
      <c r="T1719" s="24">
        <v>46079</v>
      </c>
      <c r="U1719" s="24" t="s">
        <v>80</v>
      </c>
      <c r="X1719" s="24">
        <v>46076</v>
      </c>
      <c r="Y1719" s="23">
        <v>1111</v>
      </c>
      <c r="Z1719" s="23">
        <v>11400797</v>
      </c>
      <c r="AA1719" s="23">
        <v>515103</v>
      </c>
      <c r="AB1719" s="24">
        <v>46078</v>
      </c>
    </row>
    <row r="1720" spans="2:28" x14ac:dyDescent="0.2">
      <c r="C1720" s="23">
        <v>1100578123</v>
      </c>
      <c r="E1720" s="23">
        <v>20</v>
      </c>
      <c r="F1720" s="23" t="s">
        <v>82</v>
      </c>
      <c r="G1720" s="23" t="s">
        <v>139</v>
      </c>
      <c r="H1720" s="24">
        <v>46122</v>
      </c>
      <c r="I1720" s="24">
        <v>46122</v>
      </c>
      <c r="J1720" s="23" t="s">
        <v>879</v>
      </c>
      <c r="K1720" s="23" t="s">
        <v>879</v>
      </c>
      <c r="L1720" s="23">
        <v>1</v>
      </c>
      <c r="M1720" s="23" t="s">
        <v>78</v>
      </c>
      <c r="N1720" s="23" t="s">
        <v>78</v>
      </c>
      <c r="O1720" s="23">
        <v>0.01</v>
      </c>
      <c r="P1720" s="23" t="s">
        <v>79</v>
      </c>
      <c r="Q1720" s="23" t="s">
        <v>83</v>
      </c>
      <c r="R1720" s="23">
        <v>11100176</v>
      </c>
      <c r="S1720" s="24" t="s">
        <v>80</v>
      </c>
      <c r="T1720" s="24">
        <v>46079</v>
      </c>
      <c r="U1720" s="24" t="s">
        <v>80</v>
      </c>
      <c r="X1720" s="24">
        <v>46076</v>
      </c>
      <c r="Y1720" s="23">
        <v>1111</v>
      </c>
      <c r="Z1720" s="23">
        <v>11400797</v>
      </c>
      <c r="AA1720" s="23">
        <v>515103</v>
      </c>
      <c r="AB1720" s="24">
        <v>46078</v>
      </c>
    </row>
    <row r="1721" spans="2:28" x14ac:dyDescent="0.2">
      <c r="B1721" s="23" t="s">
        <v>81</v>
      </c>
      <c r="C1721" s="23">
        <v>1100578123</v>
      </c>
      <c r="H1721" s="24">
        <v>46122</v>
      </c>
      <c r="O1721" s="23">
        <v>5741.29</v>
      </c>
      <c r="P1721" s="23" t="s">
        <v>79</v>
      </c>
    </row>
    <row r="1722" spans="2:28" x14ac:dyDescent="0.2">
      <c r="C1722" s="23">
        <v>1100578186</v>
      </c>
      <c r="E1722" s="23">
        <v>10</v>
      </c>
      <c r="F1722" s="23" t="s">
        <v>1903</v>
      </c>
      <c r="G1722" s="23" t="s">
        <v>1904</v>
      </c>
      <c r="H1722" s="24">
        <v>46122</v>
      </c>
      <c r="I1722" s="24">
        <v>46122</v>
      </c>
      <c r="J1722" s="23" t="s">
        <v>561</v>
      </c>
      <c r="K1722" s="23" t="s">
        <v>561</v>
      </c>
      <c r="L1722" s="23">
        <v>1</v>
      </c>
      <c r="M1722" s="23" t="s">
        <v>78</v>
      </c>
      <c r="N1722" s="23" t="s">
        <v>78</v>
      </c>
      <c r="O1722" s="23">
        <v>350.44</v>
      </c>
      <c r="P1722" s="23" t="s">
        <v>79</v>
      </c>
      <c r="Q1722" s="23" t="s">
        <v>83</v>
      </c>
      <c r="R1722" s="23">
        <v>11100176</v>
      </c>
      <c r="S1722" s="24">
        <v>46122</v>
      </c>
      <c r="T1722" s="24">
        <v>46080</v>
      </c>
      <c r="U1722" s="24" t="s">
        <v>80</v>
      </c>
      <c r="X1722" s="24">
        <v>46077</v>
      </c>
      <c r="Y1722" s="23">
        <v>1111</v>
      </c>
      <c r="Z1722" s="23">
        <v>11400606</v>
      </c>
      <c r="AA1722" s="23">
        <v>335103</v>
      </c>
      <c r="AB1722" s="24">
        <v>46079</v>
      </c>
    </row>
    <row r="1723" spans="2:28" x14ac:dyDescent="0.2">
      <c r="B1723" s="23" t="s">
        <v>81</v>
      </c>
      <c r="C1723" s="23">
        <v>1100578186</v>
      </c>
      <c r="H1723" s="24">
        <v>46122</v>
      </c>
      <c r="O1723" s="23">
        <v>350.44</v>
      </c>
      <c r="P1723" s="23" t="s">
        <v>79</v>
      </c>
    </row>
    <row r="1724" spans="2:28" x14ac:dyDescent="0.2">
      <c r="C1724" s="23">
        <v>1100578245</v>
      </c>
      <c r="E1724" s="23">
        <v>40</v>
      </c>
      <c r="F1724" s="23" t="s">
        <v>1983</v>
      </c>
      <c r="G1724" s="23" t="s">
        <v>1984</v>
      </c>
      <c r="H1724" s="24">
        <v>46122</v>
      </c>
      <c r="I1724" s="24">
        <v>46122</v>
      </c>
      <c r="J1724" s="23" t="s">
        <v>2671</v>
      </c>
      <c r="K1724" s="23" t="s">
        <v>2671</v>
      </c>
      <c r="L1724" s="23">
        <v>1</v>
      </c>
      <c r="M1724" s="23" t="s">
        <v>78</v>
      </c>
      <c r="N1724" s="23" t="s">
        <v>78</v>
      </c>
      <c r="O1724" s="23">
        <v>1396.5</v>
      </c>
      <c r="P1724" s="23" t="s">
        <v>79</v>
      </c>
      <c r="Q1724" s="23" t="s">
        <v>83</v>
      </c>
      <c r="R1724" s="23">
        <v>11100176</v>
      </c>
      <c r="S1724" s="24">
        <v>46122</v>
      </c>
      <c r="T1724" s="24">
        <v>46080</v>
      </c>
      <c r="U1724" s="24">
        <v>47116</v>
      </c>
      <c r="X1724" s="24">
        <v>46079</v>
      </c>
      <c r="Y1724" s="23">
        <v>1111</v>
      </c>
      <c r="Z1724" s="23">
        <v>11400937</v>
      </c>
      <c r="AA1724" s="23">
        <v>3351</v>
      </c>
      <c r="AB1724" s="24">
        <v>46077</v>
      </c>
    </row>
    <row r="1725" spans="2:28" x14ac:dyDescent="0.2">
      <c r="C1725" s="23">
        <v>1100578245</v>
      </c>
      <c r="E1725" s="23">
        <v>50</v>
      </c>
      <c r="F1725" s="23" t="s">
        <v>2672</v>
      </c>
      <c r="G1725" s="23" t="s">
        <v>2673</v>
      </c>
      <c r="H1725" s="24">
        <v>46122</v>
      </c>
      <c r="I1725" s="24">
        <v>46122</v>
      </c>
      <c r="J1725" s="23" t="s">
        <v>2671</v>
      </c>
      <c r="K1725" s="23" t="s">
        <v>2671</v>
      </c>
      <c r="L1725" s="23">
        <v>1</v>
      </c>
      <c r="M1725" s="23" t="s">
        <v>78</v>
      </c>
      <c r="N1725" s="23" t="s">
        <v>78</v>
      </c>
      <c r="O1725" s="23">
        <v>1105</v>
      </c>
      <c r="P1725" s="23" t="s">
        <v>79</v>
      </c>
      <c r="Q1725" s="23" t="s">
        <v>83</v>
      </c>
      <c r="R1725" s="23">
        <v>11100176</v>
      </c>
      <c r="S1725" s="24">
        <v>46122</v>
      </c>
      <c r="T1725" s="24">
        <v>46080</v>
      </c>
      <c r="U1725" s="24">
        <v>47116</v>
      </c>
      <c r="X1725" s="24">
        <v>46079</v>
      </c>
      <c r="Y1725" s="23">
        <v>1111</v>
      </c>
      <c r="Z1725" s="23">
        <v>11400937</v>
      </c>
      <c r="AA1725" s="23">
        <v>3351</v>
      </c>
      <c r="AB1725" s="24">
        <v>46077</v>
      </c>
    </row>
    <row r="1726" spans="2:28" x14ac:dyDescent="0.2">
      <c r="C1726" s="23">
        <v>1100578245</v>
      </c>
      <c r="E1726" s="23">
        <v>60</v>
      </c>
      <c r="F1726" s="23" t="s">
        <v>2674</v>
      </c>
      <c r="G1726" s="23" t="s">
        <v>2675</v>
      </c>
      <c r="H1726" s="24">
        <v>46122</v>
      </c>
      <c r="I1726" s="24">
        <v>46122</v>
      </c>
      <c r="J1726" s="23" t="s">
        <v>2671</v>
      </c>
      <c r="K1726" s="23" t="s">
        <v>2671</v>
      </c>
      <c r="L1726" s="23">
        <v>1</v>
      </c>
      <c r="M1726" s="23" t="s">
        <v>78</v>
      </c>
      <c r="N1726" s="23" t="s">
        <v>78</v>
      </c>
      <c r="O1726" s="23">
        <v>760</v>
      </c>
      <c r="P1726" s="23" t="s">
        <v>79</v>
      </c>
      <c r="Q1726" s="23" t="s">
        <v>83</v>
      </c>
      <c r="R1726" s="23">
        <v>11100176</v>
      </c>
      <c r="S1726" s="24">
        <v>46122</v>
      </c>
      <c r="T1726" s="24">
        <v>46080</v>
      </c>
      <c r="U1726" s="24">
        <v>47116</v>
      </c>
      <c r="X1726" s="24">
        <v>46079</v>
      </c>
      <c r="Y1726" s="23">
        <v>1111</v>
      </c>
      <c r="Z1726" s="23">
        <v>11400937</v>
      </c>
      <c r="AA1726" s="23">
        <v>3351</v>
      </c>
      <c r="AB1726" s="24">
        <v>46077</v>
      </c>
    </row>
    <row r="1727" spans="2:28" x14ac:dyDescent="0.2">
      <c r="C1727" s="23">
        <v>1100578245</v>
      </c>
      <c r="E1727" s="23">
        <v>70</v>
      </c>
      <c r="F1727" s="23" t="s">
        <v>2676</v>
      </c>
      <c r="G1727" s="23" t="s">
        <v>2677</v>
      </c>
      <c r="H1727" s="24">
        <v>46122</v>
      </c>
      <c r="I1727" s="24">
        <v>46122</v>
      </c>
      <c r="J1727" s="23" t="s">
        <v>2671</v>
      </c>
      <c r="K1727" s="23" t="s">
        <v>2671</v>
      </c>
      <c r="L1727" s="23">
        <v>1</v>
      </c>
      <c r="M1727" s="23" t="s">
        <v>78</v>
      </c>
      <c r="N1727" s="23" t="s">
        <v>78</v>
      </c>
      <c r="O1727" s="23">
        <v>740</v>
      </c>
      <c r="P1727" s="23" t="s">
        <v>79</v>
      </c>
      <c r="Q1727" s="23" t="s">
        <v>83</v>
      </c>
      <c r="R1727" s="23">
        <v>11100176</v>
      </c>
      <c r="S1727" s="24">
        <v>46122</v>
      </c>
      <c r="T1727" s="24">
        <v>46080</v>
      </c>
      <c r="U1727" s="24">
        <v>47116</v>
      </c>
      <c r="X1727" s="24">
        <v>46079</v>
      </c>
      <c r="Y1727" s="23">
        <v>1111</v>
      </c>
      <c r="Z1727" s="23">
        <v>11400937</v>
      </c>
      <c r="AA1727" s="23">
        <v>3351</v>
      </c>
      <c r="AB1727" s="24">
        <v>46077</v>
      </c>
    </row>
    <row r="1728" spans="2:28" x14ac:dyDescent="0.2">
      <c r="C1728" s="23">
        <v>1100578245</v>
      </c>
      <c r="E1728" s="23">
        <v>90</v>
      </c>
      <c r="F1728" s="23" t="s">
        <v>1993</v>
      </c>
      <c r="G1728" s="23" t="s">
        <v>1994</v>
      </c>
      <c r="H1728" s="24">
        <v>46122</v>
      </c>
      <c r="I1728" s="24">
        <v>46122</v>
      </c>
      <c r="J1728" s="23" t="s">
        <v>2671</v>
      </c>
      <c r="K1728" s="23" t="s">
        <v>2671</v>
      </c>
      <c r="L1728" s="23">
        <v>1</v>
      </c>
      <c r="M1728" s="23" t="s">
        <v>78</v>
      </c>
      <c r="N1728" s="23" t="s">
        <v>78</v>
      </c>
      <c r="O1728" s="23">
        <v>771.55</v>
      </c>
      <c r="P1728" s="23" t="s">
        <v>79</v>
      </c>
      <c r="Q1728" s="23" t="s">
        <v>83</v>
      </c>
      <c r="R1728" s="23">
        <v>11100176</v>
      </c>
      <c r="S1728" s="24">
        <v>46122</v>
      </c>
      <c r="T1728" s="24">
        <v>46080</v>
      </c>
      <c r="U1728" s="24">
        <v>47116</v>
      </c>
      <c r="X1728" s="24">
        <v>46079</v>
      </c>
      <c r="Y1728" s="23">
        <v>1111</v>
      </c>
      <c r="Z1728" s="23">
        <v>11400937</v>
      </c>
      <c r="AA1728" s="23">
        <v>3351</v>
      </c>
      <c r="AB1728" s="24">
        <v>46077</v>
      </c>
    </row>
    <row r="1729" spans="2:28" x14ac:dyDescent="0.2">
      <c r="C1729" s="23">
        <v>1100578245</v>
      </c>
      <c r="E1729" s="23">
        <v>100</v>
      </c>
      <c r="F1729" s="23" t="s">
        <v>2678</v>
      </c>
      <c r="G1729" s="23" t="s">
        <v>2679</v>
      </c>
      <c r="H1729" s="24">
        <v>46122</v>
      </c>
      <c r="I1729" s="24">
        <v>46122</v>
      </c>
      <c r="J1729" s="23" t="s">
        <v>2671</v>
      </c>
      <c r="K1729" s="23" t="s">
        <v>2671</v>
      </c>
      <c r="L1729" s="23">
        <v>1</v>
      </c>
      <c r="M1729" s="23" t="s">
        <v>78</v>
      </c>
      <c r="N1729" s="23" t="s">
        <v>78</v>
      </c>
      <c r="O1729" s="23">
        <v>815</v>
      </c>
      <c r="P1729" s="23" t="s">
        <v>79</v>
      </c>
      <c r="Q1729" s="23" t="s">
        <v>83</v>
      </c>
      <c r="R1729" s="23">
        <v>11100176</v>
      </c>
      <c r="S1729" s="24">
        <v>46122</v>
      </c>
      <c r="T1729" s="24">
        <v>46080</v>
      </c>
      <c r="U1729" s="24">
        <v>47116</v>
      </c>
      <c r="X1729" s="24">
        <v>46079</v>
      </c>
      <c r="Y1729" s="23">
        <v>1111</v>
      </c>
      <c r="Z1729" s="23">
        <v>11400937</v>
      </c>
      <c r="AA1729" s="23">
        <v>3351</v>
      </c>
      <c r="AB1729" s="24">
        <v>46077</v>
      </c>
    </row>
    <row r="1730" spans="2:28" x14ac:dyDescent="0.2">
      <c r="C1730" s="23">
        <v>1100578245</v>
      </c>
      <c r="E1730" s="23">
        <v>120</v>
      </c>
      <c r="F1730" s="23" t="s">
        <v>2680</v>
      </c>
      <c r="G1730" s="23" t="s">
        <v>2681</v>
      </c>
      <c r="H1730" s="24">
        <v>46122</v>
      </c>
      <c r="I1730" s="24">
        <v>46122</v>
      </c>
      <c r="J1730" s="23" t="s">
        <v>2671</v>
      </c>
      <c r="K1730" s="23" t="s">
        <v>2671</v>
      </c>
      <c r="L1730" s="23">
        <v>1</v>
      </c>
      <c r="M1730" s="23" t="s">
        <v>78</v>
      </c>
      <c r="N1730" s="23" t="s">
        <v>78</v>
      </c>
      <c r="O1730" s="23">
        <v>830</v>
      </c>
      <c r="P1730" s="23" t="s">
        <v>79</v>
      </c>
      <c r="Q1730" s="23" t="s">
        <v>83</v>
      </c>
      <c r="R1730" s="23">
        <v>11100176</v>
      </c>
      <c r="S1730" s="24">
        <v>46122</v>
      </c>
      <c r="T1730" s="24">
        <v>46080</v>
      </c>
      <c r="U1730" s="24">
        <v>47116</v>
      </c>
      <c r="X1730" s="24">
        <v>46079</v>
      </c>
      <c r="Y1730" s="23">
        <v>1111</v>
      </c>
      <c r="Z1730" s="23">
        <v>11400937</v>
      </c>
      <c r="AA1730" s="23">
        <v>3351</v>
      </c>
      <c r="AB1730" s="24">
        <v>46077</v>
      </c>
    </row>
    <row r="1731" spans="2:28" x14ac:dyDescent="0.2">
      <c r="C1731" s="23">
        <v>1100578245</v>
      </c>
      <c r="E1731" s="23">
        <v>140</v>
      </c>
      <c r="F1731" s="23" t="s">
        <v>1942</v>
      </c>
      <c r="G1731" s="23" t="s">
        <v>1943</v>
      </c>
      <c r="H1731" s="24">
        <v>46122</v>
      </c>
      <c r="I1731" s="24">
        <v>46122</v>
      </c>
      <c r="J1731" s="23" t="s">
        <v>2671</v>
      </c>
      <c r="K1731" s="23" t="s">
        <v>2671</v>
      </c>
      <c r="L1731" s="23">
        <v>1</v>
      </c>
      <c r="M1731" s="23" t="s">
        <v>78</v>
      </c>
      <c r="N1731" s="23" t="s">
        <v>78</v>
      </c>
      <c r="O1731" s="23">
        <v>695.5</v>
      </c>
      <c r="P1731" s="23" t="s">
        <v>79</v>
      </c>
      <c r="Q1731" s="23" t="s">
        <v>83</v>
      </c>
      <c r="R1731" s="23">
        <v>11100176</v>
      </c>
      <c r="S1731" s="24">
        <v>46122</v>
      </c>
      <c r="T1731" s="24">
        <v>46080</v>
      </c>
      <c r="U1731" s="24">
        <v>47116</v>
      </c>
      <c r="X1731" s="24">
        <v>46079</v>
      </c>
      <c r="Y1731" s="23">
        <v>1111</v>
      </c>
      <c r="Z1731" s="23">
        <v>11400937</v>
      </c>
      <c r="AA1731" s="23">
        <v>3351</v>
      </c>
      <c r="AB1731" s="24">
        <v>46077</v>
      </c>
    </row>
    <row r="1732" spans="2:28" x14ac:dyDescent="0.2">
      <c r="C1732" s="23">
        <v>1100578245</v>
      </c>
      <c r="E1732" s="23">
        <v>150</v>
      </c>
      <c r="F1732" s="23" t="s">
        <v>2682</v>
      </c>
      <c r="G1732" s="23" t="s">
        <v>2683</v>
      </c>
      <c r="H1732" s="24">
        <v>46122</v>
      </c>
      <c r="I1732" s="24">
        <v>46122</v>
      </c>
      <c r="J1732" s="23" t="s">
        <v>2671</v>
      </c>
      <c r="K1732" s="23" t="s">
        <v>2671</v>
      </c>
      <c r="L1732" s="23">
        <v>1</v>
      </c>
      <c r="M1732" s="23" t="s">
        <v>78</v>
      </c>
      <c r="N1732" s="23" t="s">
        <v>78</v>
      </c>
      <c r="O1732" s="23">
        <v>771.55</v>
      </c>
      <c r="P1732" s="23" t="s">
        <v>79</v>
      </c>
      <c r="Q1732" s="23" t="s">
        <v>83</v>
      </c>
      <c r="R1732" s="23">
        <v>11100176</v>
      </c>
      <c r="S1732" s="24">
        <v>46122</v>
      </c>
      <c r="T1732" s="24">
        <v>46080</v>
      </c>
      <c r="U1732" s="24">
        <v>47116</v>
      </c>
      <c r="X1732" s="24">
        <v>46079</v>
      </c>
      <c r="Y1732" s="23">
        <v>1111</v>
      </c>
      <c r="Z1732" s="23">
        <v>11400937</v>
      </c>
      <c r="AA1732" s="23">
        <v>3351</v>
      </c>
      <c r="AB1732" s="24">
        <v>46077</v>
      </c>
    </row>
    <row r="1733" spans="2:28" x14ac:dyDescent="0.2">
      <c r="C1733" s="23">
        <v>1100578245</v>
      </c>
      <c r="E1733" s="23">
        <v>160</v>
      </c>
      <c r="F1733" s="23" t="s">
        <v>2684</v>
      </c>
      <c r="G1733" s="23" t="s">
        <v>2685</v>
      </c>
      <c r="H1733" s="24">
        <v>46122</v>
      </c>
      <c r="I1733" s="24">
        <v>46122</v>
      </c>
      <c r="J1733" s="23" t="s">
        <v>2671</v>
      </c>
      <c r="K1733" s="23" t="s">
        <v>2671</v>
      </c>
      <c r="L1733" s="23">
        <v>1</v>
      </c>
      <c r="M1733" s="23" t="s">
        <v>78</v>
      </c>
      <c r="N1733" s="23" t="s">
        <v>78</v>
      </c>
      <c r="O1733" s="23">
        <v>865</v>
      </c>
      <c r="P1733" s="23" t="s">
        <v>79</v>
      </c>
      <c r="Q1733" s="23" t="s">
        <v>83</v>
      </c>
      <c r="R1733" s="23">
        <v>11100176</v>
      </c>
      <c r="S1733" s="24">
        <v>46122</v>
      </c>
      <c r="T1733" s="24">
        <v>46080</v>
      </c>
      <c r="U1733" s="24">
        <v>47116</v>
      </c>
      <c r="X1733" s="24">
        <v>46079</v>
      </c>
      <c r="Y1733" s="23">
        <v>1111</v>
      </c>
      <c r="Z1733" s="23">
        <v>11400937</v>
      </c>
      <c r="AA1733" s="23">
        <v>3351</v>
      </c>
      <c r="AB1733" s="24">
        <v>46077</v>
      </c>
    </row>
    <row r="1734" spans="2:28" x14ac:dyDescent="0.2">
      <c r="C1734" s="23">
        <v>1100578245</v>
      </c>
      <c r="E1734" s="23">
        <v>170</v>
      </c>
      <c r="F1734" s="23" t="s">
        <v>2686</v>
      </c>
      <c r="G1734" s="23" t="s">
        <v>2687</v>
      </c>
      <c r="H1734" s="24">
        <v>46122</v>
      </c>
      <c r="I1734" s="24">
        <v>46122</v>
      </c>
      <c r="J1734" s="23" t="s">
        <v>2671</v>
      </c>
      <c r="K1734" s="23" t="s">
        <v>2671</v>
      </c>
      <c r="L1734" s="23">
        <v>1</v>
      </c>
      <c r="M1734" s="23" t="s">
        <v>78</v>
      </c>
      <c r="N1734" s="23" t="s">
        <v>78</v>
      </c>
      <c r="O1734" s="23">
        <v>1012</v>
      </c>
      <c r="P1734" s="23" t="s">
        <v>79</v>
      </c>
      <c r="Q1734" s="23" t="s">
        <v>83</v>
      </c>
      <c r="R1734" s="23">
        <v>11100176</v>
      </c>
      <c r="S1734" s="24">
        <v>46122</v>
      </c>
      <c r="T1734" s="24">
        <v>46080</v>
      </c>
      <c r="U1734" s="24">
        <v>47116</v>
      </c>
      <c r="X1734" s="24">
        <v>46079</v>
      </c>
      <c r="Y1734" s="23">
        <v>1111</v>
      </c>
      <c r="Z1734" s="23">
        <v>11400937</v>
      </c>
      <c r="AA1734" s="23">
        <v>3351</v>
      </c>
      <c r="AB1734" s="24">
        <v>46077</v>
      </c>
    </row>
    <row r="1735" spans="2:28" x14ac:dyDescent="0.2">
      <c r="B1735" s="23" t="s">
        <v>81</v>
      </c>
      <c r="C1735" s="23">
        <v>1100578245</v>
      </c>
      <c r="H1735" s="24">
        <v>46122</v>
      </c>
      <c r="O1735" s="23">
        <v>9762.1</v>
      </c>
      <c r="P1735" s="23" t="s">
        <v>79</v>
      </c>
    </row>
    <row r="1736" spans="2:28" x14ac:dyDescent="0.2">
      <c r="C1736" s="23">
        <v>1100578327</v>
      </c>
      <c r="E1736" s="23">
        <v>10</v>
      </c>
      <c r="F1736" s="23" t="s">
        <v>3520</v>
      </c>
      <c r="G1736" s="23" t="s">
        <v>3521</v>
      </c>
      <c r="H1736" s="24">
        <v>46122</v>
      </c>
      <c r="I1736" s="24">
        <v>46122</v>
      </c>
      <c r="J1736" s="23" t="s">
        <v>844</v>
      </c>
      <c r="K1736" s="23" t="s">
        <v>844</v>
      </c>
      <c r="L1736" s="23">
        <v>2</v>
      </c>
      <c r="M1736" s="23" t="s">
        <v>78</v>
      </c>
      <c r="N1736" s="23" t="s">
        <v>78</v>
      </c>
      <c r="O1736" s="23">
        <v>54.9</v>
      </c>
      <c r="P1736" s="23" t="s">
        <v>79</v>
      </c>
      <c r="Q1736" s="23" t="s">
        <v>83</v>
      </c>
      <c r="R1736" s="23">
        <v>11100176</v>
      </c>
      <c r="S1736" s="24">
        <v>46108</v>
      </c>
      <c r="T1736" s="24">
        <v>46080</v>
      </c>
      <c r="U1736" s="24">
        <v>47116</v>
      </c>
      <c r="X1736" s="24">
        <v>46063</v>
      </c>
      <c r="Y1736" s="23">
        <v>1111</v>
      </c>
      <c r="Z1736" s="23">
        <v>11600001</v>
      </c>
      <c r="AA1736" s="23">
        <v>505103</v>
      </c>
      <c r="AB1736" s="24">
        <v>46069</v>
      </c>
    </row>
    <row r="1737" spans="2:28" x14ac:dyDescent="0.2">
      <c r="C1737" s="23">
        <v>1100578327</v>
      </c>
      <c r="E1737" s="23">
        <v>40</v>
      </c>
      <c r="F1737" s="23" t="s">
        <v>3522</v>
      </c>
      <c r="G1737" s="23" t="s">
        <v>3523</v>
      </c>
      <c r="H1737" s="24">
        <v>46122</v>
      </c>
      <c r="I1737" s="24">
        <v>46122</v>
      </c>
      <c r="J1737" s="23" t="s">
        <v>844</v>
      </c>
      <c r="K1737" s="23" t="s">
        <v>844</v>
      </c>
      <c r="L1737" s="23">
        <v>2</v>
      </c>
      <c r="M1737" s="23" t="s">
        <v>78</v>
      </c>
      <c r="N1737" s="23" t="s">
        <v>78</v>
      </c>
      <c r="O1737" s="23">
        <v>103.08</v>
      </c>
      <c r="P1737" s="23" t="s">
        <v>79</v>
      </c>
      <c r="Q1737" s="23" t="s">
        <v>83</v>
      </c>
      <c r="R1737" s="23">
        <v>11100176</v>
      </c>
      <c r="S1737" s="24">
        <v>46108</v>
      </c>
      <c r="T1737" s="24">
        <v>46080</v>
      </c>
      <c r="U1737" s="24">
        <v>47116</v>
      </c>
      <c r="X1737" s="24">
        <v>46063</v>
      </c>
      <c r="Y1737" s="23">
        <v>1111</v>
      </c>
      <c r="Z1737" s="23">
        <v>11600001</v>
      </c>
      <c r="AA1737" s="23">
        <v>505103</v>
      </c>
      <c r="AB1737" s="24">
        <v>46069</v>
      </c>
    </row>
    <row r="1738" spans="2:28" x14ac:dyDescent="0.2">
      <c r="C1738" s="23">
        <v>1100578327</v>
      </c>
      <c r="E1738" s="23">
        <v>50</v>
      </c>
      <c r="F1738" s="23" t="s">
        <v>3524</v>
      </c>
      <c r="G1738" s="23" t="s">
        <v>3525</v>
      </c>
      <c r="H1738" s="24">
        <v>46122</v>
      </c>
      <c r="I1738" s="24">
        <v>46122</v>
      </c>
      <c r="J1738" s="23" t="s">
        <v>844</v>
      </c>
      <c r="K1738" s="23" t="s">
        <v>844</v>
      </c>
      <c r="L1738" s="23">
        <v>2</v>
      </c>
      <c r="M1738" s="23" t="s">
        <v>78</v>
      </c>
      <c r="N1738" s="23" t="s">
        <v>78</v>
      </c>
      <c r="O1738" s="23">
        <v>155.69999999999999</v>
      </c>
      <c r="P1738" s="23" t="s">
        <v>79</v>
      </c>
      <c r="Q1738" s="23" t="s">
        <v>83</v>
      </c>
      <c r="R1738" s="23">
        <v>11100176</v>
      </c>
      <c r="S1738" s="24">
        <v>46108</v>
      </c>
      <c r="T1738" s="24">
        <v>46080</v>
      </c>
      <c r="U1738" s="24">
        <v>47116</v>
      </c>
      <c r="X1738" s="24">
        <v>46063</v>
      </c>
      <c r="Y1738" s="23">
        <v>1111</v>
      </c>
      <c r="Z1738" s="23">
        <v>11600001</v>
      </c>
      <c r="AA1738" s="23">
        <v>505103</v>
      </c>
      <c r="AB1738" s="24">
        <v>46069</v>
      </c>
    </row>
    <row r="1739" spans="2:28" x14ac:dyDescent="0.2">
      <c r="C1739" s="23">
        <v>1100578327</v>
      </c>
      <c r="E1739" s="23">
        <v>60</v>
      </c>
      <c r="F1739" s="23" t="s">
        <v>3526</v>
      </c>
      <c r="G1739" s="23" t="s">
        <v>3527</v>
      </c>
      <c r="H1739" s="24">
        <v>46122</v>
      </c>
      <c r="I1739" s="24">
        <v>46122</v>
      </c>
      <c r="J1739" s="23" t="s">
        <v>844</v>
      </c>
      <c r="K1739" s="23" t="s">
        <v>844</v>
      </c>
      <c r="L1739" s="23">
        <v>2</v>
      </c>
      <c r="M1739" s="23" t="s">
        <v>78</v>
      </c>
      <c r="N1739" s="23" t="s">
        <v>78</v>
      </c>
      <c r="O1739" s="23">
        <v>896.94</v>
      </c>
      <c r="P1739" s="23" t="s">
        <v>79</v>
      </c>
      <c r="Q1739" s="23" t="s">
        <v>83</v>
      </c>
      <c r="R1739" s="23">
        <v>11100176</v>
      </c>
      <c r="S1739" s="24">
        <v>46108</v>
      </c>
      <c r="T1739" s="24">
        <v>46080</v>
      </c>
      <c r="U1739" s="24">
        <v>47116</v>
      </c>
      <c r="X1739" s="24">
        <v>46063</v>
      </c>
      <c r="Y1739" s="23">
        <v>1111</v>
      </c>
      <c r="Z1739" s="23">
        <v>11600001</v>
      </c>
      <c r="AA1739" s="23">
        <v>505103</v>
      </c>
      <c r="AB1739" s="24">
        <v>46069</v>
      </c>
    </row>
    <row r="1740" spans="2:28" x14ac:dyDescent="0.2">
      <c r="C1740" s="23">
        <v>1100578327</v>
      </c>
      <c r="E1740" s="23">
        <v>70</v>
      </c>
      <c r="F1740" s="23" t="s">
        <v>3528</v>
      </c>
      <c r="G1740" s="23" t="s">
        <v>3529</v>
      </c>
      <c r="H1740" s="24">
        <v>46122</v>
      </c>
      <c r="I1740" s="24">
        <v>46122</v>
      </c>
      <c r="J1740" s="23" t="s">
        <v>844</v>
      </c>
      <c r="K1740" s="23" t="s">
        <v>844</v>
      </c>
      <c r="L1740" s="23">
        <v>2</v>
      </c>
      <c r="M1740" s="23" t="s">
        <v>78</v>
      </c>
      <c r="N1740" s="23" t="s">
        <v>78</v>
      </c>
      <c r="O1740" s="23">
        <v>89.92</v>
      </c>
      <c r="P1740" s="23" t="s">
        <v>79</v>
      </c>
      <c r="Q1740" s="23" t="s">
        <v>83</v>
      </c>
      <c r="R1740" s="23">
        <v>11100176</v>
      </c>
      <c r="S1740" s="24">
        <v>46108</v>
      </c>
      <c r="T1740" s="24">
        <v>46080</v>
      </c>
      <c r="U1740" s="24">
        <v>47116</v>
      </c>
      <c r="X1740" s="24">
        <v>46063</v>
      </c>
      <c r="Y1740" s="23">
        <v>1111</v>
      </c>
      <c r="Z1740" s="23">
        <v>11600001</v>
      </c>
      <c r="AA1740" s="23">
        <v>505103</v>
      </c>
      <c r="AB1740" s="24">
        <v>46069</v>
      </c>
    </row>
    <row r="1741" spans="2:28" x14ac:dyDescent="0.2">
      <c r="C1741" s="23">
        <v>1100578327</v>
      </c>
      <c r="E1741" s="23">
        <v>80</v>
      </c>
      <c r="F1741" s="23" t="s">
        <v>82</v>
      </c>
      <c r="G1741" s="23" t="s">
        <v>139</v>
      </c>
      <c r="H1741" s="24">
        <v>46122</v>
      </c>
      <c r="I1741" s="24">
        <v>46122</v>
      </c>
      <c r="J1741" s="23" t="s">
        <v>844</v>
      </c>
      <c r="K1741" s="23" t="s">
        <v>844</v>
      </c>
      <c r="L1741" s="23">
        <v>1</v>
      </c>
      <c r="M1741" s="23" t="s">
        <v>78</v>
      </c>
      <c r="N1741" s="23" t="s">
        <v>78</v>
      </c>
      <c r="O1741" s="23">
        <v>0.01</v>
      </c>
      <c r="P1741" s="23" t="s">
        <v>79</v>
      </c>
      <c r="Q1741" s="23" t="s">
        <v>83</v>
      </c>
      <c r="R1741" s="23">
        <v>11100176</v>
      </c>
      <c r="S1741" s="24">
        <v>46085</v>
      </c>
      <c r="T1741" s="24">
        <v>46080</v>
      </c>
      <c r="U1741" s="24">
        <v>47116</v>
      </c>
      <c r="X1741" s="24">
        <v>46063</v>
      </c>
      <c r="Y1741" s="23">
        <v>1111</v>
      </c>
      <c r="Z1741" s="23">
        <v>11600001</v>
      </c>
      <c r="AA1741" s="23">
        <v>505103</v>
      </c>
      <c r="AB1741" s="24">
        <v>46069</v>
      </c>
    </row>
    <row r="1742" spans="2:28" x14ac:dyDescent="0.2">
      <c r="B1742" s="23" t="s">
        <v>81</v>
      </c>
      <c r="C1742" s="23">
        <v>1100578327</v>
      </c>
      <c r="H1742" s="24">
        <v>46122</v>
      </c>
      <c r="O1742" s="23">
        <v>1300.55</v>
      </c>
      <c r="P1742" s="23" t="s">
        <v>79</v>
      </c>
    </row>
    <row r="1743" spans="2:28" x14ac:dyDescent="0.2">
      <c r="C1743" s="23">
        <v>1100578332</v>
      </c>
      <c r="E1743" s="23">
        <v>50</v>
      </c>
      <c r="F1743" s="23" t="s">
        <v>3530</v>
      </c>
      <c r="G1743" s="23" t="s">
        <v>3531</v>
      </c>
      <c r="H1743" s="24">
        <v>46122</v>
      </c>
      <c r="I1743" s="24">
        <v>46122</v>
      </c>
      <c r="J1743" s="23" t="s">
        <v>882</v>
      </c>
      <c r="K1743" s="23" t="s">
        <v>882</v>
      </c>
      <c r="L1743" s="23">
        <v>4</v>
      </c>
      <c r="M1743" s="23" t="s">
        <v>78</v>
      </c>
      <c r="N1743" s="23" t="s">
        <v>78</v>
      </c>
      <c r="O1743" s="23">
        <v>921.08</v>
      </c>
      <c r="P1743" s="23" t="s">
        <v>79</v>
      </c>
      <c r="Q1743" s="23" t="s">
        <v>83</v>
      </c>
      <c r="R1743" s="23">
        <v>11100176</v>
      </c>
      <c r="S1743" s="24">
        <v>46122</v>
      </c>
      <c r="T1743" s="24">
        <v>46080</v>
      </c>
      <c r="U1743" s="24">
        <v>46122</v>
      </c>
      <c r="X1743" s="24">
        <v>46080</v>
      </c>
      <c r="Y1743" s="23">
        <v>1111</v>
      </c>
      <c r="Z1743" s="23">
        <v>11400811</v>
      </c>
      <c r="AA1743" s="23">
        <v>5051</v>
      </c>
      <c r="AB1743" s="24">
        <v>46079</v>
      </c>
    </row>
    <row r="1744" spans="2:28" x14ac:dyDescent="0.2">
      <c r="B1744" s="23" t="s">
        <v>81</v>
      </c>
      <c r="C1744" s="23">
        <v>1100578332</v>
      </c>
      <c r="H1744" s="24">
        <v>46122</v>
      </c>
      <c r="O1744" s="23">
        <v>921.08</v>
      </c>
      <c r="P1744" s="23" t="s">
        <v>79</v>
      </c>
    </row>
    <row r="1745" spans="2:28" x14ac:dyDescent="0.2">
      <c r="C1745" s="23">
        <v>1100578384</v>
      </c>
      <c r="E1745" s="23">
        <v>10</v>
      </c>
      <c r="F1745" s="23" t="s">
        <v>2803</v>
      </c>
      <c r="G1745" s="23" t="s">
        <v>2804</v>
      </c>
      <c r="H1745" s="24">
        <v>46122</v>
      </c>
      <c r="I1745" s="24">
        <v>46122</v>
      </c>
      <c r="J1745" s="23" t="s">
        <v>3532</v>
      </c>
      <c r="K1745" s="23" t="s">
        <v>3532</v>
      </c>
      <c r="L1745" s="23">
        <v>1</v>
      </c>
      <c r="M1745" s="23" t="s">
        <v>78</v>
      </c>
      <c r="N1745" s="23" t="s">
        <v>78</v>
      </c>
      <c r="O1745" s="23">
        <v>4542.68</v>
      </c>
      <c r="P1745" s="23" t="s">
        <v>79</v>
      </c>
      <c r="Q1745" s="23" t="s">
        <v>83</v>
      </c>
      <c r="R1745" s="23">
        <v>11100176</v>
      </c>
      <c r="S1745" s="24">
        <v>46122</v>
      </c>
      <c r="T1745" s="24">
        <v>46081</v>
      </c>
      <c r="U1745" s="24" t="s">
        <v>80</v>
      </c>
      <c r="X1745" s="24">
        <v>46080</v>
      </c>
      <c r="Y1745" s="23">
        <v>1111</v>
      </c>
      <c r="Z1745" s="23">
        <v>11400937</v>
      </c>
      <c r="AA1745" s="23">
        <v>525103</v>
      </c>
      <c r="AB1745" s="24">
        <v>46080</v>
      </c>
    </row>
    <row r="1746" spans="2:28" x14ac:dyDescent="0.2">
      <c r="C1746" s="23">
        <v>1100578384</v>
      </c>
      <c r="E1746" s="23">
        <v>20</v>
      </c>
      <c r="F1746" s="23" t="s">
        <v>82</v>
      </c>
      <c r="G1746" s="23" t="s">
        <v>139</v>
      </c>
      <c r="H1746" s="24">
        <v>46122</v>
      </c>
      <c r="I1746" s="24">
        <v>46122</v>
      </c>
      <c r="J1746" s="23" t="s">
        <v>3532</v>
      </c>
      <c r="K1746" s="23" t="s">
        <v>3532</v>
      </c>
      <c r="L1746" s="23">
        <v>1</v>
      </c>
      <c r="M1746" s="23" t="s">
        <v>78</v>
      </c>
      <c r="N1746" s="23" t="s">
        <v>78</v>
      </c>
      <c r="O1746" s="23">
        <v>0.01</v>
      </c>
      <c r="P1746" s="23" t="s">
        <v>79</v>
      </c>
      <c r="Q1746" s="23" t="s">
        <v>83</v>
      </c>
      <c r="R1746" s="23">
        <v>11100176</v>
      </c>
      <c r="S1746" s="24" t="s">
        <v>80</v>
      </c>
      <c r="T1746" s="24">
        <v>46081</v>
      </c>
      <c r="U1746" s="24" t="s">
        <v>80</v>
      </c>
      <c r="X1746" s="24">
        <v>46080</v>
      </c>
      <c r="Y1746" s="23">
        <v>1111</v>
      </c>
      <c r="Z1746" s="23">
        <v>11400937</v>
      </c>
      <c r="AA1746" s="23">
        <v>525103</v>
      </c>
      <c r="AB1746" s="24">
        <v>46080</v>
      </c>
    </row>
    <row r="1747" spans="2:28" x14ac:dyDescent="0.2">
      <c r="B1747" s="23" t="s">
        <v>81</v>
      </c>
      <c r="C1747" s="23">
        <v>1100578384</v>
      </c>
      <c r="H1747" s="24">
        <v>46122</v>
      </c>
      <c r="O1747" s="23">
        <v>4542.6899999999996</v>
      </c>
      <c r="P1747" s="23" t="s">
        <v>79</v>
      </c>
    </row>
    <row r="1748" spans="2:28" x14ac:dyDescent="0.2">
      <c r="C1748" s="23">
        <v>1100575970</v>
      </c>
      <c r="E1748" s="23">
        <v>30</v>
      </c>
      <c r="F1748" s="23" t="s">
        <v>2919</v>
      </c>
      <c r="G1748" s="23" t="s">
        <v>2920</v>
      </c>
      <c r="H1748" s="24">
        <v>46124</v>
      </c>
      <c r="I1748" s="24">
        <v>46124</v>
      </c>
      <c r="J1748" s="23" t="s">
        <v>92</v>
      </c>
      <c r="K1748" s="23" t="s">
        <v>92</v>
      </c>
      <c r="L1748" s="23">
        <v>2</v>
      </c>
      <c r="M1748" s="23" t="s">
        <v>78</v>
      </c>
      <c r="N1748" s="23" t="s">
        <v>78</v>
      </c>
      <c r="O1748" s="23">
        <v>210.52</v>
      </c>
      <c r="P1748" s="23" t="s">
        <v>79</v>
      </c>
      <c r="Q1748" s="23" t="s">
        <v>83</v>
      </c>
      <c r="R1748" s="23">
        <v>11100176</v>
      </c>
      <c r="S1748" s="24">
        <v>46079</v>
      </c>
      <c r="T1748" s="24">
        <v>46058</v>
      </c>
      <c r="U1748" s="24">
        <v>46122</v>
      </c>
      <c r="X1748" s="24">
        <v>46057</v>
      </c>
      <c r="Y1748" s="23">
        <v>1111</v>
      </c>
      <c r="Z1748" s="23">
        <v>11400937</v>
      </c>
      <c r="AA1748" s="23">
        <v>5251</v>
      </c>
      <c r="AB1748" s="24">
        <v>46024</v>
      </c>
    </row>
    <row r="1749" spans="2:28" x14ac:dyDescent="0.2">
      <c r="B1749" s="23" t="s">
        <v>81</v>
      </c>
      <c r="C1749" s="23">
        <v>1100575970</v>
      </c>
      <c r="H1749" s="24">
        <v>46124</v>
      </c>
      <c r="O1749" s="23">
        <v>210.52</v>
      </c>
      <c r="P1749" s="23" t="s">
        <v>79</v>
      </c>
    </row>
    <row r="1750" spans="2:28" x14ac:dyDescent="0.2">
      <c r="C1750" s="23">
        <v>1100574378</v>
      </c>
      <c r="E1750" s="23">
        <v>40</v>
      </c>
      <c r="F1750" s="23" t="s">
        <v>84</v>
      </c>
      <c r="G1750" s="23" t="s">
        <v>123</v>
      </c>
      <c r="H1750" s="24">
        <v>46125</v>
      </c>
      <c r="I1750" s="24">
        <v>46125</v>
      </c>
      <c r="J1750" s="23" t="s">
        <v>1772</v>
      </c>
      <c r="K1750" s="23" t="s">
        <v>1772</v>
      </c>
      <c r="L1750" s="23">
        <v>1</v>
      </c>
      <c r="M1750" s="23" t="s">
        <v>78</v>
      </c>
      <c r="N1750" s="23" t="s">
        <v>78</v>
      </c>
      <c r="O1750" s="23">
        <v>0.01</v>
      </c>
      <c r="P1750" s="23" t="s">
        <v>79</v>
      </c>
      <c r="Q1750" s="23" t="s">
        <v>83</v>
      </c>
      <c r="R1750" s="23">
        <v>11100008</v>
      </c>
      <c r="S1750" s="24" t="s">
        <v>80</v>
      </c>
      <c r="T1750" s="24">
        <v>46043</v>
      </c>
      <c r="U1750" s="24" t="s">
        <v>80</v>
      </c>
      <c r="X1750" s="24">
        <v>46042</v>
      </c>
      <c r="Y1750" s="23">
        <v>1111</v>
      </c>
      <c r="Z1750" s="23">
        <v>11400745</v>
      </c>
      <c r="AA1750" s="23">
        <v>3351</v>
      </c>
      <c r="AB1750" s="24">
        <v>46037</v>
      </c>
    </row>
    <row r="1751" spans="2:28" x14ac:dyDescent="0.2">
      <c r="B1751" s="23" t="s">
        <v>81</v>
      </c>
      <c r="C1751" s="23">
        <v>1100574378</v>
      </c>
      <c r="H1751" s="24">
        <v>46125</v>
      </c>
      <c r="O1751" s="23">
        <v>0.01</v>
      </c>
      <c r="P1751" s="23" t="s">
        <v>79</v>
      </c>
    </row>
    <row r="1752" spans="2:28" x14ac:dyDescent="0.2">
      <c r="C1752" s="23">
        <v>1100575740</v>
      </c>
      <c r="E1752" s="23">
        <v>10</v>
      </c>
      <c r="F1752" s="23" t="s">
        <v>1859</v>
      </c>
      <c r="G1752" s="23" t="s">
        <v>733</v>
      </c>
      <c r="H1752" s="24">
        <v>46125</v>
      </c>
      <c r="I1752" s="24">
        <v>46125</v>
      </c>
      <c r="J1752" s="23" t="s">
        <v>1781</v>
      </c>
      <c r="K1752" s="23" t="s">
        <v>1781</v>
      </c>
      <c r="L1752" s="23">
        <v>1</v>
      </c>
      <c r="M1752" s="23" t="s">
        <v>78</v>
      </c>
      <c r="N1752" s="23" t="s">
        <v>78</v>
      </c>
      <c r="O1752" s="23">
        <v>173.08</v>
      </c>
      <c r="P1752" s="23" t="s">
        <v>79</v>
      </c>
      <c r="Q1752" s="23" t="s">
        <v>83</v>
      </c>
      <c r="R1752" s="23">
        <v>11100176</v>
      </c>
      <c r="S1752" s="24">
        <v>46094</v>
      </c>
      <c r="T1752" s="24">
        <v>46056</v>
      </c>
      <c r="U1752" s="24" t="s">
        <v>80</v>
      </c>
      <c r="X1752" s="24">
        <v>46037</v>
      </c>
      <c r="Y1752" s="23">
        <v>1111</v>
      </c>
      <c r="Z1752" s="23">
        <v>11400704</v>
      </c>
      <c r="AA1752" s="23">
        <v>335103</v>
      </c>
      <c r="AB1752" s="24">
        <v>46052</v>
      </c>
    </row>
    <row r="1753" spans="2:28" x14ac:dyDescent="0.2">
      <c r="C1753" s="23">
        <v>1100575740</v>
      </c>
      <c r="E1753" s="23">
        <v>20</v>
      </c>
      <c r="F1753" s="23" t="s">
        <v>3533</v>
      </c>
      <c r="G1753" s="23" t="s">
        <v>3534</v>
      </c>
      <c r="H1753" s="24">
        <v>46125</v>
      </c>
      <c r="I1753" s="24">
        <v>46125</v>
      </c>
      <c r="J1753" s="23" t="s">
        <v>1781</v>
      </c>
      <c r="K1753" s="23" t="s">
        <v>1781</v>
      </c>
      <c r="L1753" s="23">
        <v>1</v>
      </c>
      <c r="M1753" s="23" t="s">
        <v>78</v>
      </c>
      <c r="N1753" s="23" t="s">
        <v>78</v>
      </c>
      <c r="O1753" s="23">
        <v>1445</v>
      </c>
      <c r="P1753" s="23" t="s">
        <v>79</v>
      </c>
      <c r="Q1753" s="23" t="s">
        <v>83</v>
      </c>
      <c r="R1753" s="23">
        <v>11100176</v>
      </c>
      <c r="S1753" s="24">
        <v>46094</v>
      </c>
      <c r="T1753" s="24">
        <v>46056</v>
      </c>
      <c r="U1753" s="24" t="s">
        <v>80</v>
      </c>
      <c r="X1753" s="24">
        <v>46037</v>
      </c>
      <c r="Y1753" s="23">
        <v>1111</v>
      </c>
      <c r="Z1753" s="23">
        <v>11400704</v>
      </c>
      <c r="AA1753" s="23">
        <v>335103</v>
      </c>
      <c r="AB1753" s="24">
        <v>46052</v>
      </c>
    </row>
    <row r="1754" spans="2:28" x14ac:dyDescent="0.2">
      <c r="C1754" s="23">
        <v>1100575740</v>
      </c>
      <c r="E1754" s="23">
        <v>30</v>
      </c>
      <c r="F1754" s="23" t="s">
        <v>778</v>
      </c>
      <c r="G1754" s="23" t="s">
        <v>1999</v>
      </c>
      <c r="H1754" s="24">
        <v>46125</v>
      </c>
      <c r="I1754" s="24">
        <v>46125</v>
      </c>
      <c r="J1754" s="23" t="s">
        <v>1781</v>
      </c>
      <c r="K1754" s="23" t="s">
        <v>1781</v>
      </c>
      <c r="L1754" s="23">
        <v>4</v>
      </c>
      <c r="M1754" s="23" t="s">
        <v>78</v>
      </c>
      <c r="N1754" s="23" t="s">
        <v>78</v>
      </c>
      <c r="O1754" s="23">
        <v>1574.56</v>
      </c>
      <c r="P1754" s="23" t="s">
        <v>79</v>
      </c>
      <c r="Q1754" s="23" t="s">
        <v>83</v>
      </c>
      <c r="R1754" s="23">
        <v>11100176</v>
      </c>
      <c r="S1754" s="24">
        <v>46094</v>
      </c>
      <c r="T1754" s="24">
        <v>46056</v>
      </c>
      <c r="U1754" s="24" t="s">
        <v>80</v>
      </c>
      <c r="X1754" s="24">
        <v>46037</v>
      </c>
      <c r="Y1754" s="23">
        <v>1111</v>
      </c>
      <c r="Z1754" s="23">
        <v>11400704</v>
      </c>
      <c r="AA1754" s="23">
        <v>335103</v>
      </c>
      <c r="AB1754" s="24">
        <v>46052</v>
      </c>
    </row>
    <row r="1755" spans="2:28" x14ac:dyDescent="0.2">
      <c r="C1755" s="23">
        <v>1100575740</v>
      </c>
      <c r="E1755" s="23">
        <v>40</v>
      </c>
      <c r="F1755" s="23" t="s">
        <v>3535</v>
      </c>
      <c r="G1755" s="23" t="s">
        <v>2290</v>
      </c>
      <c r="H1755" s="24">
        <v>46125</v>
      </c>
      <c r="I1755" s="24">
        <v>46125</v>
      </c>
      <c r="J1755" s="23" t="s">
        <v>1781</v>
      </c>
      <c r="K1755" s="23" t="s">
        <v>1781</v>
      </c>
      <c r="L1755" s="23">
        <v>2</v>
      </c>
      <c r="M1755" s="23" t="s">
        <v>78</v>
      </c>
      <c r="N1755" s="23" t="s">
        <v>78</v>
      </c>
      <c r="O1755" s="23">
        <v>8815</v>
      </c>
      <c r="P1755" s="23" t="s">
        <v>79</v>
      </c>
      <c r="Q1755" s="23" t="s">
        <v>83</v>
      </c>
      <c r="R1755" s="23">
        <v>11100176</v>
      </c>
      <c r="S1755" s="24">
        <v>46094</v>
      </c>
      <c r="T1755" s="24">
        <v>46056</v>
      </c>
      <c r="U1755" s="24" t="s">
        <v>80</v>
      </c>
      <c r="X1755" s="24">
        <v>46037</v>
      </c>
      <c r="Y1755" s="23">
        <v>1111</v>
      </c>
      <c r="Z1755" s="23">
        <v>11400704</v>
      </c>
      <c r="AA1755" s="23">
        <v>335103</v>
      </c>
      <c r="AB1755" s="24">
        <v>46052</v>
      </c>
    </row>
    <row r="1756" spans="2:28" x14ac:dyDescent="0.2">
      <c r="C1756" s="23">
        <v>1100575740</v>
      </c>
      <c r="E1756" s="23">
        <v>50</v>
      </c>
      <c r="F1756" s="23" t="s">
        <v>3536</v>
      </c>
      <c r="G1756" s="23" t="s">
        <v>3537</v>
      </c>
      <c r="H1756" s="24">
        <v>46125</v>
      </c>
      <c r="I1756" s="24">
        <v>46125</v>
      </c>
      <c r="J1756" s="23" t="s">
        <v>1781</v>
      </c>
      <c r="K1756" s="23" t="s">
        <v>1781</v>
      </c>
      <c r="L1756" s="23">
        <v>2</v>
      </c>
      <c r="M1756" s="23" t="s">
        <v>78</v>
      </c>
      <c r="N1756" s="23" t="s">
        <v>78</v>
      </c>
      <c r="O1756" s="23">
        <v>4732.5</v>
      </c>
      <c r="P1756" s="23" t="s">
        <v>79</v>
      </c>
      <c r="Q1756" s="23" t="s">
        <v>83</v>
      </c>
      <c r="R1756" s="23">
        <v>11100176</v>
      </c>
      <c r="S1756" s="24">
        <v>46094</v>
      </c>
      <c r="T1756" s="24">
        <v>46056</v>
      </c>
      <c r="U1756" s="24" t="s">
        <v>80</v>
      </c>
      <c r="X1756" s="24">
        <v>46037</v>
      </c>
      <c r="Y1756" s="23">
        <v>1111</v>
      </c>
      <c r="Z1756" s="23">
        <v>11400704</v>
      </c>
      <c r="AA1756" s="23">
        <v>335103</v>
      </c>
      <c r="AB1756" s="24">
        <v>46052</v>
      </c>
    </row>
    <row r="1757" spans="2:28" x14ac:dyDescent="0.2">
      <c r="C1757" s="23">
        <v>1100575740</v>
      </c>
      <c r="E1757" s="23">
        <v>60</v>
      </c>
      <c r="F1757" s="23" t="s">
        <v>3538</v>
      </c>
      <c r="G1757" s="23" t="s">
        <v>3539</v>
      </c>
      <c r="H1757" s="24">
        <v>46125</v>
      </c>
      <c r="I1757" s="24">
        <v>46125</v>
      </c>
      <c r="J1757" s="23" t="s">
        <v>1781</v>
      </c>
      <c r="K1757" s="23" t="s">
        <v>1781</v>
      </c>
      <c r="L1757" s="23">
        <v>4</v>
      </c>
      <c r="M1757" s="23" t="s">
        <v>78</v>
      </c>
      <c r="N1757" s="23" t="s">
        <v>78</v>
      </c>
      <c r="O1757" s="23">
        <v>24.48</v>
      </c>
      <c r="P1757" s="23" t="s">
        <v>79</v>
      </c>
      <c r="Q1757" s="23" t="s">
        <v>83</v>
      </c>
      <c r="R1757" s="23">
        <v>11100176</v>
      </c>
      <c r="S1757" s="24">
        <v>46094</v>
      </c>
      <c r="T1757" s="24">
        <v>46056</v>
      </c>
      <c r="U1757" s="24" t="s">
        <v>80</v>
      </c>
      <c r="X1757" s="24">
        <v>46037</v>
      </c>
      <c r="Y1757" s="23">
        <v>1111</v>
      </c>
      <c r="Z1757" s="23">
        <v>11400704</v>
      </c>
      <c r="AA1757" s="23">
        <v>335103</v>
      </c>
      <c r="AB1757" s="24">
        <v>46052</v>
      </c>
    </row>
    <row r="1758" spans="2:28" x14ac:dyDescent="0.2">
      <c r="B1758" s="23" t="s">
        <v>81</v>
      </c>
      <c r="C1758" s="23">
        <v>1100575740</v>
      </c>
      <c r="H1758" s="24">
        <v>46125</v>
      </c>
      <c r="O1758" s="23">
        <v>16764.62</v>
      </c>
      <c r="P1758" s="23" t="s">
        <v>79</v>
      </c>
    </row>
    <row r="1759" spans="2:28" x14ac:dyDescent="0.2">
      <c r="C1759" s="23">
        <v>1100576134</v>
      </c>
      <c r="E1759" s="23">
        <v>10</v>
      </c>
      <c r="F1759" s="23" t="s">
        <v>1168</v>
      </c>
      <c r="G1759" s="23" t="s">
        <v>1826</v>
      </c>
      <c r="H1759" s="24">
        <v>46125</v>
      </c>
      <c r="I1759" s="24">
        <v>46125</v>
      </c>
      <c r="J1759" s="23" t="s">
        <v>1898</v>
      </c>
      <c r="K1759" s="23" t="s">
        <v>1898</v>
      </c>
      <c r="L1759" s="23">
        <v>4</v>
      </c>
      <c r="M1759" s="23" t="s">
        <v>78</v>
      </c>
      <c r="N1759" s="23" t="s">
        <v>78</v>
      </c>
      <c r="O1759" s="23">
        <v>557.04</v>
      </c>
      <c r="P1759" s="23" t="s">
        <v>79</v>
      </c>
      <c r="Q1759" s="23" t="s">
        <v>83</v>
      </c>
      <c r="R1759" s="23">
        <v>11100176</v>
      </c>
      <c r="S1759" s="24">
        <v>46094</v>
      </c>
      <c r="T1759" s="24">
        <v>46059</v>
      </c>
      <c r="U1759" s="24" t="s">
        <v>80</v>
      </c>
      <c r="X1759" s="24">
        <v>46057</v>
      </c>
      <c r="Y1759" s="23">
        <v>1111</v>
      </c>
      <c r="Z1759" s="23">
        <v>11600003</v>
      </c>
      <c r="AA1759" s="23">
        <v>335103</v>
      </c>
      <c r="AB1759" s="24">
        <v>46022</v>
      </c>
    </row>
    <row r="1760" spans="2:28" x14ac:dyDescent="0.2">
      <c r="C1760" s="23">
        <v>1100576134</v>
      </c>
      <c r="E1760" s="23">
        <v>20</v>
      </c>
      <c r="F1760" s="23" t="s">
        <v>82</v>
      </c>
      <c r="G1760" s="23" t="s">
        <v>139</v>
      </c>
      <c r="H1760" s="24">
        <v>46125</v>
      </c>
      <c r="I1760" s="24">
        <v>46125</v>
      </c>
      <c r="J1760" s="23" t="s">
        <v>1898</v>
      </c>
      <c r="K1760" s="23" t="s">
        <v>1898</v>
      </c>
      <c r="L1760" s="23">
        <v>1</v>
      </c>
      <c r="M1760" s="23" t="s">
        <v>78</v>
      </c>
      <c r="N1760" s="23" t="s">
        <v>78</v>
      </c>
      <c r="O1760" s="23">
        <v>0.01</v>
      </c>
      <c r="P1760" s="23" t="s">
        <v>79</v>
      </c>
      <c r="Q1760" s="23" t="s">
        <v>83</v>
      </c>
      <c r="R1760" s="23">
        <v>11100176</v>
      </c>
      <c r="S1760" s="24">
        <v>46094</v>
      </c>
      <c r="T1760" s="24">
        <v>46059</v>
      </c>
      <c r="U1760" s="24" t="s">
        <v>80</v>
      </c>
      <c r="X1760" s="24">
        <v>46057</v>
      </c>
      <c r="Y1760" s="23">
        <v>1111</v>
      </c>
      <c r="Z1760" s="23">
        <v>11600003</v>
      </c>
      <c r="AA1760" s="23">
        <v>335103</v>
      </c>
      <c r="AB1760" s="24">
        <v>46022</v>
      </c>
    </row>
    <row r="1761" spans="2:28" x14ac:dyDescent="0.2">
      <c r="B1761" s="23" t="s">
        <v>81</v>
      </c>
      <c r="C1761" s="23">
        <v>1100576134</v>
      </c>
      <c r="H1761" s="24">
        <v>46125</v>
      </c>
      <c r="O1761" s="23">
        <v>557.04999999999995</v>
      </c>
      <c r="P1761" s="23" t="s">
        <v>79</v>
      </c>
    </row>
    <row r="1762" spans="2:28" x14ac:dyDescent="0.2">
      <c r="C1762" s="23">
        <v>1100576140</v>
      </c>
      <c r="E1762" s="23">
        <v>10</v>
      </c>
      <c r="F1762" s="23" t="s">
        <v>2065</v>
      </c>
      <c r="G1762" s="23" t="s">
        <v>2066</v>
      </c>
      <c r="H1762" s="24">
        <v>46125</v>
      </c>
      <c r="I1762" s="24">
        <v>46125</v>
      </c>
      <c r="J1762" s="23" t="s">
        <v>165</v>
      </c>
      <c r="K1762" s="23" t="s">
        <v>165</v>
      </c>
      <c r="L1762" s="23">
        <v>1</v>
      </c>
      <c r="M1762" s="23" t="s">
        <v>566</v>
      </c>
      <c r="N1762" s="23" t="s">
        <v>566</v>
      </c>
      <c r="O1762" s="23">
        <v>2368.44</v>
      </c>
      <c r="P1762" s="23" t="s">
        <v>79</v>
      </c>
      <c r="Q1762" s="23" t="s">
        <v>83</v>
      </c>
      <c r="R1762" s="23">
        <v>11100176</v>
      </c>
      <c r="S1762" s="24">
        <v>46157</v>
      </c>
      <c r="T1762" s="24">
        <v>46059</v>
      </c>
      <c r="U1762" s="24">
        <v>47116</v>
      </c>
      <c r="X1762" s="24">
        <v>46057</v>
      </c>
      <c r="Y1762" s="23">
        <v>1111</v>
      </c>
      <c r="Z1762" s="23">
        <v>11600001</v>
      </c>
      <c r="AA1762" s="23">
        <v>335103</v>
      </c>
      <c r="AB1762" s="24">
        <v>46010</v>
      </c>
    </row>
    <row r="1763" spans="2:28" x14ac:dyDescent="0.2">
      <c r="B1763" s="23" t="s">
        <v>81</v>
      </c>
      <c r="C1763" s="23">
        <v>1100576140</v>
      </c>
      <c r="H1763" s="24">
        <v>46125</v>
      </c>
      <c r="O1763" s="23">
        <v>2368.44</v>
      </c>
      <c r="P1763" s="23" t="s">
        <v>79</v>
      </c>
    </row>
    <row r="1764" spans="2:28" x14ac:dyDescent="0.2">
      <c r="C1764" s="23">
        <v>1100576324</v>
      </c>
      <c r="E1764" s="23">
        <v>10</v>
      </c>
      <c r="F1764" s="23" t="s">
        <v>229</v>
      </c>
      <c r="G1764" s="23" t="s">
        <v>230</v>
      </c>
      <c r="H1764" s="24">
        <v>46125</v>
      </c>
      <c r="I1764" s="24">
        <v>46125</v>
      </c>
      <c r="J1764" s="23" t="s">
        <v>1401</v>
      </c>
      <c r="K1764" s="23" t="s">
        <v>1401</v>
      </c>
      <c r="L1764" s="23">
        <v>1</v>
      </c>
      <c r="M1764" s="23" t="s">
        <v>78</v>
      </c>
      <c r="N1764" s="23" t="s">
        <v>78</v>
      </c>
      <c r="O1764" s="23">
        <v>1605.1</v>
      </c>
      <c r="P1764" s="23" t="s">
        <v>79</v>
      </c>
      <c r="Q1764" s="23" t="s">
        <v>83</v>
      </c>
      <c r="R1764" s="23">
        <v>11100176</v>
      </c>
      <c r="S1764" s="24">
        <v>46122</v>
      </c>
      <c r="T1764" s="24">
        <v>46062</v>
      </c>
      <c r="U1764" s="24" t="s">
        <v>80</v>
      </c>
      <c r="X1764" s="24">
        <v>46062</v>
      </c>
      <c r="Y1764" s="23">
        <v>1111</v>
      </c>
      <c r="Z1764" s="23">
        <v>11100137</v>
      </c>
      <c r="AA1764" s="23">
        <v>3351</v>
      </c>
      <c r="AB1764" s="24">
        <v>46062</v>
      </c>
    </row>
    <row r="1765" spans="2:28" x14ac:dyDescent="0.2">
      <c r="B1765" s="23" t="s">
        <v>81</v>
      </c>
      <c r="C1765" s="23">
        <v>1100576324</v>
      </c>
      <c r="H1765" s="24">
        <v>46125</v>
      </c>
      <c r="O1765" s="23">
        <v>1605.1</v>
      </c>
      <c r="P1765" s="23" t="s">
        <v>79</v>
      </c>
    </row>
    <row r="1766" spans="2:28" x14ac:dyDescent="0.2">
      <c r="C1766" s="23">
        <v>1100578004</v>
      </c>
      <c r="E1766" s="23">
        <v>10</v>
      </c>
      <c r="F1766" s="23" t="s">
        <v>691</v>
      </c>
      <c r="G1766" s="23" t="s">
        <v>1891</v>
      </c>
      <c r="H1766" s="24">
        <v>46125</v>
      </c>
      <c r="I1766" s="24">
        <v>46125</v>
      </c>
      <c r="J1766" s="23" t="s">
        <v>3160</v>
      </c>
      <c r="K1766" s="23" t="s">
        <v>3160</v>
      </c>
      <c r="L1766" s="23">
        <v>1</v>
      </c>
      <c r="M1766" s="23" t="s">
        <v>78</v>
      </c>
      <c r="N1766" s="23" t="s">
        <v>78</v>
      </c>
      <c r="O1766" s="23">
        <v>676.54</v>
      </c>
      <c r="P1766" s="23" t="s">
        <v>79</v>
      </c>
      <c r="Q1766" s="23" t="s">
        <v>83</v>
      </c>
      <c r="R1766" s="23">
        <v>11100176</v>
      </c>
      <c r="S1766" s="24">
        <v>46087</v>
      </c>
      <c r="T1766" s="24">
        <v>46078</v>
      </c>
      <c r="U1766" s="24" t="s">
        <v>80</v>
      </c>
      <c r="X1766" s="24">
        <v>46076</v>
      </c>
      <c r="Y1766" s="23">
        <v>1111</v>
      </c>
      <c r="Z1766" s="23">
        <v>11400704</v>
      </c>
      <c r="AA1766" s="23">
        <v>335103</v>
      </c>
      <c r="AB1766" s="24">
        <v>46077</v>
      </c>
    </row>
    <row r="1767" spans="2:28" x14ac:dyDescent="0.2">
      <c r="C1767" s="23">
        <v>1100578004</v>
      </c>
      <c r="E1767" s="23">
        <v>20</v>
      </c>
      <c r="F1767" s="23" t="s">
        <v>209</v>
      </c>
      <c r="G1767" s="23" t="s">
        <v>210</v>
      </c>
      <c r="H1767" s="24">
        <v>46125</v>
      </c>
      <c r="I1767" s="24">
        <v>46125</v>
      </c>
      <c r="J1767" s="23" t="s">
        <v>3160</v>
      </c>
      <c r="K1767" s="23" t="s">
        <v>3160</v>
      </c>
      <c r="L1767" s="23">
        <v>1</v>
      </c>
      <c r="M1767" s="23" t="s">
        <v>78</v>
      </c>
      <c r="N1767" s="23" t="s">
        <v>78</v>
      </c>
      <c r="O1767" s="23">
        <v>0</v>
      </c>
      <c r="P1767" s="23" t="s">
        <v>79</v>
      </c>
      <c r="Q1767" s="23" t="s">
        <v>83</v>
      </c>
      <c r="R1767" s="23">
        <v>11100176</v>
      </c>
      <c r="S1767" s="24" t="s">
        <v>80</v>
      </c>
      <c r="T1767" s="24">
        <v>46078</v>
      </c>
      <c r="U1767" s="24" t="s">
        <v>80</v>
      </c>
      <c r="X1767" s="24">
        <v>46076</v>
      </c>
      <c r="Y1767" s="23">
        <v>1111</v>
      </c>
      <c r="Z1767" s="23">
        <v>11400704</v>
      </c>
      <c r="AA1767" s="23">
        <v>335103</v>
      </c>
      <c r="AB1767" s="24">
        <v>46077</v>
      </c>
    </row>
    <row r="1768" spans="2:28" x14ac:dyDescent="0.2">
      <c r="B1768" s="23" t="s">
        <v>81</v>
      </c>
      <c r="C1768" s="23">
        <v>1100578004</v>
      </c>
      <c r="H1768" s="24">
        <v>46125</v>
      </c>
      <c r="O1768" s="23">
        <v>676.54</v>
      </c>
      <c r="P1768" s="23" t="s">
        <v>79</v>
      </c>
    </row>
    <row r="1769" spans="2:28" x14ac:dyDescent="0.2">
      <c r="C1769" s="23">
        <v>1100578009</v>
      </c>
      <c r="E1769" s="23">
        <v>10</v>
      </c>
      <c r="F1769" s="23" t="s">
        <v>3540</v>
      </c>
      <c r="G1769" s="23" t="s">
        <v>3541</v>
      </c>
      <c r="H1769" s="24">
        <v>46125</v>
      </c>
      <c r="I1769" s="24">
        <v>46125</v>
      </c>
      <c r="J1769" s="23" t="s">
        <v>2152</v>
      </c>
      <c r="K1769" s="23" t="s">
        <v>2152</v>
      </c>
      <c r="L1769" s="23">
        <v>4</v>
      </c>
      <c r="M1769" s="23" t="s">
        <v>78</v>
      </c>
      <c r="N1769" s="23" t="s">
        <v>78</v>
      </c>
      <c r="O1769" s="23">
        <v>4164</v>
      </c>
      <c r="P1769" s="23" t="s">
        <v>79</v>
      </c>
      <c r="Q1769" s="23" t="s">
        <v>83</v>
      </c>
      <c r="R1769" s="23">
        <v>11100176</v>
      </c>
      <c r="S1769" s="24">
        <v>46107</v>
      </c>
      <c r="T1769" s="24">
        <v>46078</v>
      </c>
      <c r="U1769" s="24" t="s">
        <v>80</v>
      </c>
      <c r="X1769" s="24">
        <v>46064</v>
      </c>
      <c r="Y1769" s="23">
        <v>1111</v>
      </c>
      <c r="Z1769" s="23">
        <v>11400797</v>
      </c>
      <c r="AA1769" s="23">
        <v>3951</v>
      </c>
      <c r="AB1769" s="24">
        <v>46064</v>
      </c>
    </row>
    <row r="1770" spans="2:28" x14ac:dyDescent="0.2">
      <c r="C1770" s="23">
        <v>1100578009</v>
      </c>
      <c r="E1770" s="23">
        <v>20</v>
      </c>
      <c r="F1770" s="23" t="s">
        <v>82</v>
      </c>
      <c r="G1770" s="23" t="s">
        <v>139</v>
      </c>
      <c r="H1770" s="24">
        <v>46125</v>
      </c>
      <c r="I1770" s="24">
        <v>46125</v>
      </c>
      <c r="J1770" s="23" t="s">
        <v>2152</v>
      </c>
      <c r="K1770" s="23" t="s">
        <v>2152</v>
      </c>
      <c r="L1770" s="23">
        <v>1</v>
      </c>
      <c r="M1770" s="23" t="s">
        <v>78</v>
      </c>
      <c r="N1770" s="23" t="s">
        <v>78</v>
      </c>
      <c r="O1770" s="23">
        <v>0.01</v>
      </c>
      <c r="P1770" s="23" t="s">
        <v>79</v>
      </c>
      <c r="Q1770" s="23" t="s">
        <v>83</v>
      </c>
      <c r="R1770" s="23">
        <v>11100176</v>
      </c>
      <c r="S1770" s="24" t="s">
        <v>80</v>
      </c>
      <c r="T1770" s="24">
        <v>46078</v>
      </c>
      <c r="U1770" s="24" t="s">
        <v>80</v>
      </c>
      <c r="X1770" s="24">
        <v>46064</v>
      </c>
      <c r="Y1770" s="23">
        <v>1111</v>
      </c>
      <c r="Z1770" s="23">
        <v>11400797</v>
      </c>
      <c r="AA1770" s="23">
        <v>3951</v>
      </c>
      <c r="AB1770" s="24">
        <v>46064</v>
      </c>
    </row>
    <row r="1771" spans="2:28" x14ac:dyDescent="0.2">
      <c r="B1771" s="23" t="s">
        <v>81</v>
      </c>
      <c r="C1771" s="23">
        <v>1100578009</v>
      </c>
      <c r="H1771" s="24">
        <v>46125</v>
      </c>
      <c r="O1771" s="23">
        <v>4164.01</v>
      </c>
      <c r="P1771" s="23" t="s">
        <v>79</v>
      </c>
    </row>
    <row r="1772" spans="2:28" x14ac:dyDescent="0.2">
      <c r="C1772" s="23">
        <v>1100578277</v>
      </c>
      <c r="E1772" s="23">
        <v>10</v>
      </c>
      <c r="F1772" s="23" t="s">
        <v>1110</v>
      </c>
      <c r="G1772" s="23" t="s">
        <v>1111</v>
      </c>
      <c r="H1772" s="24">
        <v>46125</v>
      </c>
      <c r="I1772" s="24">
        <v>46125</v>
      </c>
      <c r="J1772" s="23" t="s">
        <v>1112</v>
      </c>
      <c r="K1772" s="23" t="s">
        <v>1112</v>
      </c>
      <c r="L1772" s="23">
        <v>1</v>
      </c>
      <c r="M1772" s="23" t="s">
        <v>78</v>
      </c>
      <c r="N1772" s="23" t="s">
        <v>78</v>
      </c>
      <c r="O1772" s="23">
        <v>743.75</v>
      </c>
      <c r="P1772" s="23" t="s">
        <v>79</v>
      </c>
      <c r="Q1772" s="23" t="s">
        <v>83</v>
      </c>
      <c r="R1772" s="23">
        <v>11100176</v>
      </c>
      <c r="S1772" s="24">
        <v>46122</v>
      </c>
      <c r="T1772" s="24">
        <v>46080</v>
      </c>
      <c r="U1772" s="24" t="s">
        <v>80</v>
      </c>
      <c r="X1772" s="24">
        <v>46080</v>
      </c>
      <c r="Y1772" s="23">
        <v>1111</v>
      </c>
      <c r="Z1772" s="23">
        <v>11600007</v>
      </c>
      <c r="AA1772" s="23">
        <v>3951</v>
      </c>
      <c r="AB1772" s="24">
        <v>46079</v>
      </c>
    </row>
    <row r="1773" spans="2:28" x14ac:dyDescent="0.2">
      <c r="C1773" s="23">
        <v>1100578277</v>
      </c>
      <c r="E1773" s="23">
        <v>20</v>
      </c>
      <c r="F1773" s="23" t="s">
        <v>94</v>
      </c>
      <c r="G1773" s="23" t="s">
        <v>95</v>
      </c>
      <c r="H1773" s="24">
        <v>46125</v>
      </c>
      <c r="I1773" s="24">
        <v>46125</v>
      </c>
      <c r="J1773" s="23" t="s">
        <v>1112</v>
      </c>
      <c r="K1773" s="23" t="s">
        <v>1112</v>
      </c>
      <c r="L1773" s="23">
        <v>1</v>
      </c>
      <c r="M1773" s="23" t="s">
        <v>78</v>
      </c>
      <c r="N1773" s="23" t="s">
        <v>78</v>
      </c>
      <c r="O1773" s="23">
        <v>65.08</v>
      </c>
      <c r="P1773" s="23" t="s">
        <v>79</v>
      </c>
      <c r="Q1773" s="23" t="s">
        <v>83</v>
      </c>
      <c r="R1773" s="23">
        <v>11100176</v>
      </c>
      <c r="S1773" s="24" t="s">
        <v>80</v>
      </c>
      <c r="T1773" s="24">
        <v>46080</v>
      </c>
      <c r="U1773" s="24" t="s">
        <v>80</v>
      </c>
      <c r="X1773" s="24">
        <v>46080</v>
      </c>
      <c r="Y1773" s="23">
        <v>1111</v>
      </c>
      <c r="Z1773" s="23">
        <v>11600007</v>
      </c>
      <c r="AA1773" s="23">
        <v>3951</v>
      </c>
      <c r="AB1773" s="24">
        <v>46079</v>
      </c>
    </row>
    <row r="1774" spans="2:28" x14ac:dyDescent="0.2">
      <c r="B1774" s="23" t="s">
        <v>81</v>
      </c>
      <c r="C1774" s="23">
        <v>1100578277</v>
      </c>
      <c r="H1774" s="24">
        <v>46125</v>
      </c>
      <c r="O1774" s="23">
        <v>808.83</v>
      </c>
      <c r="P1774" s="23" t="s">
        <v>79</v>
      </c>
    </row>
    <row r="1775" spans="2:28" x14ac:dyDescent="0.2">
      <c r="C1775" s="23">
        <v>1100578347</v>
      </c>
      <c r="E1775" s="23">
        <v>10</v>
      </c>
      <c r="F1775" s="23" t="s">
        <v>3542</v>
      </c>
      <c r="G1775" s="23" t="s">
        <v>3543</v>
      </c>
      <c r="H1775" s="24">
        <v>46125</v>
      </c>
      <c r="I1775" s="24">
        <v>46125</v>
      </c>
      <c r="J1775" s="23" t="s">
        <v>168</v>
      </c>
      <c r="K1775" s="23" t="s">
        <v>168</v>
      </c>
      <c r="L1775" s="23">
        <v>1</v>
      </c>
      <c r="M1775" s="23" t="s">
        <v>78</v>
      </c>
      <c r="N1775" s="23" t="s">
        <v>78</v>
      </c>
      <c r="O1775" s="23">
        <v>1801.55</v>
      </c>
      <c r="P1775" s="23" t="s">
        <v>79</v>
      </c>
      <c r="Q1775" s="23" t="s">
        <v>83</v>
      </c>
      <c r="R1775" s="23">
        <v>11100176</v>
      </c>
      <c r="S1775" s="24">
        <v>46125</v>
      </c>
      <c r="T1775" s="24">
        <v>46081</v>
      </c>
      <c r="U1775" s="24" t="s">
        <v>80</v>
      </c>
      <c r="X1775" s="24">
        <v>46076</v>
      </c>
      <c r="Y1775" s="23">
        <v>1111</v>
      </c>
      <c r="Z1775" s="23">
        <v>11400797</v>
      </c>
      <c r="AA1775" s="23">
        <v>525103</v>
      </c>
      <c r="AB1775" s="24">
        <v>46080</v>
      </c>
    </row>
    <row r="1776" spans="2:28" x14ac:dyDescent="0.2">
      <c r="B1776" s="23" t="s">
        <v>81</v>
      </c>
      <c r="C1776" s="23">
        <v>1100578347</v>
      </c>
      <c r="H1776" s="24">
        <v>46125</v>
      </c>
      <c r="O1776" s="23">
        <v>1801.55</v>
      </c>
      <c r="P1776" s="23" t="s">
        <v>79</v>
      </c>
    </row>
    <row r="1777" spans="2:28" x14ac:dyDescent="0.2">
      <c r="C1777" s="23">
        <v>1100578350</v>
      </c>
      <c r="E1777" s="23">
        <v>10</v>
      </c>
      <c r="F1777" s="23" t="s">
        <v>725</v>
      </c>
      <c r="G1777" s="23" t="s">
        <v>726</v>
      </c>
      <c r="H1777" s="24">
        <v>46125</v>
      </c>
      <c r="I1777" s="24">
        <v>46125</v>
      </c>
      <c r="J1777" s="23" t="s">
        <v>3368</v>
      </c>
      <c r="K1777" s="23" t="s">
        <v>3368</v>
      </c>
      <c r="L1777" s="23">
        <v>1</v>
      </c>
      <c r="M1777" s="23" t="s">
        <v>78</v>
      </c>
      <c r="N1777" s="23" t="s">
        <v>78</v>
      </c>
      <c r="O1777" s="23">
        <v>1494.41</v>
      </c>
      <c r="P1777" s="23" t="s">
        <v>79</v>
      </c>
      <c r="Q1777" s="23" t="s">
        <v>83</v>
      </c>
      <c r="R1777" s="23">
        <v>11100176</v>
      </c>
      <c r="S1777" s="24">
        <v>46125</v>
      </c>
      <c r="T1777" s="24">
        <v>46081</v>
      </c>
      <c r="U1777" s="24" t="s">
        <v>80</v>
      </c>
      <c r="X1777" s="24">
        <v>46078</v>
      </c>
      <c r="Y1777" s="23">
        <v>1111</v>
      </c>
      <c r="Z1777" s="23">
        <v>11400797</v>
      </c>
      <c r="AA1777" s="23">
        <v>5251</v>
      </c>
      <c r="AB1777" s="24">
        <v>46079</v>
      </c>
    </row>
    <row r="1778" spans="2:28" x14ac:dyDescent="0.2">
      <c r="C1778" s="23">
        <v>1100578350</v>
      </c>
      <c r="E1778" s="23">
        <v>20</v>
      </c>
      <c r="F1778" s="23" t="s">
        <v>3544</v>
      </c>
      <c r="G1778" s="23" t="s">
        <v>3545</v>
      </c>
      <c r="H1778" s="24">
        <v>46125</v>
      </c>
      <c r="I1778" s="24">
        <v>46125</v>
      </c>
      <c r="J1778" s="23" t="s">
        <v>3368</v>
      </c>
      <c r="K1778" s="23" t="s">
        <v>3368</v>
      </c>
      <c r="L1778" s="23">
        <v>3</v>
      </c>
      <c r="M1778" s="23" t="s">
        <v>78</v>
      </c>
      <c r="N1778" s="23" t="s">
        <v>78</v>
      </c>
      <c r="O1778" s="23">
        <v>2424.69</v>
      </c>
      <c r="P1778" s="23" t="s">
        <v>79</v>
      </c>
      <c r="Q1778" s="23" t="s">
        <v>83</v>
      </c>
      <c r="R1778" s="23">
        <v>11100176</v>
      </c>
      <c r="S1778" s="24">
        <v>46125</v>
      </c>
      <c r="T1778" s="24">
        <v>46081</v>
      </c>
      <c r="U1778" s="24" t="s">
        <v>80</v>
      </c>
      <c r="X1778" s="24">
        <v>46078</v>
      </c>
      <c r="Y1778" s="23">
        <v>1111</v>
      </c>
      <c r="Z1778" s="23">
        <v>11400797</v>
      </c>
      <c r="AA1778" s="23">
        <v>5251</v>
      </c>
      <c r="AB1778" s="24">
        <v>46079</v>
      </c>
    </row>
    <row r="1779" spans="2:28" x14ac:dyDescent="0.2">
      <c r="C1779" s="23">
        <v>1100578350</v>
      </c>
      <c r="E1779" s="23">
        <v>30</v>
      </c>
      <c r="F1779" s="23" t="s">
        <v>82</v>
      </c>
      <c r="G1779" s="23" t="s">
        <v>139</v>
      </c>
      <c r="H1779" s="24">
        <v>46125</v>
      </c>
      <c r="I1779" s="24">
        <v>46125</v>
      </c>
      <c r="J1779" s="23" t="s">
        <v>3368</v>
      </c>
      <c r="K1779" s="23" t="s">
        <v>3368</v>
      </c>
      <c r="L1779" s="23">
        <v>1</v>
      </c>
      <c r="M1779" s="23" t="s">
        <v>78</v>
      </c>
      <c r="N1779" s="23" t="s">
        <v>78</v>
      </c>
      <c r="O1779" s="23">
        <v>0.01</v>
      </c>
      <c r="P1779" s="23" t="s">
        <v>79</v>
      </c>
      <c r="Q1779" s="23" t="s">
        <v>83</v>
      </c>
      <c r="R1779" s="23">
        <v>11100176</v>
      </c>
      <c r="S1779" s="24" t="s">
        <v>80</v>
      </c>
      <c r="T1779" s="24">
        <v>46081</v>
      </c>
      <c r="U1779" s="24" t="s">
        <v>80</v>
      </c>
      <c r="X1779" s="24">
        <v>46078</v>
      </c>
      <c r="Y1779" s="23">
        <v>1111</v>
      </c>
      <c r="Z1779" s="23">
        <v>11400797</v>
      </c>
      <c r="AA1779" s="23">
        <v>5251</v>
      </c>
      <c r="AB1779" s="24">
        <v>46079</v>
      </c>
    </row>
    <row r="1780" spans="2:28" x14ac:dyDescent="0.2">
      <c r="B1780" s="23" t="s">
        <v>81</v>
      </c>
      <c r="C1780" s="23">
        <v>1100578350</v>
      </c>
      <c r="H1780" s="24">
        <v>46125</v>
      </c>
      <c r="O1780" s="23">
        <v>3919.11</v>
      </c>
      <c r="P1780" s="23" t="s">
        <v>79</v>
      </c>
    </row>
    <row r="1781" spans="2:28" x14ac:dyDescent="0.2">
      <c r="C1781" s="23">
        <v>1100578656</v>
      </c>
      <c r="E1781" s="23">
        <v>10</v>
      </c>
      <c r="F1781" s="23" t="s">
        <v>3546</v>
      </c>
      <c r="G1781" s="23" t="s">
        <v>3547</v>
      </c>
      <c r="H1781" s="24">
        <v>46125</v>
      </c>
      <c r="I1781" s="24">
        <v>46125</v>
      </c>
      <c r="J1781" s="23" t="s">
        <v>3548</v>
      </c>
      <c r="K1781" s="23" t="s">
        <v>3548</v>
      </c>
      <c r="L1781" s="23">
        <v>1</v>
      </c>
      <c r="M1781" s="23" t="s">
        <v>78</v>
      </c>
      <c r="N1781" s="23" t="s">
        <v>78</v>
      </c>
      <c r="O1781" s="23">
        <v>8108.4</v>
      </c>
      <c r="P1781" s="23" t="s">
        <v>79</v>
      </c>
      <c r="Q1781" s="23" t="s">
        <v>83</v>
      </c>
      <c r="R1781" s="23">
        <v>11100299</v>
      </c>
      <c r="S1781" s="24" t="s">
        <v>80</v>
      </c>
      <c r="T1781" s="24">
        <v>46085</v>
      </c>
      <c r="U1781" s="24" t="s">
        <v>80</v>
      </c>
      <c r="X1781" s="24">
        <v>46084</v>
      </c>
      <c r="Y1781" s="23">
        <v>1111</v>
      </c>
      <c r="Z1781" s="23">
        <v>11400745</v>
      </c>
      <c r="AA1781" s="23">
        <v>5051</v>
      </c>
      <c r="AB1781" s="24">
        <v>46084</v>
      </c>
    </row>
    <row r="1782" spans="2:28" x14ac:dyDescent="0.2">
      <c r="C1782" s="23">
        <v>1100578656</v>
      </c>
      <c r="E1782" s="23">
        <v>20</v>
      </c>
      <c r="F1782" s="23" t="s">
        <v>1076</v>
      </c>
      <c r="G1782" s="23" t="s">
        <v>1077</v>
      </c>
      <c r="H1782" s="24">
        <v>46125</v>
      </c>
      <c r="I1782" s="24">
        <v>46125</v>
      </c>
      <c r="J1782" s="23" t="s">
        <v>3548</v>
      </c>
      <c r="K1782" s="23" t="s">
        <v>3548</v>
      </c>
      <c r="L1782" s="23">
        <v>1</v>
      </c>
      <c r="M1782" s="23" t="s">
        <v>78</v>
      </c>
      <c r="N1782" s="23" t="s">
        <v>78</v>
      </c>
      <c r="O1782" s="23">
        <v>1621.68</v>
      </c>
      <c r="P1782" s="23" t="s">
        <v>79</v>
      </c>
      <c r="Q1782" s="23" t="s">
        <v>83</v>
      </c>
      <c r="R1782" s="23">
        <v>11100299</v>
      </c>
      <c r="S1782" s="24" t="s">
        <v>80</v>
      </c>
      <c r="T1782" s="24">
        <v>46085</v>
      </c>
      <c r="U1782" s="24" t="s">
        <v>80</v>
      </c>
      <c r="X1782" s="24">
        <v>46084</v>
      </c>
      <c r="Y1782" s="23">
        <v>1111</v>
      </c>
      <c r="Z1782" s="23">
        <v>11400745</v>
      </c>
      <c r="AA1782" s="23">
        <v>5051</v>
      </c>
      <c r="AB1782" s="24">
        <v>46084</v>
      </c>
    </row>
    <row r="1783" spans="2:28" x14ac:dyDescent="0.2">
      <c r="C1783" s="23">
        <v>1100578656</v>
      </c>
      <c r="E1783" s="23">
        <v>30</v>
      </c>
      <c r="F1783" s="23" t="s">
        <v>82</v>
      </c>
      <c r="G1783" s="23" t="s">
        <v>139</v>
      </c>
      <c r="H1783" s="24">
        <v>46125</v>
      </c>
      <c r="I1783" s="24">
        <v>46125</v>
      </c>
      <c r="J1783" s="23" t="s">
        <v>3548</v>
      </c>
      <c r="K1783" s="23" t="s">
        <v>3548</v>
      </c>
      <c r="L1783" s="23">
        <v>1</v>
      </c>
      <c r="M1783" s="23" t="s">
        <v>78</v>
      </c>
      <c r="N1783" s="23" t="s">
        <v>78</v>
      </c>
      <c r="O1783" s="23">
        <v>0.01</v>
      </c>
      <c r="P1783" s="23" t="s">
        <v>79</v>
      </c>
      <c r="Q1783" s="23" t="s">
        <v>83</v>
      </c>
      <c r="R1783" s="23">
        <v>11100299</v>
      </c>
      <c r="S1783" s="24" t="s">
        <v>80</v>
      </c>
      <c r="T1783" s="24">
        <v>46085</v>
      </c>
      <c r="U1783" s="24" t="s">
        <v>80</v>
      </c>
      <c r="X1783" s="24">
        <v>46084</v>
      </c>
      <c r="Y1783" s="23">
        <v>1111</v>
      </c>
      <c r="Z1783" s="23">
        <v>11400745</v>
      </c>
      <c r="AA1783" s="23">
        <v>5051</v>
      </c>
      <c r="AB1783" s="24">
        <v>46084</v>
      </c>
    </row>
    <row r="1784" spans="2:28" x14ac:dyDescent="0.2">
      <c r="B1784" s="23" t="s">
        <v>81</v>
      </c>
      <c r="C1784" s="23">
        <v>1100578656</v>
      </c>
      <c r="H1784" s="24">
        <v>46125</v>
      </c>
      <c r="O1784" s="23">
        <v>9730.09</v>
      </c>
      <c r="P1784" s="23" t="s">
        <v>79</v>
      </c>
    </row>
    <row r="1785" spans="2:28" x14ac:dyDescent="0.2">
      <c r="C1785" s="23">
        <v>1100567370</v>
      </c>
      <c r="E1785" s="23">
        <v>10</v>
      </c>
      <c r="F1785" s="23" t="s">
        <v>1806</v>
      </c>
      <c r="G1785" s="23" t="s">
        <v>1807</v>
      </c>
      <c r="H1785" s="24">
        <v>46126</v>
      </c>
      <c r="I1785" s="24">
        <v>46126</v>
      </c>
      <c r="J1785" s="23" t="s">
        <v>91</v>
      </c>
      <c r="K1785" s="23" t="s">
        <v>91</v>
      </c>
      <c r="L1785" s="23">
        <v>2</v>
      </c>
      <c r="M1785" s="23" t="s">
        <v>78</v>
      </c>
      <c r="N1785" s="23" t="s">
        <v>78</v>
      </c>
      <c r="O1785" s="23">
        <v>2037.3</v>
      </c>
      <c r="P1785" s="23" t="s">
        <v>79</v>
      </c>
      <c r="Q1785" s="23" t="s">
        <v>83</v>
      </c>
      <c r="R1785" s="23">
        <v>11100189</v>
      </c>
      <c r="S1785" s="24">
        <v>46031</v>
      </c>
      <c r="T1785" s="24">
        <v>45959</v>
      </c>
      <c r="U1785" s="24" t="s">
        <v>80</v>
      </c>
      <c r="X1785" s="24">
        <v>45954</v>
      </c>
      <c r="Y1785" s="23">
        <v>1111</v>
      </c>
      <c r="Z1785" s="23">
        <v>11600003</v>
      </c>
      <c r="AA1785" s="23">
        <v>335103</v>
      </c>
      <c r="AB1785" s="24">
        <v>45958</v>
      </c>
    </row>
    <row r="1786" spans="2:28" x14ac:dyDescent="0.2">
      <c r="B1786" s="23" t="s">
        <v>81</v>
      </c>
      <c r="C1786" s="23">
        <v>1100567370</v>
      </c>
      <c r="H1786" s="24">
        <v>46126</v>
      </c>
      <c r="O1786" s="23">
        <v>2037.3</v>
      </c>
      <c r="P1786" s="23" t="s">
        <v>79</v>
      </c>
    </row>
    <row r="1787" spans="2:28" x14ac:dyDescent="0.2">
      <c r="C1787" s="23">
        <v>1100570395</v>
      </c>
      <c r="E1787" s="23">
        <v>10</v>
      </c>
      <c r="F1787" s="23" t="s">
        <v>1806</v>
      </c>
      <c r="G1787" s="23" t="s">
        <v>1807</v>
      </c>
      <c r="H1787" s="24">
        <v>46126</v>
      </c>
      <c r="I1787" s="24">
        <v>46126</v>
      </c>
      <c r="J1787" s="23" t="s">
        <v>502</v>
      </c>
      <c r="K1787" s="23" t="s">
        <v>502</v>
      </c>
      <c r="L1787" s="23">
        <v>1</v>
      </c>
      <c r="M1787" s="23" t="s">
        <v>78</v>
      </c>
      <c r="N1787" s="23" t="s">
        <v>78</v>
      </c>
      <c r="O1787" s="23">
        <v>1018.65</v>
      </c>
      <c r="P1787" s="23" t="s">
        <v>79</v>
      </c>
      <c r="Q1787" s="23" t="s">
        <v>83</v>
      </c>
      <c r="R1787" s="23">
        <v>11100176</v>
      </c>
      <c r="S1787" s="24">
        <v>46036</v>
      </c>
      <c r="T1787" s="24">
        <v>45994</v>
      </c>
      <c r="U1787" s="24" t="s">
        <v>80</v>
      </c>
      <c r="X1787" s="24">
        <v>45982</v>
      </c>
      <c r="Y1787" s="23">
        <v>1111</v>
      </c>
      <c r="Z1787" s="23">
        <v>11600007</v>
      </c>
      <c r="AA1787" s="23">
        <v>335103</v>
      </c>
      <c r="AB1787" s="24">
        <v>45994</v>
      </c>
    </row>
    <row r="1788" spans="2:28" x14ac:dyDescent="0.2">
      <c r="C1788" s="23">
        <v>1100570395</v>
      </c>
      <c r="E1788" s="23">
        <v>20</v>
      </c>
      <c r="F1788" s="23" t="s">
        <v>82</v>
      </c>
      <c r="G1788" s="23" t="s">
        <v>139</v>
      </c>
      <c r="H1788" s="24">
        <v>46126</v>
      </c>
      <c r="I1788" s="24">
        <v>46126</v>
      </c>
      <c r="J1788" s="23" t="s">
        <v>502</v>
      </c>
      <c r="K1788" s="23" t="s">
        <v>502</v>
      </c>
      <c r="L1788" s="23">
        <v>1</v>
      </c>
      <c r="M1788" s="23" t="s">
        <v>78</v>
      </c>
      <c r="N1788" s="23" t="s">
        <v>78</v>
      </c>
      <c r="O1788" s="23">
        <v>0.01</v>
      </c>
      <c r="P1788" s="23" t="s">
        <v>79</v>
      </c>
      <c r="Q1788" s="23" t="s">
        <v>83</v>
      </c>
      <c r="R1788" s="23">
        <v>11100176</v>
      </c>
      <c r="S1788" s="24" t="s">
        <v>80</v>
      </c>
      <c r="T1788" s="24">
        <v>45994</v>
      </c>
      <c r="U1788" s="24" t="s">
        <v>80</v>
      </c>
      <c r="X1788" s="24">
        <v>45982</v>
      </c>
      <c r="Y1788" s="23">
        <v>1111</v>
      </c>
      <c r="Z1788" s="23">
        <v>11600007</v>
      </c>
      <c r="AA1788" s="23">
        <v>335103</v>
      </c>
      <c r="AB1788" s="24">
        <v>45994</v>
      </c>
    </row>
    <row r="1789" spans="2:28" x14ac:dyDescent="0.2">
      <c r="B1789" s="23" t="s">
        <v>81</v>
      </c>
      <c r="C1789" s="23">
        <v>1100570395</v>
      </c>
      <c r="H1789" s="24">
        <v>46126</v>
      </c>
      <c r="O1789" s="23">
        <v>1018.66</v>
      </c>
      <c r="P1789" s="23" t="s">
        <v>79</v>
      </c>
    </row>
    <row r="1790" spans="2:28" x14ac:dyDescent="0.2">
      <c r="C1790" s="23">
        <v>1100571198</v>
      </c>
      <c r="E1790" s="23">
        <v>10</v>
      </c>
      <c r="F1790" s="23" t="s">
        <v>1806</v>
      </c>
      <c r="G1790" s="23" t="s">
        <v>1807</v>
      </c>
      <c r="H1790" s="24">
        <v>46126</v>
      </c>
      <c r="I1790" s="24">
        <v>46126</v>
      </c>
      <c r="J1790" s="23" t="s">
        <v>561</v>
      </c>
      <c r="K1790" s="23" t="s">
        <v>561</v>
      </c>
      <c r="L1790" s="23">
        <v>5</v>
      </c>
      <c r="M1790" s="23" t="s">
        <v>78</v>
      </c>
      <c r="N1790" s="23" t="s">
        <v>78</v>
      </c>
      <c r="O1790" s="23">
        <v>1343.3</v>
      </c>
      <c r="P1790" s="23" t="s">
        <v>79</v>
      </c>
      <c r="Q1790" s="23" t="s">
        <v>83</v>
      </c>
      <c r="R1790" s="23">
        <v>11100176</v>
      </c>
      <c r="S1790" s="24">
        <v>46072</v>
      </c>
      <c r="T1790" s="24">
        <v>46002</v>
      </c>
      <c r="U1790" s="24" t="s">
        <v>80</v>
      </c>
      <c r="X1790" s="24">
        <v>46001</v>
      </c>
      <c r="Y1790" s="23">
        <v>1111</v>
      </c>
      <c r="Z1790" s="23">
        <v>11600007</v>
      </c>
      <c r="AA1790" s="23">
        <v>335103</v>
      </c>
      <c r="AB1790" s="24">
        <v>46001</v>
      </c>
    </row>
    <row r="1791" spans="2:28" x14ac:dyDescent="0.2">
      <c r="B1791" s="23" t="s">
        <v>81</v>
      </c>
      <c r="C1791" s="23">
        <v>1100571198</v>
      </c>
      <c r="H1791" s="24">
        <v>46126</v>
      </c>
      <c r="O1791" s="23">
        <v>1343.3</v>
      </c>
      <c r="P1791" s="23" t="s">
        <v>79</v>
      </c>
    </row>
    <row r="1792" spans="2:28" x14ac:dyDescent="0.2">
      <c r="C1792" s="23">
        <v>1100573221</v>
      </c>
      <c r="E1792" s="23">
        <v>240</v>
      </c>
      <c r="F1792" s="23" t="s">
        <v>2162</v>
      </c>
      <c r="G1792" s="23" t="s">
        <v>2163</v>
      </c>
      <c r="H1792" s="24">
        <v>46126</v>
      </c>
      <c r="I1792" s="24">
        <v>46126</v>
      </c>
      <c r="J1792" s="23" t="s">
        <v>503</v>
      </c>
      <c r="K1792" s="23" t="s">
        <v>503</v>
      </c>
      <c r="L1792" s="23">
        <v>1</v>
      </c>
      <c r="M1792" s="23" t="s">
        <v>78</v>
      </c>
      <c r="N1792" s="23" t="s">
        <v>78</v>
      </c>
      <c r="O1792" s="23">
        <v>152.02000000000001</v>
      </c>
      <c r="P1792" s="23" t="s">
        <v>79</v>
      </c>
      <c r="Q1792" s="23" t="s">
        <v>83</v>
      </c>
      <c r="R1792" s="23">
        <v>11100176</v>
      </c>
      <c r="S1792" s="24">
        <v>46059</v>
      </c>
      <c r="T1792" s="24">
        <v>46031</v>
      </c>
      <c r="U1792" s="24">
        <v>47116</v>
      </c>
      <c r="X1792" s="24">
        <v>46029</v>
      </c>
      <c r="Y1792" s="23">
        <v>1111</v>
      </c>
      <c r="Z1792" s="23">
        <v>11400895</v>
      </c>
      <c r="AA1792" s="23">
        <v>505103</v>
      </c>
      <c r="AB1792" s="24">
        <v>46029</v>
      </c>
    </row>
    <row r="1793" spans="2:28" x14ac:dyDescent="0.2">
      <c r="B1793" s="23" t="s">
        <v>81</v>
      </c>
      <c r="C1793" s="23">
        <v>1100573221</v>
      </c>
      <c r="H1793" s="24">
        <v>46126</v>
      </c>
      <c r="O1793" s="23">
        <v>152.02000000000001</v>
      </c>
      <c r="P1793" s="23" t="s">
        <v>79</v>
      </c>
    </row>
    <row r="1794" spans="2:28" x14ac:dyDescent="0.2">
      <c r="C1794" s="23">
        <v>1100575720</v>
      </c>
      <c r="E1794" s="23">
        <v>10</v>
      </c>
      <c r="F1794" s="23" t="s">
        <v>1769</v>
      </c>
      <c r="G1794" s="23" t="s">
        <v>3549</v>
      </c>
      <c r="H1794" s="24">
        <v>46126</v>
      </c>
      <c r="I1794" s="24">
        <v>46126</v>
      </c>
      <c r="J1794" s="23" t="s">
        <v>102</v>
      </c>
      <c r="K1794" s="23" t="s">
        <v>102</v>
      </c>
      <c r="L1794" s="23">
        <v>12</v>
      </c>
      <c r="M1794" s="23" t="s">
        <v>78</v>
      </c>
      <c r="N1794" s="23" t="s">
        <v>78</v>
      </c>
      <c r="O1794" s="23">
        <v>118.44</v>
      </c>
      <c r="P1794" s="23" t="s">
        <v>79</v>
      </c>
      <c r="Q1794" s="23" t="s">
        <v>83</v>
      </c>
      <c r="R1794" s="23">
        <v>11100176</v>
      </c>
      <c r="S1794" s="24">
        <v>46126</v>
      </c>
      <c r="T1794" s="24">
        <v>46056</v>
      </c>
      <c r="U1794" s="24" t="s">
        <v>80</v>
      </c>
      <c r="X1794" s="24">
        <v>46051</v>
      </c>
      <c r="Y1794" s="23">
        <v>1111</v>
      </c>
      <c r="Z1794" s="23">
        <v>11400895</v>
      </c>
      <c r="AA1794" s="23">
        <v>515103</v>
      </c>
      <c r="AB1794" s="24">
        <v>46055</v>
      </c>
    </row>
    <row r="1795" spans="2:28" x14ac:dyDescent="0.2">
      <c r="C1795" s="23">
        <v>1100575720</v>
      </c>
      <c r="E1795" s="23">
        <v>20</v>
      </c>
      <c r="F1795" s="23" t="s">
        <v>785</v>
      </c>
      <c r="G1795" s="23" t="s">
        <v>1768</v>
      </c>
      <c r="H1795" s="24">
        <v>46126</v>
      </c>
      <c r="I1795" s="24">
        <v>46126</v>
      </c>
      <c r="J1795" s="23" t="s">
        <v>102</v>
      </c>
      <c r="K1795" s="23" t="s">
        <v>102</v>
      </c>
      <c r="L1795" s="23">
        <v>10</v>
      </c>
      <c r="M1795" s="23" t="s">
        <v>78</v>
      </c>
      <c r="N1795" s="23" t="s">
        <v>78</v>
      </c>
      <c r="O1795" s="23">
        <v>131.6</v>
      </c>
      <c r="P1795" s="23" t="s">
        <v>79</v>
      </c>
      <c r="Q1795" s="23" t="s">
        <v>83</v>
      </c>
      <c r="R1795" s="23">
        <v>11100176</v>
      </c>
      <c r="S1795" s="24">
        <v>46126</v>
      </c>
      <c r="T1795" s="24">
        <v>46056</v>
      </c>
      <c r="U1795" s="24" t="s">
        <v>80</v>
      </c>
      <c r="X1795" s="24">
        <v>46051</v>
      </c>
      <c r="Y1795" s="23">
        <v>1111</v>
      </c>
      <c r="Z1795" s="23">
        <v>11400895</v>
      </c>
      <c r="AA1795" s="23">
        <v>515103</v>
      </c>
      <c r="AB1795" s="24">
        <v>46055</v>
      </c>
    </row>
    <row r="1796" spans="2:28" x14ac:dyDescent="0.2">
      <c r="C1796" s="23">
        <v>1100575720</v>
      </c>
      <c r="E1796" s="23">
        <v>30</v>
      </c>
      <c r="F1796" s="23" t="s">
        <v>82</v>
      </c>
      <c r="G1796" s="23" t="s">
        <v>139</v>
      </c>
      <c r="H1796" s="24">
        <v>46126</v>
      </c>
      <c r="I1796" s="24">
        <v>46126</v>
      </c>
      <c r="J1796" s="23" t="s">
        <v>102</v>
      </c>
      <c r="K1796" s="23" t="s">
        <v>102</v>
      </c>
      <c r="L1796" s="23">
        <v>1</v>
      </c>
      <c r="M1796" s="23" t="s">
        <v>78</v>
      </c>
      <c r="N1796" s="23" t="s">
        <v>78</v>
      </c>
      <c r="O1796" s="23">
        <v>0.01</v>
      </c>
      <c r="P1796" s="23" t="s">
        <v>79</v>
      </c>
      <c r="Q1796" s="23" t="s">
        <v>83</v>
      </c>
      <c r="R1796" s="23">
        <v>11100176</v>
      </c>
      <c r="S1796" s="24" t="s">
        <v>80</v>
      </c>
      <c r="T1796" s="24">
        <v>46056</v>
      </c>
      <c r="U1796" s="24" t="s">
        <v>80</v>
      </c>
      <c r="X1796" s="24">
        <v>46051</v>
      </c>
      <c r="Y1796" s="23">
        <v>1111</v>
      </c>
      <c r="Z1796" s="23">
        <v>11400895</v>
      </c>
      <c r="AA1796" s="23">
        <v>515103</v>
      </c>
      <c r="AB1796" s="24">
        <v>46055</v>
      </c>
    </row>
    <row r="1797" spans="2:28" x14ac:dyDescent="0.2">
      <c r="B1797" s="23" t="s">
        <v>81</v>
      </c>
      <c r="C1797" s="23">
        <v>1100575720</v>
      </c>
      <c r="H1797" s="24">
        <v>46126</v>
      </c>
      <c r="O1797" s="23">
        <v>250.05</v>
      </c>
      <c r="P1797" s="23" t="s">
        <v>79</v>
      </c>
    </row>
    <row r="1798" spans="2:28" x14ac:dyDescent="0.2">
      <c r="C1798" s="23">
        <v>1100575815</v>
      </c>
      <c r="E1798" s="23">
        <v>10</v>
      </c>
      <c r="F1798" s="23" t="s">
        <v>2973</v>
      </c>
      <c r="G1798" s="23" t="s">
        <v>2974</v>
      </c>
      <c r="H1798" s="24">
        <v>46126</v>
      </c>
      <c r="I1798" s="24">
        <v>46126</v>
      </c>
      <c r="J1798" s="23" t="s">
        <v>92</v>
      </c>
      <c r="K1798" s="23" t="s">
        <v>92</v>
      </c>
      <c r="L1798" s="23">
        <v>16</v>
      </c>
      <c r="M1798" s="23" t="s">
        <v>78</v>
      </c>
      <c r="N1798" s="23" t="s">
        <v>78</v>
      </c>
      <c r="O1798" s="23">
        <v>29416</v>
      </c>
      <c r="P1798" s="23" t="s">
        <v>79</v>
      </c>
      <c r="Q1798" s="23" t="s">
        <v>83</v>
      </c>
      <c r="R1798" s="23">
        <v>11100176</v>
      </c>
      <c r="S1798" s="24">
        <v>46126</v>
      </c>
      <c r="T1798" s="24">
        <v>46057</v>
      </c>
      <c r="U1798" s="24" t="s">
        <v>80</v>
      </c>
      <c r="X1798" s="24">
        <v>46055</v>
      </c>
      <c r="Y1798" s="23">
        <v>1111</v>
      </c>
      <c r="Z1798" s="23">
        <v>11400745</v>
      </c>
      <c r="AA1798" s="23">
        <v>515103</v>
      </c>
      <c r="AB1798" s="24">
        <v>46055</v>
      </c>
    </row>
    <row r="1799" spans="2:28" x14ac:dyDescent="0.2">
      <c r="C1799" s="23">
        <v>1100575815</v>
      </c>
      <c r="E1799" s="23">
        <v>20</v>
      </c>
      <c r="F1799" s="23" t="s">
        <v>721</v>
      </c>
      <c r="G1799" s="23" t="s">
        <v>1920</v>
      </c>
      <c r="H1799" s="24">
        <v>46126</v>
      </c>
      <c r="I1799" s="24">
        <v>46126</v>
      </c>
      <c r="J1799" s="23" t="s">
        <v>92</v>
      </c>
      <c r="K1799" s="23" t="s">
        <v>92</v>
      </c>
      <c r="L1799" s="23">
        <v>64</v>
      </c>
      <c r="M1799" s="23" t="s">
        <v>78</v>
      </c>
      <c r="N1799" s="23" t="s">
        <v>78</v>
      </c>
      <c r="O1799" s="23">
        <v>14842.24</v>
      </c>
      <c r="P1799" s="23" t="s">
        <v>79</v>
      </c>
      <c r="Q1799" s="23" t="s">
        <v>83</v>
      </c>
      <c r="R1799" s="23">
        <v>11100176</v>
      </c>
      <c r="S1799" s="24">
        <v>46126</v>
      </c>
      <c r="T1799" s="24">
        <v>46057</v>
      </c>
      <c r="U1799" s="24" t="s">
        <v>80</v>
      </c>
      <c r="X1799" s="24">
        <v>46055</v>
      </c>
      <c r="Y1799" s="23">
        <v>1111</v>
      </c>
      <c r="Z1799" s="23">
        <v>11400745</v>
      </c>
      <c r="AA1799" s="23">
        <v>515103</v>
      </c>
      <c r="AB1799" s="24">
        <v>46055</v>
      </c>
    </row>
    <row r="1800" spans="2:28" x14ac:dyDescent="0.2">
      <c r="C1800" s="23">
        <v>1100575815</v>
      </c>
      <c r="E1800" s="23">
        <v>30</v>
      </c>
      <c r="F1800" s="23" t="s">
        <v>694</v>
      </c>
      <c r="G1800" s="23" t="s">
        <v>695</v>
      </c>
      <c r="H1800" s="24">
        <v>46126</v>
      </c>
      <c r="I1800" s="24">
        <v>46126</v>
      </c>
      <c r="J1800" s="23" t="s">
        <v>92</v>
      </c>
      <c r="K1800" s="23" t="s">
        <v>92</v>
      </c>
      <c r="L1800" s="23">
        <v>32</v>
      </c>
      <c r="M1800" s="23" t="s">
        <v>78</v>
      </c>
      <c r="N1800" s="23" t="s">
        <v>78</v>
      </c>
      <c r="O1800" s="23">
        <v>2684.16</v>
      </c>
      <c r="P1800" s="23" t="s">
        <v>79</v>
      </c>
      <c r="Q1800" s="23" t="s">
        <v>83</v>
      </c>
      <c r="R1800" s="23">
        <v>11100176</v>
      </c>
      <c r="S1800" s="24">
        <v>46126</v>
      </c>
      <c r="T1800" s="24">
        <v>46057</v>
      </c>
      <c r="U1800" s="24" t="s">
        <v>80</v>
      </c>
      <c r="X1800" s="24">
        <v>46055</v>
      </c>
      <c r="Y1800" s="23">
        <v>1111</v>
      </c>
      <c r="Z1800" s="23">
        <v>11400745</v>
      </c>
      <c r="AA1800" s="23">
        <v>515103</v>
      </c>
      <c r="AB1800" s="24">
        <v>46055</v>
      </c>
    </row>
    <row r="1801" spans="2:28" x14ac:dyDescent="0.2">
      <c r="C1801" s="23">
        <v>1100575815</v>
      </c>
      <c r="E1801" s="23">
        <v>40</v>
      </c>
      <c r="F1801" s="23" t="s">
        <v>3550</v>
      </c>
      <c r="G1801" s="23" t="s">
        <v>3551</v>
      </c>
      <c r="H1801" s="24">
        <v>46126</v>
      </c>
      <c r="I1801" s="24">
        <v>46126</v>
      </c>
      <c r="J1801" s="23" t="s">
        <v>92</v>
      </c>
      <c r="K1801" s="23" t="s">
        <v>92</v>
      </c>
      <c r="L1801" s="23">
        <v>64</v>
      </c>
      <c r="M1801" s="23" t="s">
        <v>78</v>
      </c>
      <c r="N1801" s="23" t="s">
        <v>78</v>
      </c>
      <c r="O1801" s="23">
        <v>2716.16</v>
      </c>
      <c r="P1801" s="23" t="s">
        <v>79</v>
      </c>
      <c r="Q1801" s="23" t="s">
        <v>83</v>
      </c>
      <c r="R1801" s="23">
        <v>11100176</v>
      </c>
      <c r="S1801" s="24">
        <v>46126</v>
      </c>
      <c r="T1801" s="24">
        <v>46057</v>
      </c>
      <c r="U1801" s="24" t="s">
        <v>80</v>
      </c>
      <c r="X1801" s="24">
        <v>46055</v>
      </c>
      <c r="Y1801" s="23">
        <v>1111</v>
      </c>
      <c r="Z1801" s="23">
        <v>11400745</v>
      </c>
      <c r="AA1801" s="23">
        <v>515103</v>
      </c>
      <c r="AB1801" s="24">
        <v>46055</v>
      </c>
    </row>
    <row r="1802" spans="2:28" x14ac:dyDescent="0.2">
      <c r="C1802" s="23">
        <v>1100575815</v>
      </c>
      <c r="E1802" s="23">
        <v>50</v>
      </c>
      <c r="F1802" s="23" t="s">
        <v>720</v>
      </c>
      <c r="G1802" s="23" t="s">
        <v>1837</v>
      </c>
      <c r="H1802" s="24">
        <v>46126</v>
      </c>
      <c r="I1802" s="24">
        <v>46126</v>
      </c>
      <c r="J1802" s="23" t="s">
        <v>92</v>
      </c>
      <c r="K1802" s="23" t="s">
        <v>92</v>
      </c>
      <c r="L1802" s="23">
        <v>16</v>
      </c>
      <c r="M1802" s="23" t="s">
        <v>78</v>
      </c>
      <c r="N1802" s="23" t="s">
        <v>78</v>
      </c>
      <c r="O1802" s="23">
        <v>1705.28</v>
      </c>
      <c r="P1802" s="23" t="s">
        <v>79</v>
      </c>
      <c r="Q1802" s="23" t="s">
        <v>83</v>
      </c>
      <c r="R1802" s="23">
        <v>11100176</v>
      </c>
      <c r="S1802" s="24">
        <v>46126</v>
      </c>
      <c r="T1802" s="24">
        <v>46057</v>
      </c>
      <c r="U1802" s="24" t="s">
        <v>80</v>
      </c>
      <c r="X1802" s="24">
        <v>46055</v>
      </c>
      <c r="Y1802" s="23">
        <v>1111</v>
      </c>
      <c r="Z1802" s="23">
        <v>11400745</v>
      </c>
      <c r="AA1802" s="23">
        <v>515103</v>
      </c>
      <c r="AB1802" s="24">
        <v>46055</v>
      </c>
    </row>
    <row r="1803" spans="2:28" x14ac:dyDescent="0.2">
      <c r="C1803" s="23">
        <v>1100575815</v>
      </c>
      <c r="E1803" s="23">
        <v>60</v>
      </c>
      <c r="F1803" s="23" t="s">
        <v>680</v>
      </c>
      <c r="G1803" s="23" t="s">
        <v>681</v>
      </c>
      <c r="H1803" s="24">
        <v>46126</v>
      </c>
      <c r="I1803" s="24">
        <v>46126</v>
      </c>
      <c r="J1803" s="23" t="s">
        <v>92</v>
      </c>
      <c r="K1803" s="23" t="s">
        <v>92</v>
      </c>
      <c r="L1803" s="23">
        <v>16</v>
      </c>
      <c r="M1803" s="23" t="s">
        <v>78</v>
      </c>
      <c r="N1803" s="23" t="s">
        <v>78</v>
      </c>
      <c r="O1803" s="23">
        <v>14557.92</v>
      </c>
      <c r="P1803" s="23" t="s">
        <v>79</v>
      </c>
      <c r="Q1803" s="23" t="s">
        <v>83</v>
      </c>
      <c r="R1803" s="23">
        <v>11100176</v>
      </c>
      <c r="S1803" s="24">
        <v>46126</v>
      </c>
      <c r="T1803" s="24">
        <v>46057</v>
      </c>
      <c r="U1803" s="24" t="s">
        <v>80</v>
      </c>
      <c r="X1803" s="24">
        <v>46055</v>
      </c>
      <c r="Y1803" s="23">
        <v>1111</v>
      </c>
      <c r="Z1803" s="23">
        <v>11400745</v>
      </c>
      <c r="AA1803" s="23">
        <v>515103</v>
      </c>
      <c r="AB1803" s="24">
        <v>46055</v>
      </c>
    </row>
    <row r="1804" spans="2:28" x14ac:dyDescent="0.2">
      <c r="C1804" s="23">
        <v>1100575815</v>
      </c>
      <c r="E1804" s="23">
        <v>70</v>
      </c>
      <c r="F1804" s="23" t="s">
        <v>3215</v>
      </c>
      <c r="G1804" s="23" t="s">
        <v>3216</v>
      </c>
      <c r="H1804" s="24">
        <v>46126</v>
      </c>
      <c r="I1804" s="24">
        <v>46126</v>
      </c>
      <c r="J1804" s="23" t="s">
        <v>92</v>
      </c>
      <c r="K1804" s="23" t="s">
        <v>92</v>
      </c>
      <c r="L1804" s="23">
        <v>32</v>
      </c>
      <c r="M1804" s="23" t="s">
        <v>78</v>
      </c>
      <c r="N1804" s="23" t="s">
        <v>78</v>
      </c>
      <c r="O1804" s="23">
        <v>1168.32</v>
      </c>
      <c r="P1804" s="23" t="s">
        <v>79</v>
      </c>
      <c r="Q1804" s="23" t="s">
        <v>83</v>
      </c>
      <c r="R1804" s="23">
        <v>11100176</v>
      </c>
      <c r="S1804" s="24">
        <v>46126</v>
      </c>
      <c r="T1804" s="24">
        <v>46057</v>
      </c>
      <c r="U1804" s="24" t="s">
        <v>80</v>
      </c>
      <c r="X1804" s="24">
        <v>46055</v>
      </c>
      <c r="Y1804" s="23">
        <v>1111</v>
      </c>
      <c r="Z1804" s="23">
        <v>11400745</v>
      </c>
      <c r="AA1804" s="23">
        <v>515103</v>
      </c>
      <c r="AB1804" s="24">
        <v>46055</v>
      </c>
    </row>
    <row r="1805" spans="2:28" x14ac:dyDescent="0.2">
      <c r="C1805" s="23">
        <v>1100575815</v>
      </c>
      <c r="E1805" s="23">
        <v>80</v>
      </c>
      <c r="F1805" s="23" t="s">
        <v>663</v>
      </c>
      <c r="G1805" s="23" t="s">
        <v>1814</v>
      </c>
      <c r="H1805" s="24">
        <v>46126</v>
      </c>
      <c r="I1805" s="24">
        <v>46126</v>
      </c>
      <c r="J1805" s="23" t="s">
        <v>92</v>
      </c>
      <c r="K1805" s="23" t="s">
        <v>92</v>
      </c>
      <c r="L1805" s="23">
        <v>16</v>
      </c>
      <c r="M1805" s="23" t="s">
        <v>78</v>
      </c>
      <c r="N1805" s="23" t="s">
        <v>78</v>
      </c>
      <c r="O1805" s="23">
        <v>743.04</v>
      </c>
      <c r="P1805" s="23" t="s">
        <v>79</v>
      </c>
      <c r="Q1805" s="23" t="s">
        <v>83</v>
      </c>
      <c r="R1805" s="23">
        <v>11100176</v>
      </c>
      <c r="S1805" s="24">
        <v>46126</v>
      </c>
      <c r="T1805" s="24">
        <v>46057</v>
      </c>
      <c r="U1805" s="24" t="s">
        <v>80</v>
      </c>
      <c r="X1805" s="24">
        <v>46055</v>
      </c>
      <c r="Y1805" s="23">
        <v>1111</v>
      </c>
      <c r="Z1805" s="23">
        <v>11400745</v>
      </c>
      <c r="AA1805" s="23">
        <v>515103</v>
      </c>
      <c r="AB1805" s="24">
        <v>46055</v>
      </c>
    </row>
    <row r="1806" spans="2:28" x14ac:dyDescent="0.2">
      <c r="B1806" s="23" t="s">
        <v>81</v>
      </c>
      <c r="C1806" s="23">
        <v>1100575815</v>
      </c>
      <c r="H1806" s="24">
        <v>46126</v>
      </c>
      <c r="O1806" s="23">
        <v>67833.119999999995</v>
      </c>
      <c r="P1806" s="23" t="s">
        <v>79</v>
      </c>
    </row>
    <row r="1807" spans="2:28" x14ac:dyDescent="0.2">
      <c r="C1807" s="23">
        <v>1100576970</v>
      </c>
      <c r="E1807" s="23">
        <v>10</v>
      </c>
      <c r="F1807" s="23" t="s">
        <v>3552</v>
      </c>
      <c r="G1807" s="23" t="s">
        <v>3553</v>
      </c>
      <c r="H1807" s="24">
        <v>46126</v>
      </c>
      <c r="I1807" s="24">
        <v>46126</v>
      </c>
      <c r="J1807" s="23" t="s">
        <v>2254</v>
      </c>
      <c r="K1807" s="23" t="s">
        <v>2254</v>
      </c>
      <c r="L1807" s="23">
        <v>3</v>
      </c>
      <c r="M1807" s="23" t="s">
        <v>78</v>
      </c>
      <c r="N1807" s="23" t="s">
        <v>78</v>
      </c>
      <c r="O1807" s="23">
        <v>299.10000000000002</v>
      </c>
      <c r="P1807" s="23" t="s">
        <v>79</v>
      </c>
      <c r="Q1807" s="23" t="s">
        <v>83</v>
      </c>
      <c r="R1807" s="23">
        <v>11100176</v>
      </c>
      <c r="S1807" s="24">
        <v>46077</v>
      </c>
      <c r="T1807" s="24">
        <v>46070</v>
      </c>
      <c r="U1807" s="24" t="s">
        <v>80</v>
      </c>
      <c r="X1807" s="24">
        <v>46066</v>
      </c>
      <c r="Y1807" s="23">
        <v>1111</v>
      </c>
      <c r="Z1807" s="23">
        <v>11400811</v>
      </c>
      <c r="AA1807" s="23">
        <v>3951</v>
      </c>
      <c r="AB1807" s="24">
        <v>46065</v>
      </c>
    </row>
    <row r="1808" spans="2:28" x14ac:dyDescent="0.2">
      <c r="C1808" s="23">
        <v>1100576970</v>
      </c>
      <c r="E1808" s="23">
        <v>20</v>
      </c>
      <c r="F1808" s="23" t="s">
        <v>82</v>
      </c>
      <c r="G1808" s="23" t="s">
        <v>139</v>
      </c>
      <c r="H1808" s="24">
        <v>46126</v>
      </c>
      <c r="I1808" s="24">
        <v>46126</v>
      </c>
      <c r="J1808" s="23" t="s">
        <v>2254</v>
      </c>
      <c r="K1808" s="23" t="s">
        <v>2254</v>
      </c>
      <c r="L1808" s="23">
        <v>1</v>
      </c>
      <c r="M1808" s="23" t="s">
        <v>78</v>
      </c>
      <c r="N1808" s="23" t="s">
        <v>78</v>
      </c>
      <c r="O1808" s="23">
        <v>0.01</v>
      </c>
      <c r="P1808" s="23" t="s">
        <v>79</v>
      </c>
      <c r="Q1808" s="23" t="s">
        <v>83</v>
      </c>
      <c r="R1808" s="23">
        <v>11100176</v>
      </c>
      <c r="S1808" s="24" t="s">
        <v>80</v>
      </c>
      <c r="T1808" s="24">
        <v>46070</v>
      </c>
      <c r="U1808" s="24" t="s">
        <v>80</v>
      </c>
      <c r="X1808" s="24">
        <v>46066</v>
      </c>
      <c r="Y1808" s="23">
        <v>1111</v>
      </c>
      <c r="Z1808" s="23">
        <v>11400811</v>
      </c>
      <c r="AA1808" s="23">
        <v>3951</v>
      </c>
      <c r="AB1808" s="24">
        <v>46065</v>
      </c>
    </row>
    <row r="1809" spans="2:28" x14ac:dyDescent="0.2">
      <c r="B1809" s="23" t="s">
        <v>81</v>
      </c>
      <c r="C1809" s="23">
        <v>1100576970</v>
      </c>
      <c r="H1809" s="24">
        <v>46126</v>
      </c>
      <c r="O1809" s="23">
        <v>299.11</v>
      </c>
      <c r="P1809" s="23" t="s">
        <v>79</v>
      </c>
    </row>
    <row r="1810" spans="2:28" x14ac:dyDescent="0.2">
      <c r="C1810" s="23">
        <v>1100576972</v>
      </c>
      <c r="E1810" s="23">
        <v>10</v>
      </c>
      <c r="F1810" s="23" t="s">
        <v>3554</v>
      </c>
      <c r="G1810" s="23" t="s">
        <v>3555</v>
      </c>
      <c r="H1810" s="24">
        <v>46126</v>
      </c>
      <c r="I1810" s="24">
        <v>46126</v>
      </c>
      <c r="J1810" s="23" t="s">
        <v>2206</v>
      </c>
      <c r="K1810" s="23" t="s">
        <v>2206</v>
      </c>
      <c r="L1810" s="23">
        <v>1</v>
      </c>
      <c r="M1810" s="23" t="s">
        <v>78</v>
      </c>
      <c r="N1810" s="23" t="s">
        <v>78</v>
      </c>
      <c r="O1810" s="23">
        <v>3796</v>
      </c>
      <c r="P1810" s="23" t="s">
        <v>79</v>
      </c>
      <c r="Q1810" s="23" t="s">
        <v>83</v>
      </c>
      <c r="R1810" s="23">
        <v>11100176</v>
      </c>
      <c r="S1810" s="24">
        <v>46126</v>
      </c>
      <c r="T1810" s="24">
        <v>46070</v>
      </c>
      <c r="U1810" s="24" t="s">
        <v>80</v>
      </c>
      <c r="X1810" s="24">
        <v>46066</v>
      </c>
      <c r="Y1810" s="23">
        <v>1111</v>
      </c>
      <c r="Z1810" s="23">
        <v>11400811</v>
      </c>
      <c r="AA1810" s="23">
        <v>3951</v>
      </c>
      <c r="AB1810" s="24">
        <v>46066</v>
      </c>
    </row>
    <row r="1811" spans="2:28" x14ac:dyDescent="0.2">
      <c r="C1811" s="23">
        <v>1100576972</v>
      </c>
      <c r="E1811" s="23">
        <v>20</v>
      </c>
      <c r="F1811" s="23" t="s">
        <v>82</v>
      </c>
      <c r="G1811" s="23" t="s">
        <v>139</v>
      </c>
      <c r="H1811" s="24">
        <v>46126</v>
      </c>
      <c r="I1811" s="24">
        <v>46126</v>
      </c>
      <c r="J1811" s="23" t="s">
        <v>2206</v>
      </c>
      <c r="K1811" s="23" t="s">
        <v>2206</v>
      </c>
      <c r="L1811" s="23">
        <v>1</v>
      </c>
      <c r="M1811" s="23" t="s">
        <v>78</v>
      </c>
      <c r="N1811" s="23" t="s">
        <v>78</v>
      </c>
      <c r="O1811" s="23">
        <v>0.01</v>
      </c>
      <c r="P1811" s="23" t="s">
        <v>79</v>
      </c>
      <c r="Q1811" s="23" t="s">
        <v>83</v>
      </c>
      <c r="R1811" s="23">
        <v>11100176</v>
      </c>
      <c r="S1811" s="24" t="s">
        <v>80</v>
      </c>
      <c r="T1811" s="24">
        <v>46070</v>
      </c>
      <c r="U1811" s="24" t="s">
        <v>80</v>
      </c>
      <c r="X1811" s="24">
        <v>46066</v>
      </c>
      <c r="Y1811" s="23">
        <v>1111</v>
      </c>
      <c r="Z1811" s="23">
        <v>11400811</v>
      </c>
      <c r="AA1811" s="23">
        <v>3951</v>
      </c>
      <c r="AB1811" s="24">
        <v>46066</v>
      </c>
    </row>
    <row r="1812" spans="2:28" x14ac:dyDescent="0.2">
      <c r="B1812" s="23" t="s">
        <v>81</v>
      </c>
      <c r="C1812" s="23">
        <v>1100576972</v>
      </c>
      <c r="H1812" s="24">
        <v>46126</v>
      </c>
      <c r="O1812" s="23">
        <v>3796.01</v>
      </c>
      <c r="P1812" s="23" t="s">
        <v>79</v>
      </c>
    </row>
    <row r="1813" spans="2:28" x14ac:dyDescent="0.2">
      <c r="C1813" s="23">
        <v>1100576979</v>
      </c>
      <c r="E1813" s="23">
        <v>10</v>
      </c>
      <c r="F1813" s="23" t="s">
        <v>4250</v>
      </c>
      <c r="G1813" s="23" t="s">
        <v>4049</v>
      </c>
      <c r="H1813" s="24">
        <v>46126</v>
      </c>
      <c r="I1813" s="24">
        <v>46126</v>
      </c>
      <c r="J1813" s="23" t="s">
        <v>1753</v>
      </c>
      <c r="K1813" s="23" t="s">
        <v>1753</v>
      </c>
      <c r="L1813" s="23">
        <v>1</v>
      </c>
      <c r="M1813" s="23" t="s">
        <v>78</v>
      </c>
      <c r="N1813" s="23" t="s">
        <v>78</v>
      </c>
      <c r="O1813" s="23">
        <v>829.78</v>
      </c>
      <c r="P1813" s="23" t="s">
        <v>79</v>
      </c>
      <c r="Q1813" s="23" t="s">
        <v>83</v>
      </c>
      <c r="R1813" s="23">
        <v>11100008</v>
      </c>
      <c r="S1813" s="24">
        <v>46126</v>
      </c>
      <c r="T1813" s="24">
        <v>46070</v>
      </c>
      <c r="U1813" s="24" t="s">
        <v>80</v>
      </c>
      <c r="X1813" s="24">
        <v>46063</v>
      </c>
      <c r="Y1813" s="23">
        <v>1111</v>
      </c>
      <c r="Z1813" s="23">
        <v>11400895</v>
      </c>
      <c r="AA1813" s="23">
        <v>335103</v>
      </c>
      <c r="AB1813" s="24">
        <v>46063</v>
      </c>
    </row>
    <row r="1814" spans="2:28" x14ac:dyDescent="0.2">
      <c r="C1814" s="23">
        <v>1100576979</v>
      </c>
      <c r="E1814" s="23">
        <v>20</v>
      </c>
      <c r="F1814" s="23" t="s">
        <v>4251</v>
      </c>
      <c r="G1814" s="23" t="s">
        <v>4252</v>
      </c>
      <c r="H1814" s="24">
        <v>46126</v>
      </c>
      <c r="I1814" s="24">
        <v>46126</v>
      </c>
      <c r="J1814" s="23" t="s">
        <v>1753</v>
      </c>
      <c r="K1814" s="23" t="s">
        <v>1753</v>
      </c>
      <c r="L1814" s="23">
        <v>1</v>
      </c>
      <c r="M1814" s="23" t="s">
        <v>78</v>
      </c>
      <c r="N1814" s="23" t="s">
        <v>78</v>
      </c>
      <c r="O1814" s="23">
        <v>314.77999999999997</v>
      </c>
      <c r="P1814" s="23" t="s">
        <v>79</v>
      </c>
      <c r="Q1814" s="23" t="s">
        <v>83</v>
      </c>
      <c r="R1814" s="23">
        <v>11100008</v>
      </c>
      <c r="S1814" s="24">
        <v>46126</v>
      </c>
      <c r="T1814" s="24">
        <v>46070</v>
      </c>
      <c r="U1814" s="24" t="s">
        <v>80</v>
      </c>
      <c r="X1814" s="24">
        <v>46063</v>
      </c>
      <c r="Y1814" s="23">
        <v>1111</v>
      </c>
      <c r="Z1814" s="23">
        <v>11400895</v>
      </c>
      <c r="AA1814" s="23">
        <v>335103</v>
      </c>
      <c r="AB1814" s="24">
        <v>46063</v>
      </c>
    </row>
    <row r="1815" spans="2:28" x14ac:dyDescent="0.2">
      <c r="C1815" s="23">
        <v>1100576979</v>
      </c>
      <c r="E1815" s="23">
        <v>30</v>
      </c>
      <c r="F1815" s="23" t="s">
        <v>84</v>
      </c>
      <c r="G1815" s="23" t="s">
        <v>123</v>
      </c>
      <c r="H1815" s="24">
        <v>46126</v>
      </c>
      <c r="I1815" s="24">
        <v>46126</v>
      </c>
      <c r="J1815" s="23" t="s">
        <v>1753</v>
      </c>
      <c r="K1815" s="23" t="s">
        <v>1753</v>
      </c>
      <c r="L1815" s="23">
        <v>1</v>
      </c>
      <c r="M1815" s="23" t="s">
        <v>78</v>
      </c>
      <c r="N1815" s="23" t="s">
        <v>78</v>
      </c>
      <c r="O1815" s="23">
        <v>0.01</v>
      </c>
      <c r="P1815" s="23" t="s">
        <v>79</v>
      </c>
      <c r="Q1815" s="23" t="s">
        <v>83</v>
      </c>
      <c r="R1815" s="23">
        <v>11100008</v>
      </c>
      <c r="S1815" s="24" t="s">
        <v>80</v>
      </c>
      <c r="T1815" s="24">
        <v>46070</v>
      </c>
      <c r="U1815" s="24" t="s">
        <v>80</v>
      </c>
      <c r="X1815" s="24">
        <v>46063</v>
      </c>
      <c r="Y1815" s="23">
        <v>1111</v>
      </c>
      <c r="Z1815" s="23">
        <v>11400895</v>
      </c>
      <c r="AA1815" s="23">
        <v>335103</v>
      </c>
      <c r="AB1815" s="24">
        <v>46063</v>
      </c>
    </row>
    <row r="1816" spans="2:28" x14ac:dyDescent="0.2">
      <c r="C1816" s="23">
        <v>1100576979</v>
      </c>
      <c r="E1816" s="23">
        <v>40</v>
      </c>
      <c r="F1816" s="23" t="s">
        <v>82</v>
      </c>
      <c r="G1816" s="23" t="s">
        <v>139</v>
      </c>
      <c r="H1816" s="24">
        <v>46126</v>
      </c>
      <c r="I1816" s="24">
        <v>46126</v>
      </c>
      <c r="J1816" s="23" t="s">
        <v>1753</v>
      </c>
      <c r="K1816" s="23" t="s">
        <v>1753</v>
      </c>
      <c r="L1816" s="23">
        <v>1</v>
      </c>
      <c r="M1816" s="23" t="s">
        <v>78</v>
      </c>
      <c r="N1816" s="23" t="s">
        <v>78</v>
      </c>
      <c r="O1816" s="23">
        <v>0.01</v>
      </c>
      <c r="P1816" s="23" t="s">
        <v>79</v>
      </c>
      <c r="Q1816" s="23" t="s">
        <v>83</v>
      </c>
      <c r="R1816" s="23">
        <v>11100008</v>
      </c>
      <c r="S1816" s="24" t="s">
        <v>80</v>
      </c>
      <c r="T1816" s="24">
        <v>46070</v>
      </c>
      <c r="U1816" s="24" t="s">
        <v>80</v>
      </c>
      <c r="X1816" s="24">
        <v>46063</v>
      </c>
      <c r="Y1816" s="23">
        <v>1111</v>
      </c>
      <c r="Z1816" s="23">
        <v>11400895</v>
      </c>
      <c r="AA1816" s="23">
        <v>335103</v>
      </c>
      <c r="AB1816" s="24">
        <v>46063</v>
      </c>
    </row>
    <row r="1817" spans="2:28" x14ac:dyDescent="0.2">
      <c r="B1817" s="23" t="s">
        <v>81</v>
      </c>
      <c r="C1817" s="23">
        <v>1100576979</v>
      </c>
      <c r="H1817" s="24">
        <v>46126</v>
      </c>
      <c r="O1817" s="23">
        <v>1144.58</v>
      </c>
      <c r="P1817" s="23" t="s">
        <v>79</v>
      </c>
    </row>
    <row r="1818" spans="2:28" x14ac:dyDescent="0.2">
      <c r="C1818" s="23">
        <v>1100576989</v>
      </c>
      <c r="E1818" s="23">
        <v>10</v>
      </c>
      <c r="F1818" s="23" t="s">
        <v>722</v>
      </c>
      <c r="G1818" s="23" t="s">
        <v>723</v>
      </c>
      <c r="H1818" s="24">
        <v>46126</v>
      </c>
      <c r="I1818" s="24">
        <v>46126</v>
      </c>
      <c r="J1818" s="23" t="s">
        <v>708</v>
      </c>
      <c r="K1818" s="23" t="s">
        <v>708</v>
      </c>
      <c r="L1818" s="23">
        <v>2</v>
      </c>
      <c r="M1818" s="23" t="s">
        <v>78</v>
      </c>
      <c r="N1818" s="23" t="s">
        <v>78</v>
      </c>
      <c r="O1818" s="23">
        <v>5454.22</v>
      </c>
      <c r="P1818" s="23" t="s">
        <v>79</v>
      </c>
      <c r="Q1818" s="23" t="s">
        <v>83</v>
      </c>
      <c r="R1818" s="23">
        <v>11100176</v>
      </c>
      <c r="S1818" s="24">
        <v>46084</v>
      </c>
      <c r="T1818" s="24">
        <v>46070</v>
      </c>
      <c r="U1818" s="24" t="s">
        <v>80</v>
      </c>
      <c r="X1818" s="24">
        <v>46066</v>
      </c>
      <c r="Y1818" s="23">
        <v>1111</v>
      </c>
      <c r="Z1818" s="23">
        <v>11400895</v>
      </c>
      <c r="AA1818" s="23">
        <v>335103</v>
      </c>
      <c r="AB1818" s="24">
        <v>46066</v>
      </c>
    </row>
    <row r="1819" spans="2:28" x14ac:dyDescent="0.2">
      <c r="C1819" s="23">
        <v>1100576989</v>
      </c>
      <c r="E1819" s="23">
        <v>20</v>
      </c>
      <c r="F1819" s="23" t="s">
        <v>82</v>
      </c>
      <c r="G1819" s="23" t="s">
        <v>139</v>
      </c>
      <c r="H1819" s="24">
        <v>46126</v>
      </c>
      <c r="I1819" s="24">
        <v>46126</v>
      </c>
      <c r="J1819" s="23" t="s">
        <v>708</v>
      </c>
      <c r="K1819" s="23" t="s">
        <v>708</v>
      </c>
      <c r="L1819" s="23">
        <v>1</v>
      </c>
      <c r="M1819" s="23" t="s">
        <v>78</v>
      </c>
      <c r="N1819" s="23" t="s">
        <v>78</v>
      </c>
      <c r="O1819" s="23">
        <v>0.01</v>
      </c>
      <c r="P1819" s="23" t="s">
        <v>79</v>
      </c>
      <c r="Q1819" s="23" t="s">
        <v>83</v>
      </c>
      <c r="R1819" s="23">
        <v>11100176</v>
      </c>
      <c r="S1819" s="24" t="s">
        <v>80</v>
      </c>
      <c r="T1819" s="24">
        <v>46070</v>
      </c>
      <c r="U1819" s="24" t="s">
        <v>80</v>
      </c>
      <c r="X1819" s="24">
        <v>46066</v>
      </c>
      <c r="Y1819" s="23">
        <v>1111</v>
      </c>
      <c r="Z1819" s="23">
        <v>11400895</v>
      </c>
      <c r="AA1819" s="23">
        <v>335103</v>
      </c>
      <c r="AB1819" s="24">
        <v>46066</v>
      </c>
    </row>
    <row r="1820" spans="2:28" x14ac:dyDescent="0.2">
      <c r="B1820" s="23" t="s">
        <v>81</v>
      </c>
      <c r="C1820" s="23">
        <v>1100576989</v>
      </c>
      <c r="H1820" s="24">
        <v>46126</v>
      </c>
      <c r="O1820" s="23">
        <v>5454.23</v>
      </c>
      <c r="P1820" s="23" t="s">
        <v>79</v>
      </c>
    </row>
    <row r="1821" spans="2:28" x14ac:dyDescent="0.2">
      <c r="C1821" s="23">
        <v>1100577044</v>
      </c>
      <c r="E1821" s="23">
        <v>10</v>
      </c>
      <c r="F1821" s="23" t="s">
        <v>680</v>
      </c>
      <c r="G1821" s="23" t="s">
        <v>681</v>
      </c>
      <c r="H1821" s="24">
        <v>46126</v>
      </c>
      <c r="I1821" s="24">
        <v>46126</v>
      </c>
      <c r="J1821" s="23" t="s">
        <v>3556</v>
      </c>
      <c r="K1821" s="23" t="s">
        <v>3556</v>
      </c>
      <c r="L1821" s="23">
        <v>2</v>
      </c>
      <c r="M1821" s="23" t="s">
        <v>78</v>
      </c>
      <c r="N1821" s="23" t="s">
        <v>78</v>
      </c>
      <c r="O1821" s="23">
        <v>2021.94</v>
      </c>
      <c r="P1821" s="23" t="s">
        <v>79</v>
      </c>
      <c r="Q1821" s="23" t="s">
        <v>83</v>
      </c>
      <c r="R1821" s="23">
        <v>11100176</v>
      </c>
      <c r="S1821" s="24">
        <v>46126</v>
      </c>
      <c r="T1821" s="24">
        <v>46070</v>
      </c>
      <c r="U1821" s="24" t="s">
        <v>80</v>
      </c>
      <c r="X1821" s="24">
        <v>46066</v>
      </c>
      <c r="Y1821" s="23">
        <v>1111</v>
      </c>
      <c r="Z1821" s="23">
        <v>11400937</v>
      </c>
      <c r="AA1821" s="23">
        <v>395103</v>
      </c>
      <c r="AB1821" s="24">
        <v>46067</v>
      </c>
    </row>
    <row r="1822" spans="2:28" x14ac:dyDescent="0.2">
      <c r="C1822" s="23">
        <v>1100577044</v>
      </c>
      <c r="E1822" s="23">
        <v>20</v>
      </c>
      <c r="F1822" s="23" t="s">
        <v>3215</v>
      </c>
      <c r="G1822" s="23" t="s">
        <v>3216</v>
      </c>
      <c r="H1822" s="24">
        <v>46126</v>
      </c>
      <c r="I1822" s="24">
        <v>46126</v>
      </c>
      <c r="J1822" s="23" t="s">
        <v>3556</v>
      </c>
      <c r="K1822" s="23" t="s">
        <v>3556</v>
      </c>
      <c r="L1822" s="23">
        <v>8</v>
      </c>
      <c r="M1822" s="23" t="s">
        <v>78</v>
      </c>
      <c r="N1822" s="23" t="s">
        <v>78</v>
      </c>
      <c r="O1822" s="23">
        <v>324.56</v>
      </c>
      <c r="P1822" s="23" t="s">
        <v>79</v>
      </c>
      <c r="Q1822" s="23" t="s">
        <v>83</v>
      </c>
      <c r="R1822" s="23">
        <v>11100176</v>
      </c>
      <c r="S1822" s="24">
        <v>46126</v>
      </c>
      <c r="T1822" s="24">
        <v>46070</v>
      </c>
      <c r="U1822" s="24" t="s">
        <v>80</v>
      </c>
      <c r="X1822" s="24">
        <v>46066</v>
      </c>
      <c r="Y1822" s="23">
        <v>1111</v>
      </c>
      <c r="Z1822" s="23">
        <v>11400937</v>
      </c>
      <c r="AA1822" s="23">
        <v>395103</v>
      </c>
      <c r="AB1822" s="24">
        <v>46067</v>
      </c>
    </row>
    <row r="1823" spans="2:28" x14ac:dyDescent="0.2">
      <c r="C1823" s="23">
        <v>1100577044</v>
      </c>
      <c r="E1823" s="23">
        <v>30</v>
      </c>
      <c r="F1823" s="23" t="s">
        <v>663</v>
      </c>
      <c r="G1823" s="23" t="s">
        <v>1814</v>
      </c>
      <c r="H1823" s="24">
        <v>46126</v>
      </c>
      <c r="I1823" s="24">
        <v>46126</v>
      </c>
      <c r="J1823" s="23" t="s">
        <v>3556</v>
      </c>
      <c r="K1823" s="23" t="s">
        <v>3556</v>
      </c>
      <c r="L1823" s="23">
        <v>4</v>
      </c>
      <c r="M1823" s="23" t="s">
        <v>78</v>
      </c>
      <c r="N1823" s="23" t="s">
        <v>78</v>
      </c>
      <c r="O1823" s="23">
        <v>206.4</v>
      </c>
      <c r="P1823" s="23" t="s">
        <v>79</v>
      </c>
      <c r="Q1823" s="23" t="s">
        <v>83</v>
      </c>
      <c r="R1823" s="23">
        <v>11100176</v>
      </c>
      <c r="S1823" s="24">
        <v>46126</v>
      </c>
      <c r="T1823" s="24">
        <v>46070</v>
      </c>
      <c r="U1823" s="24" t="s">
        <v>80</v>
      </c>
      <c r="X1823" s="24">
        <v>46066</v>
      </c>
      <c r="Y1823" s="23">
        <v>1111</v>
      </c>
      <c r="Z1823" s="23">
        <v>11400937</v>
      </c>
      <c r="AA1823" s="23">
        <v>395103</v>
      </c>
      <c r="AB1823" s="24">
        <v>46067</v>
      </c>
    </row>
    <row r="1824" spans="2:28" x14ac:dyDescent="0.2">
      <c r="C1824" s="23">
        <v>1100577044</v>
      </c>
      <c r="E1824" s="23">
        <v>40</v>
      </c>
      <c r="F1824" s="23" t="s">
        <v>82</v>
      </c>
      <c r="G1824" s="23" t="s">
        <v>139</v>
      </c>
      <c r="H1824" s="24">
        <v>46126</v>
      </c>
      <c r="I1824" s="24">
        <v>46126</v>
      </c>
      <c r="J1824" s="23" t="s">
        <v>3556</v>
      </c>
      <c r="K1824" s="23" t="s">
        <v>3556</v>
      </c>
      <c r="L1824" s="23">
        <v>1</v>
      </c>
      <c r="M1824" s="23" t="s">
        <v>78</v>
      </c>
      <c r="N1824" s="23" t="s">
        <v>78</v>
      </c>
      <c r="O1824" s="23">
        <v>0.01</v>
      </c>
      <c r="P1824" s="23" t="s">
        <v>79</v>
      </c>
      <c r="Q1824" s="23" t="s">
        <v>83</v>
      </c>
      <c r="R1824" s="23">
        <v>11100176</v>
      </c>
      <c r="S1824" s="24" t="s">
        <v>80</v>
      </c>
      <c r="T1824" s="24">
        <v>46070</v>
      </c>
      <c r="U1824" s="24" t="s">
        <v>80</v>
      </c>
      <c r="X1824" s="24">
        <v>46066</v>
      </c>
      <c r="Y1824" s="23">
        <v>1111</v>
      </c>
      <c r="Z1824" s="23">
        <v>11400937</v>
      </c>
      <c r="AA1824" s="23">
        <v>395103</v>
      </c>
      <c r="AB1824" s="24">
        <v>46067</v>
      </c>
    </row>
    <row r="1825" spans="2:28" x14ac:dyDescent="0.2">
      <c r="B1825" s="23" t="s">
        <v>81</v>
      </c>
      <c r="C1825" s="23">
        <v>1100577044</v>
      </c>
      <c r="H1825" s="24">
        <v>46126</v>
      </c>
      <c r="O1825" s="23">
        <v>2552.91</v>
      </c>
      <c r="P1825" s="23" t="s">
        <v>79</v>
      </c>
    </row>
    <row r="1826" spans="2:28" x14ac:dyDescent="0.2">
      <c r="C1826" s="23">
        <v>1100577065</v>
      </c>
      <c r="E1826" s="23">
        <v>10</v>
      </c>
      <c r="F1826" s="23" t="s">
        <v>4054</v>
      </c>
      <c r="G1826" s="23" t="s">
        <v>4055</v>
      </c>
      <c r="H1826" s="24">
        <v>46126</v>
      </c>
      <c r="I1826" s="24">
        <v>46126</v>
      </c>
      <c r="J1826" s="23" t="s">
        <v>4056</v>
      </c>
      <c r="K1826" s="23" t="s">
        <v>4056</v>
      </c>
      <c r="L1826" s="23">
        <v>1</v>
      </c>
      <c r="M1826" s="23" t="s">
        <v>78</v>
      </c>
      <c r="N1826" s="23" t="s">
        <v>78</v>
      </c>
      <c r="O1826" s="23">
        <v>405.67</v>
      </c>
      <c r="P1826" s="23" t="s">
        <v>79</v>
      </c>
      <c r="Q1826" s="23" t="s">
        <v>83</v>
      </c>
      <c r="R1826" s="23">
        <v>11100176</v>
      </c>
      <c r="S1826" s="24">
        <v>46101</v>
      </c>
      <c r="T1826" s="24">
        <v>46071</v>
      </c>
      <c r="U1826" s="24">
        <v>47116</v>
      </c>
      <c r="X1826" s="24">
        <v>46071</v>
      </c>
      <c r="Y1826" s="23">
        <v>1111</v>
      </c>
      <c r="Z1826" s="23">
        <v>11400789</v>
      </c>
      <c r="AA1826" s="23">
        <v>3351</v>
      </c>
      <c r="AB1826" s="24">
        <v>46056</v>
      </c>
    </row>
    <row r="1827" spans="2:28" x14ac:dyDescent="0.2">
      <c r="C1827" s="23">
        <v>1100577065</v>
      </c>
      <c r="E1827" s="23">
        <v>20</v>
      </c>
      <c r="F1827" s="23" t="s">
        <v>2777</v>
      </c>
      <c r="G1827" s="23" t="s">
        <v>2778</v>
      </c>
      <c r="H1827" s="24">
        <v>46126</v>
      </c>
      <c r="I1827" s="24">
        <v>46126</v>
      </c>
      <c r="J1827" s="23" t="s">
        <v>4056</v>
      </c>
      <c r="K1827" s="23" t="s">
        <v>4056</v>
      </c>
      <c r="L1827" s="23">
        <v>1</v>
      </c>
      <c r="M1827" s="23" t="s">
        <v>78</v>
      </c>
      <c r="N1827" s="23" t="s">
        <v>78</v>
      </c>
      <c r="O1827" s="23">
        <v>2183.86</v>
      </c>
      <c r="P1827" s="23" t="s">
        <v>79</v>
      </c>
      <c r="Q1827" s="23" t="s">
        <v>83</v>
      </c>
      <c r="R1827" s="23">
        <v>11100176</v>
      </c>
      <c r="S1827" s="24">
        <v>46101</v>
      </c>
      <c r="T1827" s="24">
        <v>46071</v>
      </c>
      <c r="U1827" s="24">
        <v>47116</v>
      </c>
      <c r="X1827" s="24">
        <v>46071</v>
      </c>
      <c r="Y1827" s="23">
        <v>1111</v>
      </c>
      <c r="Z1827" s="23">
        <v>11400789</v>
      </c>
      <c r="AA1827" s="23">
        <v>3351</v>
      </c>
      <c r="AB1827" s="24">
        <v>46056</v>
      </c>
    </row>
    <row r="1828" spans="2:28" x14ac:dyDescent="0.2">
      <c r="B1828" s="23" t="s">
        <v>81</v>
      </c>
      <c r="C1828" s="23">
        <v>1100577065</v>
      </c>
      <c r="H1828" s="24">
        <v>46126</v>
      </c>
      <c r="O1828" s="23">
        <v>2589.5300000000002</v>
      </c>
      <c r="P1828" s="23" t="s">
        <v>79</v>
      </c>
    </row>
    <row r="1829" spans="2:28" x14ac:dyDescent="0.2">
      <c r="C1829" s="23">
        <v>1100577070</v>
      </c>
      <c r="E1829" s="23">
        <v>10</v>
      </c>
      <c r="F1829" s="23" t="s">
        <v>4057</v>
      </c>
      <c r="G1829" s="23" t="s">
        <v>4058</v>
      </c>
      <c r="H1829" s="24">
        <v>46126</v>
      </c>
      <c r="I1829" s="24">
        <v>46126</v>
      </c>
      <c r="J1829" s="23" t="s">
        <v>4056</v>
      </c>
      <c r="K1829" s="23" t="s">
        <v>4056</v>
      </c>
      <c r="L1829" s="23">
        <v>2</v>
      </c>
      <c r="M1829" s="23" t="s">
        <v>78</v>
      </c>
      <c r="N1829" s="23" t="s">
        <v>78</v>
      </c>
      <c r="O1829" s="23">
        <v>4259.3</v>
      </c>
      <c r="P1829" s="23" t="s">
        <v>79</v>
      </c>
      <c r="Q1829" s="23" t="s">
        <v>83</v>
      </c>
      <c r="R1829" s="23">
        <v>11100176</v>
      </c>
      <c r="S1829" s="24">
        <v>46094</v>
      </c>
      <c r="T1829" s="24">
        <v>46071</v>
      </c>
      <c r="U1829" s="24">
        <v>47116</v>
      </c>
      <c r="X1829" s="24">
        <v>46071</v>
      </c>
      <c r="Y1829" s="23">
        <v>1111</v>
      </c>
      <c r="Z1829" s="23">
        <v>11400789</v>
      </c>
      <c r="AA1829" s="23">
        <v>3351</v>
      </c>
      <c r="AB1829" s="24">
        <v>46056</v>
      </c>
    </row>
    <row r="1830" spans="2:28" x14ac:dyDescent="0.2">
      <c r="B1830" s="23" t="s">
        <v>81</v>
      </c>
      <c r="C1830" s="23">
        <v>1100577070</v>
      </c>
      <c r="H1830" s="24">
        <v>46126</v>
      </c>
      <c r="O1830" s="23">
        <v>4259.3</v>
      </c>
      <c r="P1830" s="23" t="s">
        <v>79</v>
      </c>
    </row>
    <row r="1831" spans="2:28" x14ac:dyDescent="0.2">
      <c r="C1831" s="23">
        <v>1100569361</v>
      </c>
      <c r="E1831" s="23">
        <v>10</v>
      </c>
      <c r="F1831" s="23" t="s">
        <v>803</v>
      </c>
      <c r="G1831" s="23" t="s">
        <v>804</v>
      </c>
      <c r="H1831" s="24">
        <v>46127</v>
      </c>
      <c r="I1831" s="24">
        <v>46127</v>
      </c>
      <c r="J1831" s="23" t="s">
        <v>805</v>
      </c>
      <c r="K1831" s="23" t="s">
        <v>805</v>
      </c>
      <c r="L1831" s="23">
        <v>4</v>
      </c>
      <c r="M1831" s="23" t="s">
        <v>78</v>
      </c>
      <c r="N1831" s="23" t="s">
        <v>78</v>
      </c>
      <c r="O1831" s="23">
        <v>59408</v>
      </c>
      <c r="P1831" s="23" t="s">
        <v>79</v>
      </c>
      <c r="Q1831" s="23" t="s">
        <v>83</v>
      </c>
      <c r="R1831" s="23">
        <v>11100008</v>
      </c>
      <c r="S1831" s="24">
        <v>46036</v>
      </c>
      <c r="T1831" s="24">
        <v>45980</v>
      </c>
      <c r="U1831" s="24">
        <v>46387</v>
      </c>
      <c r="X1831" s="24">
        <v>45979</v>
      </c>
      <c r="Y1831" s="23">
        <v>1111</v>
      </c>
      <c r="Z1831" s="23">
        <v>11200190</v>
      </c>
      <c r="AA1831" s="23">
        <v>3951</v>
      </c>
      <c r="AB1831" s="24">
        <v>45978</v>
      </c>
    </row>
    <row r="1832" spans="2:28" x14ac:dyDescent="0.2">
      <c r="B1832" s="23" t="s">
        <v>81</v>
      </c>
      <c r="C1832" s="23">
        <v>1100569361</v>
      </c>
      <c r="H1832" s="24">
        <v>46127</v>
      </c>
      <c r="O1832" s="23">
        <v>59408</v>
      </c>
      <c r="P1832" s="23" t="s">
        <v>79</v>
      </c>
    </row>
    <row r="1833" spans="2:28" x14ac:dyDescent="0.2">
      <c r="C1833" s="23">
        <v>1100571767</v>
      </c>
      <c r="E1833" s="23">
        <v>40</v>
      </c>
      <c r="F1833" s="23" t="s">
        <v>1838</v>
      </c>
      <c r="G1833" s="23" t="s">
        <v>1839</v>
      </c>
      <c r="H1833" s="24">
        <v>46127</v>
      </c>
      <c r="I1833" s="24">
        <v>46127</v>
      </c>
      <c r="J1833" s="23" t="s">
        <v>864</v>
      </c>
      <c r="K1833" s="23" t="s">
        <v>864</v>
      </c>
      <c r="L1833" s="23">
        <v>1</v>
      </c>
      <c r="M1833" s="23" t="s">
        <v>78</v>
      </c>
      <c r="N1833" s="23" t="s">
        <v>78</v>
      </c>
      <c r="O1833" s="23">
        <v>2081.16</v>
      </c>
      <c r="P1833" s="23" t="s">
        <v>79</v>
      </c>
      <c r="Q1833" s="23" t="s">
        <v>83</v>
      </c>
      <c r="R1833" s="23">
        <v>11100176</v>
      </c>
      <c r="S1833" s="24">
        <v>46037</v>
      </c>
      <c r="T1833" s="24">
        <v>46008</v>
      </c>
      <c r="U1833" s="24">
        <v>46752</v>
      </c>
      <c r="X1833" s="24">
        <v>46007</v>
      </c>
      <c r="Y1833" s="23">
        <v>1111</v>
      </c>
      <c r="Z1833" s="23">
        <v>11400742</v>
      </c>
      <c r="AA1833" s="23">
        <v>335103</v>
      </c>
      <c r="AB1833" s="24">
        <v>46007</v>
      </c>
    </row>
    <row r="1834" spans="2:28" x14ac:dyDescent="0.2">
      <c r="B1834" s="23" t="s">
        <v>81</v>
      </c>
      <c r="C1834" s="23">
        <v>1100571767</v>
      </c>
      <c r="H1834" s="24">
        <v>46127</v>
      </c>
      <c r="O1834" s="23">
        <v>2081.16</v>
      </c>
      <c r="P1834" s="23" t="s">
        <v>79</v>
      </c>
    </row>
    <row r="1835" spans="2:28" x14ac:dyDescent="0.2">
      <c r="C1835" s="23">
        <v>1100572272</v>
      </c>
      <c r="E1835" s="23">
        <v>10</v>
      </c>
      <c r="F1835" s="23" t="s">
        <v>1778</v>
      </c>
      <c r="G1835" s="23" t="s">
        <v>1779</v>
      </c>
      <c r="H1835" s="24">
        <v>46127</v>
      </c>
      <c r="I1835" s="24">
        <v>46127</v>
      </c>
      <c r="J1835" s="23" t="s">
        <v>1254</v>
      </c>
      <c r="K1835" s="23" t="s">
        <v>1254</v>
      </c>
      <c r="L1835" s="23">
        <v>1</v>
      </c>
      <c r="M1835" s="23" t="s">
        <v>78</v>
      </c>
      <c r="N1835" s="23" t="s">
        <v>78</v>
      </c>
      <c r="O1835" s="23">
        <v>5641.49</v>
      </c>
      <c r="P1835" s="23" t="s">
        <v>79</v>
      </c>
      <c r="Q1835" s="23" t="s">
        <v>83</v>
      </c>
      <c r="R1835" s="23">
        <v>11100008</v>
      </c>
      <c r="S1835" s="24">
        <v>46038</v>
      </c>
      <c r="T1835" s="24">
        <v>46014</v>
      </c>
      <c r="U1835" s="24">
        <v>46127</v>
      </c>
      <c r="X1835" s="24">
        <v>46000</v>
      </c>
      <c r="Y1835" s="23">
        <v>1111</v>
      </c>
      <c r="Z1835" s="23">
        <v>11400937</v>
      </c>
      <c r="AA1835" s="23">
        <v>335103</v>
      </c>
      <c r="AB1835" s="24">
        <v>46013</v>
      </c>
    </row>
    <row r="1836" spans="2:28" x14ac:dyDescent="0.2">
      <c r="C1836" s="23">
        <v>1100572272</v>
      </c>
      <c r="E1836" s="23">
        <v>20</v>
      </c>
      <c r="F1836" s="23" t="s">
        <v>82</v>
      </c>
      <c r="G1836" s="23" t="s">
        <v>139</v>
      </c>
      <c r="H1836" s="24">
        <v>46127</v>
      </c>
      <c r="I1836" s="24">
        <v>46127</v>
      </c>
      <c r="J1836" s="23" t="s">
        <v>1254</v>
      </c>
      <c r="K1836" s="23" t="s">
        <v>1254</v>
      </c>
      <c r="L1836" s="23">
        <v>1</v>
      </c>
      <c r="M1836" s="23" t="s">
        <v>78</v>
      </c>
      <c r="N1836" s="23" t="s">
        <v>78</v>
      </c>
      <c r="O1836" s="23">
        <v>0.01</v>
      </c>
      <c r="P1836" s="23" t="s">
        <v>79</v>
      </c>
      <c r="Q1836" s="23" t="s">
        <v>83</v>
      </c>
      <c r="R1836" s="23">
        <v>11100008</v>
      </c>
      <c r="S1836" s="24" t="s">
        <v>80</v>
      </c>
      <c r="T1836" s="24">
        <v>46014</v>
      </c>
      <c r="U1836" s="24">
        <v>46127</v>
      </c>
      <c r="X1836" s="24">
        <v>46000</v>
      </c>
      <c r="Y1836" s="23">
        <v>1111</v>
      </c>
      <c r="Z1836" s="23">
        <v>11400937</v>
      </c>
      <c r="AA1836" s="23">
        <v>335103</v>
      </c>
      <c r="AB1836" s="24">
        <v>46013</v>
      </c>
    </row>
    <row r="1837" spans="2:28" x14ac:dyDescent="0.2">
      <c r="B1837" s="23" t="s">
        <v>81</v>
      </c>
      <c r="C1837" s="23">
        <v>1100572272</v>
      </c>
      <c r="H1837" s="24">
        <v>46127</v>
      </c>
      <c r="O1837" s="23">
        <v>5641.5</v>
      </c>
      <c r="P1837" s="23" t="s">
        <v>79</v>
      </c>
    </row>
    <row r="1838" spans="2:28" x14ac:dyDescent="0.2">
      <c r="C1838" s="23">
        <v>1100575474</v>
      </c>
      <c r="E1838" s="23">
        <v>10</v>
      </c>
      <c r="F1838" s="23" t="s">
        <v>1939</v>
      </c>
      <c r="G1838" s="23" t="s">
        <v>1940</v>
      </c>
      <c r="H1838" s="24">
        <v>46127</v>
      </c>
      <c r="I1838" s="24">
        <v>46127</v>
      </c>
      <c r="J1838" s="23" t="s">
        <v>3557</v>
      </c>
      <c r="K1838" s="23" t="s">
        <v>3557</v>
      </c>
      <c r="L1838" s="23">
        <v>1</v>
      </c>
      <c r="M1838" s="23" t="s">
        <v>78</v>
      </c>
      <c r="N1838" s="23" t="s">
        <v>78</v>
      </c>
      <c r="O1838" s="23">
        <v>315.18</v>
      </c>
      <c r="P1838" s="23" t="s">
        <v>79</v>
      </c>
      <c r="Q1838" s="23" t="s">
        <v>83</v>
      </c>
      <c r="R1838" s="23">
        <v>11100176</v>
      </c>
      <c r="S1838" s="24">
        <v>46101</v>
      </c>
      <c r="T1838" s="24">
        <v>46052</v>
      </c>
      <c r="U1838" s="24">
        <v>47116</v>
      </c>
      <c r="X1838" s="24">
        <v>46051</v>
      </c>
      <c r="Y1838" s="23">
        <v>1111</v>
      </c>
      <c r="Z1838" s="23">
        <v>11400704</v>
      </c>
      <c r="AA1838" s="23">
        <v>3951</v>
      </c>
      <c r="AB1838" s="24">
        <v>46001</v>
      </c>
    </row>
    <row r="1839" spans="2:28" x14ac:dyDescent="0.2">
      <c r="C1839" s="23">
        <v>1100575474</v>
      </c>
      <c r="E1839" s="23">
        <v>20</v>
      </c>
      <c r="F1839" s="23" t="s">
        <v>431</v>
      </c>
      <c r="G1839" s="23" t="s">
        <v>432</v>
      </c>
      <c r="H1839" s="24">
        <v>46127</v>
      </c>
      <c r="I1839" s="24">
        <v>46127</v>
      </c>
      <c r="J1839" s="23" t="s">
        <v>3557</v>
      </c>
      <c r="K1839" s="23" t="s">
        <v>3557</v>
      </c>
      <c r="L1839" s="23">
        <v>1</v>
      </c>
      <c r="M1839" s="23" t="s">
        <v>78</v>
      </c>
      <c r="N1839" s="23" t="s">
        <v>78</v>
      </c>
      <c r="O1839" s="23">
        <v>361.08</v>
      </c>
      <c r="P1839" s="23" t="s">
        <v>79</v>
      </c>
      <c r="Q1839" s="23" t="s">
        <v>83</v>
      </c>
      <c r="R1839" s="23">
        <v>11100176</v>
      </c>
      <c r="S1839" s="24">
        <v>46101</v>
      </c>
      <c r="T1839" s="24">
        <v>46052</v>
      </c>
      <c r="U1839" s="24">
        <v>47116</v>
      </c>
      <c r="X1839" s="24">
        <v>46051</v>
      </c>
      <c r="Y1839" s="23">
        <v>1111</v>
      </c>
      <c r="Z1839" s="23">
        <v>11400704</v>
      </c>
      <c r="AA1839" s="23">
        <v>3951</v>
      </c>
      <c r="AB1839" s="24">
        <v>46001</v>
      </c>
    </row>
    <row r="1840" spans="2:28" x14ac:dyDescent="0.2">
      <c r="C1840" s="23">
        <v>1100575474</v>
      </c>
      <c r="E1840" s="23">
        <v>30</v>
      </c>
      <c r="F1840" s="23" t="s">
        <v>3558</v>
      </c>
      <c r="G1840" s="23" t="s">
        <v>3559</v>
      </c>
      <c r="H1840" s="24">
        <v>46127</v>
      </c>
      <c r="I1840" s="24">
        <v>46127</v>
      </c>
      <c r="J1840" s="23" t="s">
        <v>3557</v>
      </c>
      <c r="K1840" s="23" t="s">
        <v>3557</v>
      </c>
      <c r="L1840" s="23">
        <v>1</v>
      </c>
      <c r="M1840" s="23" t="s">
        <v>78</v>
      </c>
      <c r="N1840" s="23" t="s">
        <v>78</v>
      </c>
      <c r="O1840" s="23">
        <v>1038.02</v>
      </c>
      <c r="P1840" s="23" t="s">
        <v>79</v>
      </c>
      <c r="Q1840" s="23" t="s">
        <v>83</v>
      </c>
      <c r="R1840" s="23">
        <v>11100176</v>
      </c>
      <c r="S1840" s="24">
        <v>46101</v>
      </c>
      <c r="T1840" s="24">
        <v>46052</v>
      </c>
      <c r="U1840" s="24">
        <v>47116</v>
      </c>
      <c r="X1840" s="24">
        <v>46051</v>
      </c>
      <c r="Y1840" s="23">
        <v>1111</v>
      </c>
      <c r="Z1840" s="23">
        <v>11400704</v>
      </c>
      <c r="AA1840" s="23">
        <v>3951</v>
      </c>
      <c r="AB1840" s="24">
        <v>46001</v>
      </c>
    </row>
    <row r="1841" spans="2:28" x14ac:dyDescent="0.2">
      <c r="B1841" s="23" t="s">
        <v>81</v>
      </c>
      <c r="C1841" s="23">
        <v>1100575474</v>
      </c>
      <c r="H1841" s="24">
        <v>46127</v>
      </c>
      <c r="O1841" s="23">
        <v>1714.28</v>
      </c>
      <c r="P1841" s="23" t="s">
        <v>79</v>
      </c>
    </row>
    <row r="1842" spans="2:28" x14ac:dyDescent="0.2">
      <c r="C1842" s="23">
        <v>1100576062</v>
      </c>
      <c r="E1842" s="23">
        <v>90</v>
      </c>
      <c r="F1842" s="23" t="s">
        <v>850</v>
      </c>
      <c r="G1842" s="23" t="s">
        <v>851</v>
      </c>
      <c r="H1842" s="24">
        <v>46127</v>
      </c>
      <c r="I1842" s="24">
        <v>46127</v>
      </c>
      <c r="J1842" s="23" t="s">
        <v>3560</v>
      </c>
      <c r="K1842" s="23" t="s">
        <v>3560</v>
      </c>
      <c r="L1842" s="23">
        <v>1</v>
      </c>
      <c r="M1842" s="23" t="s">
        <v>78</v>
      </c>
      <c r="N1842" s="23" t="s">
        <v>78</v>
      </c>
      <c r="O1842" s="23">
        <v>117.33</v>
      </c>
      <c r="P1842" s="23" t="s">
        <v>79</v>
      </c>
      <c r="Q1842" s="23" t="s">
        <v>83</v>
      </c>
      <c r="R1842" s="23">
        <v>11100176</v>
      </c>
      <c r="S1842" s="24">
        <v>46063</v>
      </c>
      <c r="T1842" s="24">
        <v>46058</v>
      </c>
      <c r="U1842" s="24">
        <v>47116</v>
      </c>
      <c r="X1842" s="24">
        <v>46056</v>
      </c>
      <c r="Y1842" s="23">
        <v>1111</v>
      </c>
      <c r="Z1842" s="23">
        <v>11400606</v>
      </c>
      <c r="AA1842" s="23">
        <v>335103</v>
      </c>
      <c r="AB1842" s="24">
        <v>46053</v>
      </c>
    </row>
    <row r="1843" spans="2:28" x14ac:dyDescent="0.2">
      <c r="B1843" s="23" t="s">
        <v>81</v>
      </c>
      <c r="C1843" s="23">
        <v>1100576062</v>
      </c>
      <c r="H1843" s="24">
        <v>46127</v>
      </c>
      <c r="O1843" s="23">
        <v>117.33</v>
      </c>
      <c r="P1843" s="23" t="s">
        <v>79</v>
      </c>
    </row>
    <row r="1844" spans="2:28" x14ac:dyDescent="0.2">
      <c r="C1844" s="23">
        <v>1100576125</v>
      </c>
      <c r="E1844" s="23">
        <v>40</v>
      </c>
      <c r="F1844" s="23" t="s">
        <v>3561</v>
      </c>
      <c r="G1844" s="23" t="s">
        <v>3562</v>
      </c>
      <c r="H1844" s="24">
        <v>46127</v>
      </c>
      <c r="I1844" s="24">
        <v>46127</v>
      </c>
      <c r="J1844" s="23" t="s">
        <v>3563</v>
      </c>
      <c r="K1844" s="23" t="s">
        <v>3563</v>
      </c>
      <c r="L1844" s="23">
        <v>4</v>
      </c>
      <c r="M1844" s="23" t="s">
        <v>78</v>
      </c>
      <c r="N1844" s="23" t="s">
        <v>78</v>
      </c>
      <c r="O1844" s="23">
        <v>650.24</v>
      </c>
      <c r="P1844" s="23" t="s">
        <v>79</v>
      </c>
      <c r="Q1844" s="23" t="s">
        <v>83</v>
      </c>
      <c r="R1844" s="23">
        <v>11100299</v>
      </c>
      <c r="S1844" s="24">
        <v>46066</v>
      </c>
      <c r="T1844" s="24">
        <v>46059</v>
      </c>
      <c r="U1844" s="24">
        <v>46071</v>
      </c>
      <c r="X1844" s="24">
        <v>46058</v>
      </c>
      <c r="Y1844" s="23">
        <v>1111</v>
      </c>
      <c r="Z1844" s="23">
        <v>11100137</v>
      </c>
      <c r="AA1844" s="23">
        <v>5151</v>
      </c>
      <c r="AB1844" s="24">
        <v>46058</v>
      </c>
    </row>
    <row r="1845" spans="2:28" x14ac:dyDescent="0.2">
      <c r="B1845" s="23" t="s">
        <v>81</v>
      </c>
      <c r="C1845" s="23">
        <v>1100576125</v>
      </c>
      <c r="H1845" s="24">
        <v>46127</v>
      </c>
      <c r="O1845" s="23">
        <v>650.24</v>
      </c>
      <c r="P1845" s="23" t="s">
        <v>79</v>
      </c>
    </row>
    <row r="1846" spans="2:28" x14ac:dyDescent="0.2">
      <c r="C1846" s="23">
        <v>1100577490</v>
      </c>
      <c r="E1846" s="23">
        <v>10</v>
      </c>
      <c r="F1846" s="23" t="s">
        <v>3564</v>
      </c>
      <c r="G1846" s="23" t="s">
        <v>3565</v>
      </c>
      <c r="H1846" s="24">
        <v>46127</v>
      </c>
      <c r="I1846" s="24">
        <v>46127</v>
      </c>
      <c r="J1846" s="23" t="s">
        <v>898</v>
      </c>
      <c r="K1846" s="23" t="s">
        <v>898</v>
      </c>
      <c r="L1846" s="23">
        <v>1</v>
      </c>
      <c r="M1846" s="23" t="s">
        <v>566</v>
      </c>
      <c r="N1846" s="23" t="s">
        <v>566</v>
      </c>
      <c r="O1846" s="23">
        <v>3550</v>
      </c>
      <c r="P1846" s="23" t="s">
        <v>79</v>
      </c>
      <c r="Q1846" s="23" t="s">
        <v>83</v>
      </c>
      <c r="R1846" s="23">
        <v>11100176</v>
      </c>
      <c r="S1846" s="24">
        <v>46127</v>
      </c>
      <c r="T1846" s="24">
        <v>46074</v>
      </c>
      <c r="U1846" s="24" t="s">
        <v>80</v>
      </c>
      <c r="X1846" s="24">
        <v>46070</v>
      </c>
      <c r="Y1846" s="23">
        <v>1111</v>
      </c>
      <c r="Z1846" s="23">
        <v>11100137</v>
      </c>
      <c r="AA1846" s="23">
        <v>335103</v>
      </c>
      <c r="AB1846" s="24">
        <v>46070</v>
      </c>
    </row>
    <row r="1847" spans="2:28" x14ac:dyDescent="0.2">
      <c r="B1847" s="23" t="s">
        <v>81</v>
      </c>
      <c r="C1847" s="23">
        <v>1100577490</v>
      </c>
      <c r="H1847" s="24">
        <v>46127</v>
      </c>
      <c r="O1847" s="23">
        <v>3550</v>
      </c>
      <c r="P1847" s="23" t="s">
        <v>79</v>
      </c>
    </row>
    <row r="1848" spans="2:28" x14ac:dyDescent="0.2">
      <c r="C1848" s="23">
        <v>1100577580</v>
      </c>
      <c r="E1848" s="23">
        <v>20</v>
      </c>
      <c r="F1848" s="23" t="s">
        <v>3566</v>
      </c>
      <c r="G1848" s="23" t="s">
        <v>3567</v>
      </c>
      <c r="H1848" s="24">
        <v>46127</v>
      </c>
      <c r="I1848" s="24">
        <v>46127</v>
      </c>
      <c r="J1848" s="23" t="s">
        <v>102</v>
      </c>
      <c r="K1848" s="23" t="s">
        <v>102</v>
      </c>
      <c r="L1848" s="23">
        <v>2</v>
      </c>
      <c r="M1848" s="23" t="s">
        <v>78</v>
      </c>
      <c r="N1848" s="23" t="s">
        <v>78</v>
      </c>
      <c r="O1848" s="23">
        <v>2992.88</v>
      </c>
      <c r="P1848" s="23" t="s">
        <v>79</v>
      </c>
      <c r="Q1848" s="23" t="s">
        <v>83</v>
      </c>
      <c r="R1848" s="23">
        <v>11100176</v>
      </c>
      <c r="S1848" s="24">
        <v>46160</v>
      </c>
      <c r="T1848" s="24">
        <v>46075</v>
      </c>
      <c r="U1848" s="24">
        <v>47116</v>
      </c>
      <c r="X1848" s="24">
        <v>46069</v>
      </c>
      <c r="Y1848" s="23">
        <v>1111</v>
      </c>
      <c r="Z1848" s="23">
        <v>11400797</v>
      </c>
      <c r="AA1848" s="23">
        <v>515103</v>
      </c>
      <c r="AB1848" s="24">
        <v>46073</v>
      </c>
    </row>
    <row r="1849" spans="2:28" x14ac:dyDescent="0.2">
      <c r="B1849" s="23" t="s">
        <v>81</v>
      </c>
      <c r="C1849" s="23">
        <v>1100577580</v>
      </c>
      <c r="H1849" s="24">
        <v>46127</v>
      </c>
      <c r="O1849" s="23">
        <v>2992.88</v>
      </c>
      <c r="P1849" s="23" t="s">
        <v>79</v>
      </c>
    </row>
    <row r="1850" spans="2:28" x14ac:dyDescent="0.2">
      <c r="C1850" s="23">
        <v>1100578601</v>
      </c>
      <c r="E1850" s="23">
        <v>10</v>
      </c>
      <c r="F1850" s="23" t="s">
        <v>2747</v>
      </c>
      <c r="G1850" s="23" t="s">
        <v>2748</v>
      </c>
      <c r="H1850" s="24">
        <v>46127</v>
      </c>
      <c r="I1850" s="24">
        <v>46127</v>
      </c>
      <c r="J1850" s="23" t="s">
        <v>2749</v>
      </c>
      <c r="K1850" s="23" t="s">
        <v>2749</v>
      </c>
      <c r="L1850" s="23">
        <v>2</v>
      </c>
      <c r="M1850" s="23" t="s">
        <v>78</v>
      </c>
      <c r="N1850" s="23" t="s">
        <v>78</v>
      </c>
      <c r="O1850" s="23">
        <v>2890.8</v>
      </c>
      <c r="P1850" s="23" t="s">
        <v>79</v>
      </c>
      <c r="Q1850" s="23" t="s">
        <v>83</v>
      </c>
      <c r="R1850" s="23">
        <v>11100176</v>
      </c>
      <c r="S1850" s="24">
        <v>46127</v>
      </c>
      <c r="T1850" s="24">
        <v>46085</v>
      </c>
      <c r="U1850" s="24">
        <v>47116</v>
      </c>
      <c r="X1850" s="24">
        <v>46077</v>
      </c>
      <c r="Y1850" s="23">
        <v>1111</v>
      </c>
      <c r="Z1850" s="23">
        <v>11400937</v>
      </c>
      <c r="AA1850" s="23">
        <v>3951</v>
      </c>
      <c r="AB1850" s="24">
        <v>46077</v>
      </c>
    </row>
    <row r="1851" spans="2:28" x14ac:dyDescent="0.2">
      <c r="C1851" s="23">
        <v>1100578601</v>
      </c>
      <c r="E1851" s="23">
        <v>20</v>
      </c>
      <c r="F1851" s="23" t="s">
        <v>1091</v>
      </c>
      <c r="G1851" s="23" t="s">
        <v>1092</v>
      </c>
      <c r="H1851" s="24">
        <v>46127</v>
      </c>
      <c r="I1851" s="24">
        <v>46127</v>
      </c>
      <c r="J1851" s="23" t="s">
        <v>2749</v>
      </c>
      <c r="K1851" s="23" t="s">
        <v>2749</v>
      </c>
      <c r="L1851" s="23">
        <v>2</v>
      </c>
      <c r="M1851" s="23" t="s">
        <v>78</v>
      </c>
      <c r="N1851" s="23" t="s">
        <v>78</v>
      </c>
      <c r="O1851" s="23">
        <v>1554</v>
      </c>
      <c r="P1851" s="23" t="s">
        <v>79</v>
      </c>
      <c r="Q1851" s="23" t="s">
        <v>83</v>
      </c>
      <c r="R1851" s="23">
        <v>11100176</v>
      </c>
      <c r="S1851" s="24">
        <v>46127</v>
      </c>
      <c r="T1851" s="24">
        <v>46085</v>
      </c>
      <c r="U1851" s="24">
        <v>47116</v>
      </c>
      <c r="X1851" s="24">
        <v>46077</v>
      </c>
      <c r="Y1851" s="23">
        <v>1111</v>
      </c>
      <c r="Z1851" s="23">
        <v>11400937</v>
      </c>
      <c r="AA1851" s="23">
        <v>3951</v>
      </c>
      <c r="AB1851" s="24">
        <v>46077</v>
      </c>
    </row>
    <row r="1852" spans="2:28" x14ac:dyDescent="0.2">
      <c r="B1852" s="23" t="s">
        <v>81</v>
      </c>
      <c r="C1852" s="23">
        <v>1100578601</v>
      </c>
      <c r="H1852" s="24">
        <v>46127</v>
      </c>
      <c r="O1852" s="23">
        <v>4444.8</v>
      </c>
      <c r="P1852" s="23" t="s">
        <v>79</v>
      </c>
    </row>
    <row r="1853" spans="2:28" x14ac:dyDescent="0.2">
      <c r="C1853" s="23">
        <v>1100578637</v>
      </c>
      <c r="E1853" s="23">
        <v>10</v>
      </c>
      <c r="F1853" s="23" t="s">
        <v>1944</v>
      </c>
      <c r="G1853" s="23" t="s">
        <v>1945</v>
      </c>
      <c r="H1853" s="24">
        <v>46127</v>
      </c>
      <c r="I1853" s="24">
        <v>46127</v>
      </c>
      <c r="J1853" s="23" t="s">
        <v>3242</v>
      </c>
      <c r="K1853" s="23" t="s">
        <v>3242</v>
      </c>
      <c r="L1853" s="23">
        <v>2</v>
      </c>
      <c r="M1853" s="23" t="s">
        <v>78</v>
      </c>
      <c r="N1853" s="23" t="s">
        <v>78</v>
      </c>
      <c r="O1853" s="23">
        <v>6917</v>
      </c>
      <c r="P1853" s="23" t="s">
        <v>79</v>
      </c>
      <c r="Q1853" s="23" t="s">
        <v>83</v>
      </c>
      <c r="R1853" s="23">
        <v>11100176</v>
      </c>
      <c r="S1853" s="24">
        <v>46127</v>
      </c>
      <c r="T1853" s="24">
        <v>46085</v>
      </c>
      <c r="U1853" s="24" t="s">
        <v>80</v>
      </c>
      <c r="X1853" s="24">
        <v>46085</v>
      </c>
      <c r="Y1853" s="23">
        <v>1111</v>
      </c>
      <c r="Z1853" s="23">
        <v>11400789</v>
      </c>
      <c r="AA1853" s="23">
        <v>5051</v>
      </c>
      <c r="AB1853" s="24">
        <v>46052</v>
      </c>
    </row>
    <row r="1854" spans="2:28" x14ac:dyDescent="0.2">
      <c r="C1854" s="23">
        <v>1100578637</v>
      </c>
      <c r="E1854" s="23">
        <v>20</v>
      </c>
      <c r="F1854" s="23" t="s">
        <v>82</v>
      </c>
      <c r="G1854" s="23" t="s">
        <v>139</v>
      </c>
      <c r="H1854" s="24">
        <v>46127</v>
      </c>
      <c r="I1854" s="24">
        <v>46127</v>
      </c>
      <c r="J1854" s="23" t="s">
        <v>3242</v>
      </c>
      <c r="K1854" s="23" t="s">
        <v>3242</v>
      </c>
      <c r="L1854" s="23">
        <v>1</v>
      </c>
      <c r="M1854" s="23" t="s">
        <v>78</v>
      </c>
      <c r="N1854" s="23" t="s">
        <v>78</v>
      </c>
      <c r="O1854" s="23">
        <v>0.01</v>
      </c>
      <c r="P1854" s="23" t="s">
        <v>79</v>
      </c>
      <c r="Q1854" s="23" t="s">
        <v>83</v>
      </c>
      <c r="R1854" s="23">
        <v>11100176</v>
      </c>
      <c r="S1854" s="24" t="s">
        <v>80</v>
      </c>
      <c r="T1854" s="24">
        <v>46085</v>
      </c>
      <c r="U1854" s="24" t="s">
        <v>80</v>
      </c>
      <c r="X1854" s="24">
        <v>46085</v>
      </c>
      <c r="Y1854" s="23">
        <v>1111</v>
      </c>
      <c r="Z1854" s="23">
        <v>11400789</v>
      </c>
      <c r="AA1854" s="23">
        <v>5051</v>
      </c>
      <c r="AB1854" s="24">
        <v>46052</v>
      </c>
    </row>
    <row r="1855" spans="2:28" x14ac:dyDescent="0.2">
      <c r="B1855" s="23" t="s">
        <v>81</v>
      </c>
      <c r="C1855" s="23">
        <v>1100578637</v>
      </c>
      <c r="H1855" s="24">
        <v>46127</v>
      </c>
      <c r="O1855" s="23">
        <v>6917.01</v>
      </c>
      <c r="P1855" s="23" t="s">
        <v>79</v>
      </c>
    </row>
    <row r="1856" spans="2:28" x14ac:dyDescent="0.2">
      <c r="C1856" s="23">
        <v>1100574348</v>
      </c>
      <c r="E1856" s="23">
        <v>10</v>
      </c>
      <c r="F1856" s="23" t="s">
        <v>3568</v>
      </c>
      <c r="G1856" s="23" t="s">
        <v>3569</v>
      </c>
      <c r="H1856" s="24">
        <v>46128</v>
      </c>
      <c r="I1856" s="24">
        <v>46128</v>
      </c>
      <c r="J1856" s="23" t="s">
        <v>392</v>
      </c>
      <c r="K1856" s="23" t="s">
        <v>392</v>
      </c>
      <c r="L1856" s="23">
        <v>2</v>
      </c>
      <c r="M1856" s="23" t="s">
        <v>78</v>
      </c>
      <c r="N1856" s="23" t="s">
        <v>78</v>
      </c>
      <c r="O1856" s="23">
        <v>2506.94</v>
      </c>
      <c r="P1856" s="23" t="s">
        <v>79</v>
      </c>
      <c r="Q1856" s="23" t="s">
        <v>83</v>
      </c>
      <c r="R1856" s="23">
        <v>11100176</v>
      </c>
      <c r="S1856" s="24">
        <v>46085</v>
      </c>
      <c r="T1856" s="24">
        <v>46043</v>
      </c>
      <c r="U1856" s="24" t="s">
        <v>80</v>
      </c>
      <c r="X1856" s="24">
        <v>46042</v>
      </c>
      <c r="Y1856" s="23">
        <v>1111</v>
      </c>
      <c r="Z1856" s="23">
        <v>11400811</v>
      </c>
      <c r="AA1856" s="23">
        <v>5051</v>
      </c>
      <c r="AB1856" s="24">
        <v>46042</v>
      </c>
    </row>
    <row r="1857" spans="2:28" x14ac:dyDescent="0.2">
      <c r="C1857" s="23">
        <v>1100574348</v>
      </c>
      <c r="E1857" s="23">
        <v>20</v>
      </c>
      <c r="F1857" s="23" t="s">
        <v>82</v>
      </c>
      <c r="G1857" s="23" t="s">
        <v>139</v>
      </c>
      <c r="H1857" s="24">
        <v>46128</v>
      </c>
      <c r="I1857" s="24">
        <v>46128</v>
      </c>
      <c r="J1857" s="23" t="s">
        <v>392</v>
      </c>
      <c r="K1857" s="23" t="s">
        <v>392</v>
      </c>
      <c r="L1857" s="23">
        <v>1</v>
      </c>
      <c r="M1857" s="23" t="s">
        <v>78</v>
      </c>
      <c r="N1857" s="23" t="s">
        <v>78</v>
      </c>
      <c r="O1857" s="23">
        <v>0.01</v>
      </c>
      <c r="P1857" s="23" t="s">
        <v>79</v>
      </c>
      <c r="Q1857" s="23" t="s">
        <v>83</v>
      </c>
      <c r="R1857" s="23">
        <v>11100176</v>
      </c>
      <c r="S1857" s="24" t="s">
        <v>80</v>
      </c>
      <c r="T1857" s="24">
        <v>46043</v>
      </c>
      <c r="U1857" s="24" t="s">
        <v>80</v>
      </c>
      <c r="X1857" s="24">
        <v>46042</v>
      </c>
      <c r="Y1857" s="23">
        <v>1111</v>
      </c>
      <c r="Z1857" s="23">
        <v>11400811</v>
      </c>
      <c r="AA1857" s="23">
        <v>5051</v>
      </c>
      <c r="AB1857" s="24">
        <v>46042</v>
      </c>
    </row>
    <row r="1858" spans="2:28" x14ac:dyDescent="0.2">
      <c r="B1858" s="23" t="s">
        <v>81</v>
      </c>
      <c r="C1858" s="23">
        <v>1100574348</v>
      </c>
      <c r="H1858" s="24">
        <v>46128</v>
      </c>
      <c r="O1858" s="23">
        <v>2506.9499999999998</v>
      </c>
      <c r="P1858" s="23" t="s">
        <v>79</v>
      </c>
    </row>
    <row r="1859" spans="2:28" x14ac:dyDescent="0.2">
      <c r="C1859" s="23">
        <v>1100574495</v>
      </c>
      <c r="E1859" s="23">
        <v>10</v>
      </c>
      <c r="F1859" s="23" t="s">
        <v>1987</v>
      </c>
      <c r="G1859" s="23" t="s">
        <v>1988</v>
      </c>
      <c r="H1859" s="24">
        <v>46128</v>
      </c>
      <c r="I1859" s="24">
        <v>46128</v>
      </c>
      <c r="J1859" s="23" t="s">
        <v>1159</v>
      </c>
      <c r="K1859" s="23" t="s">
        <v>1159</v>
      </c>
      <c r="L1859" s="23">
        <v>1</v>
      </c>
      <c r="M1859" s="23" t="s">
        <v>566</v>
      </c>
      <c r="N1859" s="23" t="s">
        <v>566</v>
      </c>
      <c r="O1859" s="23">
        <v>2465.3200000000002</v>
      </c>
      <c r="P1859" s="23" t="s">
        <v>79</v>
      </c>
      <c r="Q1859" s="23" t="s">
        <v>83</v>
      </c>
      <c r="R1859" s="23">
        <v>11100176</v>
      </c>
      <c r="S1859" s="24">
        <v>46128</v>
      </c>
      <c r="T1859" s="24">
        <v>46044</v>
      </c>
      <c r="U1859" s="24">
        <v>46128</v>
      </c>
      <c r="X1859" s="24">
        <v>46042</v>
      </c>
      <c r="Y1859" s="23">
        <v>1111</v>
      </c>
      <c r="Z1859" s="23">
        <v>11400895</v>
      </c>
      <c r="AA1859" s="23">
        <v>505103</v>
      </c>
      <c r="AB1859" s="24">
        <v>46043</v>
      </c>
    </row>
    <row r="1860" spans="2:28" x14ac:dyDescent="0.2">
      <c r="B1860" s="23" t="s">
        <v>81</v>
      </c>
      <c r="C1860" s="23">
        <v>1100574495</v>
      </c>
      <c r="H1860" s="24">
        <v>46128</v>
      </c>
      <c r="O1860" s="23">
        <v>2465.3200000000002</v>
      </c>
      <c r="P1860" s="23" t="s">
        <v>79</v>
      </c>
    </row>
    <row r="1861" spans="2:28" x14ac:dyDescent="0.2">
      <c r="C1861" s="23">
        <v>1100577131</v>
      </c>
      <c r="E1861" s="23">
        <v>10</v>
      </c>
      <c r="F1861" s="23" t="s">
        <v>3570</v>
      </c>
      <c r="G1861" s="23" t="s">
        <v>3571</v>
      </c>
      <c r="H1861" s="24">
        <v>46128</v>
      </c>
      <c r="I1861" s="24">
        <v>46128</v>
      </c>
      <c r="J1861" s="23" t="s">
        <v>3298</v>
      </c>
      <c r="K1861" s="23" t="s">
        <v>3298</v>
      </c>
      <c r="L1861" s="23">
        <v>2</v>
      </c>
      <c r="M1861" s="23" t="s">
        <v>78</v>
      </c>
      <c r="N1861" s="23" t="s">
        <v>78</v>
      </c>
      <c r="O1861" s="23">
        <v>316</v>
      </c>
      <c r="P1861" s="23" t="s">
        <v>79</v>
      </c>
      <c r="Q1861" s="23" t="s">
        <v>83</v>
      </c>
      <c r="R1861" s="23">
        <v>11100008</v>
      </c>
      <c r="S1861" s="24">
        <v>46128</v>
      </c>
      <c r="T1861" s="24">
        <v>46071</v>
      </c>
      <c r="U1861" s="24" t="s">
        <v>80</v>
      </c>
      <c r="X1861" s="24">
        <v>46069</v>
      </c>
      <c r="Y1861" s="23">
        <v>1111</v>
      </c>
      <c r="Z1861" s="23">
        <v>11400606</v>
      </c>
      <c r="AA1861" s="23">
        <v>5251</v>
      </c>
      <c r="AB1861" s="24">
        <v>46066</v>
      </c>
    </row>
    <row r="1862" spans="2:28" x14ac:dyDescent="0.2">
      <c r="C1862" s="23">
        <v>1100577131</v>
      </c>
      <c r="E1862" s="23">
        <v>20</v>
      </c>
      <c r="F1862" s="23" t="s">
        <v>82</v>
      </c>
      <c r="G1862" s="23" t="s">
        <v>139</v>
      </c>
      <c r="H1862" s="24">
        <v>46128</v>
      </c>
      <c r="I1862" s="24">
        <v>46128</v>
      </c>
      <c r="J1862" s="23" t="s">
        <v>3298</v>
      </c>
      <c r="K1862" s="23" t="s">
        <v>3298</v>
      </c>
      <c r="L1862" s="23">
        <v>1</v>
      </c>
      <c r="M1862" s="23" t="s">
        <v>78</v>
      </c>
      <c r="N1862" s="23" t="s">
        <v>78</v>
      </c>
      <c r="O1862" s="23">
        <v>0.01</v>
      </c>
      <c r="P1862" s="23" t="s">
        <v>79</v>
      </c>
      <c r="Q1862" s="23" t="s">
        <v>83</v>
      </c>
      <c r="R1862" s="23">
        <v>11100008</v>
      </c>
      <c r="S1862" s="24" t="s">
        <v>80</v>
      </c>
      <c r="T1862" s="24">
        <v>46071</v>
      </c>
      <c r="U1862" s="24" t="s">
        <v>80</v>
      </c>
      <c r="X1862" s="24">
        <v>46069</v>
      </c>
      <c r="Y1862" s="23">
        <v>1111</v>
      </c>
      <c r="Z1862" s="23">
        <v>11400606</v>
      </c>
      <c r="AA1862" s="23">
        <v>5251</v>
      </c>
      <c r="AB1862" s="24">
        <v>46066</v>
      </c>
    </row>
    <row r="1863" spans="2:28" x14ac:dyDescent="0.2">
      <c r="B1863" s="23" t="s">
        <v>81</v>
      </c>
      <c r="C1863" s="23">
        <v>1100577131</v>
      </c>
      <c r="H1863" s="24">
        <v>46128</v>
      </c>
      <c r="O1863" s="23">
        <v>316.01</v>
      </c>
      <c r="P1863" s="23" t="s">
        <v>79</v>
      </c>
    </row>
    <row r="1864" spans="2:28" x14ac:dyDescent="0.2">
      <c r="C1864" s="23">
        <v>1100577208</v>
      </c>
      <c r="E1864" s="23">
        <v>10</v>
      </c>
      <c r="F1864" s="23" t="s">
        <v>663</v>
      </c>
      <c r="G1864" s="23" t="s">
        <v>1814</v>
      </c>
      <c r="H1864" s="24">
        <v>46128</v>
      </c>
      <c r="I1864" s="24">
        <v>46128</v>
      </c>
      <c r="J1864" s="23" t="s">
        <v>664</v>
      </c>
      <c r="K1864" s="23" t="s">
        <v>664</v>
      </c>
      <c r="L1864" s="23">
        <v>5</v>
      </c>
      <c r="M1864" s="23" t="s">
        <v>78</v>
      </c>
      <c r="N1864" s="23" t="s">
        <v>78</v>
      </c>
      <c r="O1864" s="23">
        <v>258</v>
      </c>
      <c r="P1864" s="23" t="s">
        <v>79</v>
      </c>
      <c r="Q1864" s="23" t="s">
        <v>83</v>
      </c>
      <c r="R1864" s="23">
        <v>11100176</v>
      </c>
      <c r="S1864" s="24">
        <v>46128</v>
      </c>
      <c r="T1864" s="24">
        <v>46072</v>
      </c>
      <c r="U1864" s="24" t="s">
        <v>80</v>
      </c>
      <c r="X1864" s="24">
        <v>46066</v>
      </c>
      <c r="Y1864" s="23">
        <v>1111</v>
      </c>
      <c r="Z1864" s="23">
        <v>11400937</v>
      </c>
      <c r="AA1864" s="23">
        <v>395103</v>
      </c>
      <c r="AB1864" s="24">
        <v>46070</v>
      </c>
    </row>
    <row r="1865" spans="2:28" x14ac:dyDescent="0.2">
      <c r="B1865" s="23" t="s">
        <v>81</v>
      </c>
      <c r="C1865" s="23">
        <v>1100577208</v>
      </c>
      <c r="H1865" s="24">
        <v>46128</v>
      </c>
      <c r="O1865" s="23">
        <v>258</v>
      </c>
      <c r="P1865" s="23" t="s">
        <v>79</v>
      </c>
    </row>
    <row r="1866" spans="2:28" x14ac:dyDescent="0.2">
      <c r="C1866" s="23">
        <v>1100577734</v>
      </c>
      <c r="E1866" s="23">
        <v>10</v>
      </c>
      <c r="F1866" s="23" t="s">
        <v>3058</v>
      </c>
      <c r="G1866" s="23" t="s">
        <v>3059</v>
      </c>
      <c r="H1866" s="24">
        <v>46128</v>
      </c>
      <c r="I1866" s="24">
        <v>46128</v>
      </c>
      <c r="J1866" s="23" t="s">
        <v>3060</v>
      </c>
      <c r="K1866" s="23" t="s">
        <v>3060</v>
      </c>
      <c r="L1866" s="23">
        <v>1</v>
      </c>
      <c r="M1866" s="23" t="s">
        <v>78</v>
      </c>
      <c r="N1866" s="23" t="s">
        <v>78</v>
      </c>
      <c r="O1866" s="23">
        <v>3418.37</v>
      </c>
      <c r="P1866" s="23" t="s">
        <v>79</v>
      </c>
      <c r="Q1866" s="23" t="s">
        <v>83</v>
      </c>
      <c r="R1866" s="23">
        <v>11100176</v>
      </c>
      <c r="S1866" s="24">
        <v>46118</v>
      </c>
      <c r="T1866" s="24">
        <v>46076</v>
      </c>
      <c r="U1866" s="24" t="s">
        <v>80</v>
      </c>
      <c r="X1866" s="24">
        <v>46070</v>
      </c>
      <c r="Y1866" s="23">
        <v>1111</v>
      </c>
      <c r="Z1866" s="23">
        <v>11400937</v>
      </c>
      <c r="AA1866" s="23">
        <v>3351</v>
      </c>
      <c r="AB1866" s="24">
        <v>46076</v>
      </c>
    </row>
    <row r="1867" spans="2:28" x14ac:dyDescent="0.2">
      <c r="C1867" s="23">
        <v>1100577734</v>
      </c>
      <c r="E1867" s="23">
        <v>20</v>
      </c>
      <c r="F1867" s="23" t="s">
        <v>82</v>
      </c>
      <c r="G1867" s="23" t="s">
        <v>139</v>
      </c>
      <c r="H1867" s="24">
        <v>46128</v>
      </c>
      <c r="I1867" s="24">
        <v>46128</v>
      </c>
      <c r="J1867" s="23" t="s">
        <v>3060</v>
      </c>
      <c r="K1867" s="23" t="s">
        <v>3060</v>
      </c>
      <c r="L1867" s="23">
        <v>1</v>
      </c>
      <c r="M1867" s="23" t="s">
        <v>78</v>
      </c>
      <c r="N1867" s="23" t="s">
        <v>78</v>
      </c>
      <c r="O1867" s="23">
        <v>0.01</v>
      </c>
      <c r="P1867" s="23" t="s">
        <v>79</v>
      </c>
      <c r="Q1867" s="23" t="s">
        <v>83</v>
      </c>
      <c r="R1867" s="23">
        <v>11100176</v>
      </c>
      <c r="S1867" s="24" t="s">
        <v>80</v>
      </c>
      <c r="T1867" s="24">
        <v>46076</v>
      </c>
      <c r="U1867" s="24" t="s">
        <v>80</v>
      </c>
      <c r="X1867" s="24">
        <v>46070</v>
      </c>
      <c r="Y1867" s="23">
        <v>1111</v>
      </c>
      <c r="Z1867" s="23">
        <v>11400937</v>
      </c>
      <c r="AA1867" s="23">
        <v>3351</v>
      </c>
      <c r="AB1867" s="24">
        <v>46076</v>
      </c>
    </row>
    <row r="1868" spans="2:28" x14ac:dyDescent="0.2">
      <c r="B1868" s="23" t="s">
        <v>81</v>
      </c>
      <c r="C1868" s="23">
        <v>1100577734</v>
      </c>
      <c r="H1868" s="24">
        <v>46128</v>
      </c>
      <c r="O1868" s="23">
        <v>3418.38</v>
      </c>
      <c r="P1868" s="23" t="s">
        <v>79</v>
      </c>
    </row>
    <row r="1869" spans="2:28" x14ac:dyDescent="0.2">
      <c r="C1869" s="23">
        <v>1100577996</v>
      </c>
      <c r="E1869" s="23">
        <v>20</v>
      </c>
      <c r="F1869" s="23" t="s">
        <v>87</v>
      </c>
      <c r="G1869" s="23" t="s">
        <v>142</v>
      </c>
      <c r="H1869" s="24">
        <v>46128</v>
      </c>
      <c r="I1869" s="24">
        <v>46120</v>
      </c>
      <c r="J1869" s="23" t="s">
        <v>173</v>
      </c>
      <c r="K1869" s="23" t="s">
        <v>173</v>
      </c>
      <c r="L1869" s="23">
        <v>3</v>
      </c>
      <c r="M1869" s="23" t="s">
        <v>78</v>
      </c>
      <c r="N1869" s="23" t="s">
        <v>78</v>
      </c>
      <c r="O1869" s="23">
        <v>441.69</v>
      </c>
      <c r="P1869" s="23" t="s">
        <v>79</v>
      </c>
      <c r="Q1869" s="23" t="s">
        <v>83</v>
      </c>
      <c r="R1869" s="23">
        <v>11100176</v>
      </c>
      <c r="S1869" s="24">
        <v>46120</v>
      </c>
      <c r="T1869" s="24">
        <v>46078</v>
      </c>
      <c r="U1869" s="24">
        <v>47116</v>
      </c>
      <c r="X1869" s="24">
        <v>46077</v>
      </c>
      <c r="Y1869" s="23">
        <v>1111</v>
      </c>
      <c r="Z1869" s="23">
        <v>11400811</v>
      </c>
      <c r="AA1869" s="23">
        <v>5051</v>
      </c>
      <c r="AB1869" s="24">
        <v>46069</v>
      </c>
    </row>
    <row r="1870" spans="2:28" x14ac:dyDescent="0.2">
      <c r="C1870" s="23">
        <v>1100577996</v>
      </c>
      <c r="E1870" s="23">
        <v>40</v>
      </c>
      <c r="F1870" s="23" t="s">
        <v>84</v>
      </c>
      <c r="G1870" s="23" t="s">
        <v>123</v>
      </c>
      <c r="H1870" s="24">
        <v>46128</v>
      </c>
      <c r="I1870" s="24">
        <v>46128</v>
      </c>
      <c r="J1870" s="23" t="s">
        <v>173</v>
      </c>
      <c r="K1870" s="23" t="s">
        <v>173</v>
      </c>
      <c r="L1870" s="23">
        <v>1</v>
      </c>
      <c r="M1870" s="23" t="s">
        <v>78</v>
      </c>
      <c r="N1870" s="23" t="s">
        <v>78</v>
      </c>
      <c r="O1870" s="23">
        <v>0.01</v>
      </c>
      <c r="P1870" s="23" t="s">
        <v>79</v>
      </c>
      <c r="Q1870" s="23" t="s">
        <v>83</v>
      </c>
      <c r="R1870" s="23">
        <v>11100176</v>
      </c>
      <c r="S1870" s="24" t="s">
        <v>80</v>
      </c>
      <c r="T1870" s="24">
        <v>46078</v>
      </c>
      <c r="U1870" s="24">
        <v>47116</v>
      </c>
      <c r="X1870" s="24">
        <v>46077</v>
      </c>
      <c r="Y1870" s="23">
        <v>1111</v>
      </c>
      <c r="Z1870" s="23">
        <v>11400811</v>
      </c>
      <c r="AA1870" s="23">
        <v>5051</v>
      </c>
      <c r="AB1870" s="24">
        <v>46069</v>
      </c>
    </row>
    <row r="1871" spans="2:28" x14ac:dyDescent="0.2">
      <c r="B1871" s="23" t="s">
        <v>81</v>
      </c>
      <c r="C1871" s="23">
        <v>1100577996</v>
      </c>
      <c r="H1871" s="24">
        <v>46128</v>
      </c>
      <c r="O1871" s="23">
        <v>441.7</v>
      </c>
      <c r="P1871" s="23" t="s">
        <v>79</v>
      </c>
    </row>
    <row r="1872" spans="2:28" x14ac:dyDescent="0.2">
      <c r="C1872" s="23">
        <v>1100578120</v>
      </c>
      <c r="E1872" s="23">
        <v>10</v>
      </c>
      <c r="F1872" s="23" t="s">
        <v>3572</v>
      </c>
      <c r="G1872" s="23" t="s">
        <v>3573</v>
      </c>
      <c r="H1872" s="24">
        <v>46128</v>
      </c>
      <c r="I1872" s="24">
        <v>46128</v>
      </c>
      <c r="J1872" s="23" t="s">
        <v>214</v>
      </c>
      <c r="K1872" s="23" t="s">
        <v>214</v>
      </c>
      <c r="L1872" s="23">
        <v>2</v>
      </c>
      <c r="M1872" s="23" t="s">
        <v>78</v>
      </c>
      <c r="N1872" s="23" t="s">
        <v>78</v>
      </c>
      <c r="O1872" s="23">
        <v>2752.22</v>
      </c>
      <c r="P1872" s="23" t="s">
        <v>79</v>
      </c>
      <c r="Q1872" s="23" t="s">
        <v>83</v>
      </c>
      <c r="R1872" s="23">
        <v>11100176</v>
      </c>
      <c r="S1872" s="24">
        <v>46121</v>
      </c>
      <c r="T1872" s="24">
        <v>46079</v>
      </c>
      <c r="U1872" s="24" t="s">
        <v>80</v>
      </c>
      <c r="X1872" s="24">
        <v>46077</v>
      </c>
      <c r="Y1872" s="23">
        <v>1111</v>
      </c>
      <c r="Z1872" s="23">
        <v>11600003</v>
      </c>
      <c r="AA1872" s="23">
        <v>335103</v>
      </c>
      <c r="AB1872" s="24">
        <v>46077</v>
      </c>
    </row>
    <row r="1873" spans="2:28" x14ac:dyDescent="0.2">
      <c r="C1873" s="23">
        <v>1100578120</v>
      </c>
      <c r="E1873" s="23">
        <v>20</v>
      </c>
      <c r="F1873" s="23" t="s">
        <v>82</v>
      </c>
      <c r="G1873" s="23" t="s">
        <v>139</v>
      </c>
      <c r="H1873" s="24">
        <v>46128</v>
      </c>
      <c r="I1873" s="24">
        <v>46128</v>
      </c>
      <c r="J1873" s="23" t="s">
        <v>214</v>
      </c>
      <c r="K1873" s="23" t="s">
        <v>214</v>
      </c>
      <c r="L1873" s="23">
        <v>1</v>
      </c>
      <c r="M1873" s="23" t="s">
        <v>78</v>
      </c>
      <c r="N1873" s="23" t="s">
        <v>78</v>
      </c>
      <c r="O1873" s="23">
        <v>0.01</v>
      </c>
      <c r="P1873" s="23" t="s">
        <v>79</v>
      </c>
      <c r="Q1873" s="23" t="s">
        <v>83</v>
      </c>
      <c r="R1873" s="23">
        <v>11100176</v>
      </c>
      <c r="S1873" s="24">
        <v>46121</v>
      </c>
      <c r="T1873" s="24">
        <v>46079</v>
      </c>
      <c r="U1873" s="24" t="s">
        <v>80</v>
      </c>
      <c r="X1873" s="24">
        <v>46077</v>
      </c>
      <c r="Y1873" s="23">
        <v>1111</v>
      </c>
      <c r="Z1873" s="23">
        <v>11600003</v>
      </c>
      <c r="AA1873" s="23">
        <v>335103</v>
      </c>
      <c r="AB1873" s="24">
        <v>46077</v>
      </c>
    </row>
    <row r="1874" spans="2:28" x14ac:dyDescent="0.2">
      <c r="B1874" s="23" t="s">
        <v>81</v>
      </c>
      <c r="C1874" s="23">
        <v>1100578120</v>
      </c>
      <c r="H1874" s="24">
        <v>46128</v>
      </c>
      <c r="O1874" s="23">
        <v>2752.23</v>
      </c>
      <c r="P1874" s="23" t="s">
        <v>79</v>
      </c>
    </row>
    <row r="1875" spans="2:28" x14ac:dyDescent="0.2">
      <c r="C1875" s="23">
        <v>1100578135</v>
      </c>
      <c r="E1875" s="23">
        <v>10</v>
      </c>
      <c r="F1875" s="23" t="s">
        <v>3574</v>
      </c>
      <c r="G1875" s="23" t="s">
        <v>3575</v>
      </c>
      <c r="H1875" s="24">
        <v>46128</v>
      </c>
      <c r="I1875" s="24">
        <v>46128</v>
      </c>
      <c r="J1875" s="23" t="s">
        <v>129</v>
      </c>
      <c r="K1875" s="23" t="s">
        <v>129</v>
      </c>
      <c r="L1875" s="23">
        <v>1</v>
      </c>
      <c r="M1875" s="23" t="s">
        <v>78</v>
      </c>
      <c r="N1875" s="23" t="s">
        <v>78</v>
      </c>
      <c r="O1875" s="23">
        <v>3588.94</v>
      </c>
      <c r="P1875" s="23" t="s">
        <v>79</v>
      </c>
      <c r="Q1875" s="23" t="s">
        <v>83</v>
      </c>
      <c r="R1875" s="23">
        <v>11100176</v>
      </c>
      <c r="S1875" s="24">
        <v>46128</v>
      </c>
      <c r="T1875" s="24">
        <v>46079</v>
      </c>
      <c r="U1875" s="24" t="s">
        <v>80</v>
      </c>
      <c r="X1875" s="24">
        <v>46051</v>
      </c>
      <c r="Y1875" s="23">
        <v>1111</v>
      </c>
      <c r="Z1875" s="23">
        <v>11600001</v>
      </c>
      <c r="AA1875" s="23">
        <v>3951</v>
      </c>
      <c r="AB1875" s="24">
        <v>46043</v>
      </c>
    </row>
    <row r="1876" spans="2:28" x14ac:dyDescent="0.2">
      <c r="C1876" s="23">
        <v>1100578135</v>
      </c>
      <c r="E1876" s="23">
        <v>20</v>
      </c>
      <c r="F1876" s="23" t="s">
        <v>209</v>
      </c>
      <c r="G1876" s="23" t="s">
        <v>210</v>
      </c>
      <c r="H1876" s="24">
        <v>46128</v>
      </c>
      <c r="I1876" s="24">
        <v>46128</v>
      </c>
      <c r="J1876" s="23" t="s">
        <v>129</v>
      </c>
      <c r="K1876" s="23" t="s">
        <v>129</v>
      </c>
      <c r="L1876" s="23">
        <v>1</v>
      </c>
      <c r="M1876" s="23" t="s">
        <v>78</v>
      </c>
      <c r="N1876" s="23" t="s">
        <v>78</v>
      </c>
      <c r="O1876" s="23">
        <v>0.01</v>
      </c>
      <c r="P1876" s="23" t="s">
        <v>79</v>
      </c>
      <c r="Q1876" s="23" t="s">
        <v>83</v>
      </c>
      <c r="R1876" s="23">
        <v>11100176</v>
      </c>
      <c r="S1876" s="24">
        <v>46128</v>
      </c>
      <c r="T1876" s="24">
        <v>46079</v>
      </c>
      <c r="U1876" s="24" t="s">
        <v>80</v>
      </c>
      <c r="X1876" s="24">
        <v>46051</v>
      </c>
      <c r="Y1876" s="23">
        <v>1111</v>
      </c>
      <c r="Z1876" s="23">
        <v>11600001</v>
      </c>
      <c r="AA1876" s="23">
        <v>3951</v>
      </c>
      <c r="AB1876" s="24">
        <v>46043</v>
      </c>
    </row>
    <row r="1877" spans="2:28" x14ac:dyDescent="0.2">
      <c r="B1877" s="23" t="s">
        <v>81</v>
      </c>
      <c r="C1877" s="23">
        <v>1100578135</v>
      </c>
      <c r="H1877" s="24">
        <v>46128</v>
      </c>
      <c r="O1877" s="23">
        <v>3588.95</v>
      </c>
      <c r="P1877" s="23" t="s">
        <v>79</v>
      </c>
    </row>
    <row r="1878" spans="2:28" x14ac:dyDescent="0.2">
      <c r="C1878" s="23">
        <v>1100578231</v>
      </c>
      <c r="E1878" s="23">
        <v>10</v>
      </c>
      <c r="F1878" s="23" t="s">
        <v>3576</v>
      </c>
      <c r="G1878" s="23" t="s">
        <v>3577</v>
      </c>
      <c r="H1878" s="24">
        <v>46128</v>
      </c>
      <c r="I1878" s="24">
        <v>46128</v>
      </c>
      <c r="J1878" s="23" t="s">
        <v>879</v>
      </c>
      <c r="K1878" s="23" t="s">
        <v>879</v>
      </c>
      <c r="L1878" s="23">
        <v>1</v>
      </c>
      <c r="M1878" s="23" t="s">
        <v>566</v>
      </c>
      <c r="N1878" s="23" t="s">
        <v>566</v>
      </c>
      <c r="O1878" s="23">
        <v>1657.65</v>
      </c>
      <c r="P1878" s="23" t="s">
        <v>79</v>
      </c>
      <c r="Q1878" s="23" t="s">
        <v>83</v>
      </c>
      <c r="R1878" s="23">
        <v>11100176</v>
      </c>
      <c r="S1878" s="24">
        <v>46122</v>
      </c>
      <c r="T1878" s="24">
        <v>46080</v>
      </c>
      <c r="U1878" s="24" t="s">
        <v>80</v>
      </c>
      <c r="X1878" s="24">
        <v>46079</v>
      </c>
      <c r="Y1878" s="23">
        <v>1111</v>
      </c>
      <c r="Z1878" s="23">
        <v>11600001</v>
      </c>
      <c r="AA1878" s="23">
        <v>515103</v>
      </c>
      <c r="AB1878" s="24">
        <v>46078</v>
      </c>
    </row>
    <row r="1879" spans="2:28" x14ac:dyDescent="0.2">
      <c r="C1879" s="23">
        <v>1100578231</v>
      </c>
      <c r="E1879" s="23">
        <v>20</v>
      </c>
      <c r="F1879" s="23" t="s">
        <v>82</v>
      </c>
      <c r="G1879" s="23" t="s">
        <v>139</v>
      </c>
      <c r="H1879" s="24">
        <v>46128</v>
      </c>
      <c r="I1879" s="24">
        <v>46128</v>
      </c>
      <c r="J1879" s="23" t="s">
        <v>879</v>
      </c>
      <c r="K1879" s="23" t="s">
        <v>879</v>
      </c>
      <c r="L1879" s="23">
        <v>1</v>
      </c>
      <c r="M1879" s="23" t="s">
        <v>78</v>
      </c>
      <c r="N1879" s="23" t="s">
        <v>78</v>
      </c>
      <c r="O1879" s="23">
        <v>0.01</v>
      </c>
      <c r="P1879" s="23" t="s">
        <v>79</v>
      </c>
      <c r="Q1879" s="23" t="s">
        <v>83</v>
      </c>
      <c r="R1879" s="23">
        <v>11100176</v>
      </c>
      <c r="S1879" s="24">
        <v>46122</v>
      </c>
      <c r="T1879" s="24">
        <v>46080</v>
      </c>
      <c r="U1879" s="24" t="s">
        <v>80</v>
      </c>
      <c r="X1879" s="24">
        <v>46079</v>
      </c>
      <c r="Y1879" s="23">
        <v>1111</v>
      </c>
      <c r="Z1879" s="23">
        <v>11600001</v>
      </c>
      <c r="AA1879" s="23">
        <v>515103</v>
      </c>
      <c r="AB1879" s="24">
        <v>46078</v>
      </c>
    </row>
    <row r="1880" spans="2:28" x14ac:dyDescent="0.2">
      <c r="B1880" s="23" t="s">
        <v>81</v>
      </c>
      <c r="C1880" s="23">
        <v>1100578231</v>
      </c>
      <c r="H1880" s="24">
        <v>46128</v>
      </c>
      <c r="O1880" s="23">
        <v>1657.66</v>
      </c>
      <c r="P1880" s="23" t="s">
        <v>79</v>
      </c>
    </row>
    <row r="1881" spans="2:28" x14ac:dyDescent="0.2">
      <c r="C1881" s="23">
        <v>1100575728</v>
      </c>
      <c r="E1881" s="23">
        <v>10</v>
      </c>
      <c r="F1881" s="23" t="s">
        <v>3578</v>
      </c>
      <c r="G1881" s="23" t="s">
        <v>3579</v>
      </c>
      <c r="H1881" s="24">
        <v>46129</v>
      </c>
      <c r="I1881" s="24">
        <v>46129</v>
      </c>
      <c r="J1881" s="23" t="s">
        <v>1808</v>
      </c>
      <c r="K1881" s="23" t="s">
        <v>1808</v>
      </c>
      <c r="L1881" s="23">
        <v>2</v>
      </c>
      <c r="M1881" s="23" t="s">
        <v>566</v>
      </c>
      <c r="N1881" s="23" t="s">
        <v>566</v>
      </c>
      <c r="O1881" s="23">
        <v>11730.36</v>
      </c>
      <c r="P1881" s="23" t="s">
        <v>79</v>
      </c>
      <c r="Q1881" s="23" t="s">
        <v>83</v>
      </c>
      <c r="R1881" s="23">
        <v>11100176</v>
      </c>
      <c r="S1881" s="24">
        <v>46129</v>
      </c>
      <c r="T1881" s="24">
        <v>46056</v>
      </c>
      <c r="U1881" s="24" t="s">
        <v>80</v>
      </c>
      <c r="X1881" s="24">
        <v>46044</v>
      </c>
      <c r="Y1881" s="23">
        <v>1111</v>
      </c>
      <c r="Z1881" s="23">
        <v>11600003</v>
      </c>
      <c r="AA1881" s="23">
        <v>515103</v>
      </c>
      <c r="AB1881" s="24">
        <v>46044</v>
      </c>
    </row>
    <row r="1882" spans="2:28" x14ac:dyDescent="0.2">
      <c r="C1882" s="23">
        <v>1100575728</v>
      </c>
      <c r="E1882" s="23">
        <v>20</v>
      </c>
      <c r="F1882" s="23" t="s">
        <v>209</v>
      </c>
      <c r="G1882" s="23" t="s">
        <v>210</v>
      </c>
      <c r="H1882" s="24">
        <v>46129</v>
      </c>
      <c r="I1882" s="24">
        <v>46129</v>
      </c>
      <c r="J1882" s="23" t="s">
        <v>1808</v>
      </c>
      <c r="K1882" s="23" t="s">
        <v>1808</v>
      </c>
      <c r="L1882" s="23">
        <v>1</v>
      </c>
      <c r="M1882" s="23" t="s">
        <v>78</v>
      </c>
      <c r="N1882" s="23" t="s">
        <v>78</v>
      </c>
      <c r="O1882" s="23">
        <v>0.01</v>
      </c>
      <c r="P1882" s="23" t="s">
        <v>79</v>
      </c>
      <c r="Q1882" s="23" t="s">
        <v>83</v>
      </c>
      <c r="R1882" s="23">
        <v>11100176</v>
      </c>
      <c r="S1882" s="24">
        <v>46129</v>
      </c>
      <c r="T1882" s="24">
        <v>46056</v>
      </c>
      <c r="U1882" s="24" t="s">
        <v>80</v>
      </c>
      <c r="X1882" s="24">
        <v>46044</v>
      </c>
      <c r="Y1882" s="23">
        <v>1111</v>
      </c>
      <c r="Z1882" s="23">
        <v>11600003</v>
      </c>
      <c r="AA1882" s="23">
        <v>515103</v>
      </c>
      <c r="AB1882" s="24">
        <v>46044</v>
      </c>
    </row>
    <row r="1883" spans="2:28" x14ac:dyDescent="0.2">
      <c r="B1883" s="23" t="s">
        <v>81</v>
      </c>
      <c r="C1883" s="23">
        <v>1100575728</v>
      </c>
      <c r="H1883" s="24">
        <v>46129</v>
      </c>
      <c r="O1883" s="23">
        <v>11730.37</v>
      </c>
      <c r="P1883" s="23" t="s">
        <v>79</v>
      </c>
    </row>
    <row r="1884" spans="2:28" x14ac:dyDescent="0.2">
      <c r="C1884" s="23">
        <v>1100576814</v>
      </c>
      <c r="E1884" s="23">
        <v>40</v>
      </c>
      <c r="F1884" s="23" t="s">
        <v>923</v>
      </c>
      <c r="G1884" s="23" t="s">
        <v>714</v>
      </c>
      <c r="H1884" s="24">
        <v>46129</v>
      </c>
      <c r="I1884" s="24">
        <v>46129</v>
      </c>
      <c r="J1884" s="23" t="s">
        <v>555</v>
      </c>
      <c r="K1884" s="23" t="s">
        <v>555</v>
      </c>
      <c r="L1884" s="23">
        <v>1</v>
      </c>
      <c r="M1884" s="23" t="s">
        <v>78</v>
      </c>
      <c r="N1884" s="23" t="s">
        <v>78</v>
      </c>
      <c r="O1884" s="23">
        <v>892.55</v>
      </c>
      <c r="P1884" s="23" t="s">
        <v>79</v>
      </c>
      <c r="Q1884" s="23" t="s">
        <v>83</v>
      </c>
      <c r="R1884" s="23">
        <v>11100176</v>
      </c>
      <c r="S1884" s="24">
        <v>46129</v>
      </c>
      <c r="T1884" s="24">
        <v>46066</v>
      </c>
      <c r="U1884" s="24">
        <v>47116</v>
      </c>
      <c r="X1884" s="24">
        <v>46065</v>
      </c>
      <c r="Y1884" s="23">
        <v>1111</v>
      </c>
      <c r="Z1884" s="23">
        <v>11100137</v>
      </c>
      <c r="AA1884" s="23">
        <v>335103</v>
      </c>
      <c r="AB1884" s="24">
        <v>46065</v>
      </c>
    </row>
    <row r="1885" spans="2:28" x14ac:dyDescent="0.2">
      <c r="C1885" s="23">
        <v>1100576814</v>
      </c>
      <c r="E1885" s="23">
        <v>70</v>
      </c>
      <c r="F1885" s="23" t="s">
        <v>679</v>
      </c>
      <c r="G1885" s="23" t="s">
        <v>2035</v>
      </c>
      <c r="H1885" s="24">
        <v>46129</v>
      </c>
      <c r="I1885" s="24">
        <v>46129</v>
      </c>
      <c r="J1885" s="23" t="s">
        <v>555</v>
      </c>
      <c r="K1885" s="23" t="s">
        <v>555</v>
      </c>
      <c r="L1885" s="23">
        <v>2</v>
      </c>
      <c r="M1885" s="23" t="s">
        <v>78</v>
      </c>
      <c r="N1885" s="23" t="s">
        <v>78</v>
      </c>
      <c r="O1885" s="23">
        <v>302.64</v>
      </c>
      <c r="P1885" s="23" t="s">
        <v>79</v>
      </c>
      <c r="Q1885" s="23" t="s">
        <v>83</v>
      </c>
      <c r="R1885" s="23">
        <v>11100176</v>
      </c>
      <c r="S1885" s="24">
        <v>46101</v>
      </c>
      <c r="T1885" s="24">
        <v>46066</v>
      </c>
      <c r="U1885" s="24">
        <v>47116</v>
      </c>
      <c r="X1885" s="24">
        <v>46065</v>
      </c>
      <c r="Y1885" s="23">
        <v>1111</v>
      </c>
      <c r="Z1885" s="23">
        <v>11100137</v>
      </c>
      <c r="AA1885" s="23">
        <v>335103</v>
      </c>
      <c r="AB1885" s="24">
        <v>46065</v>
      </c>
    </row>
    <row r="1886" spans="2:28" x14ac:dyDescent="0.2">
      <c r="B1886" s="23" t="s">
        <v>81</v>
      </c>
      <c r="C1886" s="23">
        <v>1100576814</v>
      </c>
      <c r="H1886" s="24">
        <v>46129</v>
      </c>
      <c r="O1886" s="23">
        <v>1195.19</v>
      </c>
      <c r="P1886" s="23" t="s">
        <v>79</v>
      </c>
    </row>
    <row r="1887" spans="2:28" x14ac:dyDescent="0.2">
      <c r="C1887" s="23">
        <v>1100577373</v>
      </c>
      <c r="E1887" s="23">
        <v>10</v>
      </c>
      <c r="F1887" s="23" t="s">
        <v>87</v>
      </c>
      <c r="G1887" s="23" t="s">
        <v>3580</v>
      </c>
      <c r="H1887" s="24">
        <v>46129</v>
      </c>
      <c r="I1887" s="24">
        <v>46129</v>
      </c>
      <c r="J1887" s="23" t="s">
        <v>719</v>
      </c>
      <c r="K1887" s="23" t="s">
        <v>719</v>
      </c>
      <c r="L1887" s="23">
        <v>1</v>
      </c>
      <c r="M1887" s="23" t="s">
        <v>78</v>
      </c>
      <c r="N1887" s="23" t="s">
        <v>78</v>
      </c>
      <c r="O1887" s="23">
        <v>3045.01</v>
      </c>
      <c r="P1887" s="23" t="s">
        <v>79</v>
      </c>
      <c r="Q1887" s="23" t="s">
        <v>83</v>
      </c>
      <c r="R1887" s="23">
        <v>11100176</v>
      </c>
      <c r="S1887" s="24">
        <v>46101</v>
      </c>
      <c r="T1887" s="24">
        <v>46073</v>
      </c>
      <c r="U1887" s="24" t="s">
        <v>80</v>
      </c>
      <c r="X1887" s="24">
        <v>46071</v>
      </c>
      <c r="Y1887" s="23">
        <v>1111</v>
      </c>
      <c r="Z1887" s="23">
        <v>11400811</v>
      </c>
      <c r="AA1887" s="23">
        <v>335103</v>
      </c>
      <c r="AB1887" s="24">
        <v>46069</v>
      </c>
    </row>
    <row r="1888" spans="2:28" x14ac:dyDescent="0.2">
      <c r="C1888" s="23">
        <v>1100577373</v>
      </c>
      <c r="E1888" s="23">
        <v>20</v>
      </c>
      <c r="F1888" s="23" t="s">
        <v>82</v>
      </c>
      <c r="G1888" s="23" t="s">
        <v>139</v>
      </c>
      <c r="H1888" s="24">
        <v>46129</v>
      </c>
      <c r="I1888" s="24">
        <v>46129</v>
      </c>
      <c r="J1888" s="23" t="s">
        <v>719</v>
      </c>
      <c r="K1888" s="23" t="s">
        <v>719</v>
      </c>
      <c r="L1888" s="23">
        <v>1</v>
      </c>
      <c r="M1888" s="23" t="s">
        <v>78</v>
      </c>
      <c r="N1888" s="23" t="s">
        <v>78</v>
      </c>
      <c r="O1888" s="23">
        <v>0.01</v>
      </c>
      <c r="P1888" s="23" t="s">
        <v>79</v>
      </c>
      <c r="Q1888" s="23" t="s">
        <v>83</v>
      </c>
      <c r="R1888" s="23">
        <v>11100176</v>
      </c>
      <c r="S1888" s="24" t="s">
        <v>80</v>
      </c>
      <c r="T1888" s="24">
        <v>46073</v>
      </c>
      <c r="U1888" s="24" t="s">
        <v>80</v>
      </c>
      <c r="X1888" s="24">
        <v>46071</v>
      </c>
      <c r="Y1888" s="23">
        <v>1111</v>
      </c>
      <c r="Z1888" s="23">
        <v>11400811</v>
      </c>
      <c r="AA1888" s="23">
        <v>335103</v>
      </c>
      <c r="AB1888" s="24">
        <v>46069</v>
      </c>
    </row>
    <row r="1889" spans="2:28" x14ac:dyDescent="0.2">
      <c r="C1889" s="23">
        <v>1100577373</v>
      </c>
      <c r="E1889" s="23">
        <v>30</v>
      </c>
      <c r="F1889" s="23" t="s">
        <v>84</v>
      </c>
      <c r="G1889" s="23" t="s">
        <v>123</v>
      </c>
      <c r="H1889" s="24">
        <v>46129</v>
      </c>
      <c r="I1889" s="24">
        <v>46129</v>
      </c>
      <c r="J1889" s="23" t="s">
        <v>719</v>
      </c>
      <c r="K1889" s="23" t="s">
        <v>719</v>
      </c>
      <c r="L1889" s="23">
        <v>1</v>
      </c>
      <c r="M1889" s="23" t="s">
        <v>78</v>
      </c>
      <c r="N1889" s="23" t="s">
        <v>78</v>
      </c>
      <c r="O1889" s="23">
        <v>0.01</v>
      </c>
      <c r="P1889" s="23" t="s">
        <v>79</v>
      </c>
      <c r="Q1889" s="23" t="s">
        <v>83</v>
      </c>
      <c r="R1889" s="23">
        <v>11100176</v>
      </c>
      <c r="S1889" s="24" t="s">
        <v>80</v>
      </c>
      <c r="T1889" s="24">
        <v>46073</v>
      </c>
      <c r="U1889" s="24" t="s">
        <v>80</v>
      </c>
      <c r="X1889" s="24">
        <v>46071</v>
      </c>
      <c r="Y1889" s="23">
        <v>1111</v>
      </c>
      <c r="Z1889" s="23">
        <v>11400811</v>
      </c>
      <c r="AA1889" s="23">
        <v>335103</v>
      </c>
      <c r="AB1889" s="24">
        <v>46069</v>
      </c>
    </row>
    <row r="1890" spans="2:28" x14ac:dyDescent="0.2">
      <c r="B1890" s="23" t="s">
        <v>81</v>
      </c>
      <c r="C1890" s="23">
        <v>1100577373</v>
      </c>
      <c r="H1890" s="24">
        <v>46129</v>
      </c>
      <c r="O1890" s="23">
        <v>3045.03</v>
      </c>
      <c r="P1890" s="23" t="s">
        <v>79</v>
      </c>
    </row>
    <row r="1891" spans="2:28" x14ac:dyDescent="0.2">
      <c r="C1891" s="23">
        <v>1100577403</v>
      </c>
      <c r="E1891" s="23">
        <v>10</v>
      </c>
      <c r="F1891" s="23" t="s">
        <v>783</v>
      </c>
      <c r="G1891" s="23" t="s">
        <v>1951</v>
      </c>
      <c r="H1891" s="24">
        <v>46129</v>
      </c>
      <c r="I1891" s="24">
        <v>46129</v>
      </c>
      <c r="J1891" s="23" t="s">
        <v>92</v>
      </c>
      <c r="K1891" s="23" t="s">
        <v>92</v>
      </c>
      <c r="L1891" s="23">
        <v>124</v>
      </c>
      <c r="M1891" s="23" t="s">
        <v>78</v>
      </c>
      <c r="N1891" s="23" t="s">
        <v>78</v>
      </c>
      <c r="O1891" s="23">
        <v>5302.24</v>
      </c>
      <c r="P1891" s="23" t="s">
        <v>79</v>
      </c>
      <c r="Q1891" s="23" t="s">
        <v>83</v>
      </c>
      <c r="R1891" s="23">
        <v>11100008</v>
      </c>
      <c r="S1891" s="24">
        <v>46129</v>
      </c>
      <c r="T1891" s="24">
        <v>46073</v>
      </c>
      <c r="U1891" s="24" t="s">
        <v>80</v>
      </c>
      <c r="X1891" s="24">
        <v>46071</v>
      </c>
      <c r="Y1891" s="23">
        <v>1111</v>
      </c>
      <c r="Z1891" s="23">
        <v>11400937</v>
      </c>
      <c r="AA1891" s="23">
        <v>525103</v>
      </c>
      <c r="AB1891" s="24">
        <v>46071</v>
      </c>
    </row>
    <row r="1892" spans="2:28" x14ac:dyDescent="0.2">
      <c r="C1892" s="23">
        <v>1100577403</v>
      </c>
      <c r="E1892" s="23">
        <v>20</v>
      </c>
      <c r="F1892" s="23" t="s">
        <v>3215</v>
      </c>
      <c r="G1892" s="23" t="s">
        <v>3216</v>
      </c>
      <c r="H1892" s="24">
        <v>46129</v>
      </c>
      <c r="I1892" s="24">
        <v>46129</v>
      </c>
      <c r="J1892" s="23" t="s">
        <v>92</v>
      </c>
      <c r="K1892" s="23" t="s">
        <v>92</v>
      </c>
      <c r="L1892" s="23">
        <v>8</v>
      </c>
      <c r="M1892" s="23" t="s">
        <v>78</v>
      </c>
      <c r="N1892" s="23" t="s">
        <v>78</v>
      </c>
      <c r="O1892" s="23">
        <v>292.08</v>
      </c>
      <c r="P1892" s="23" t="s">
        <v>79</v>
      </c>
      <c r="Q1892" s="23" t="s">
        <v>83</v>
      </c>
      <c r="R1892" s="23">
        <v>11100008</v>
      </c>
      <c r="S1892" s="24">
        <v>46129</v>
      </c>
      <c r="T1892" s="24">
        <v>46073</v>
      </c>
      <c r="U1892" s="24" t="s">
        <v>80</v>
      </c>
      <c r="X1892" s="24">
        <v>46071</v>
      </c>
      <c r="Y1892" s="23">
        <v>1111</v>
      </c>
      <c r="Z1892" s="23">
        <v>11400937</v>
      </c>
      <c r="AA1892" s="23">
        <v>525103</v>
      </c>
      <c r="AB1892" s="24">
        <v>46071</v>
      </c>
    </row>
    <row r="1893" spans="2:28" x14ac:dyDescent="0.2">
      <c r="C1893" s="23">
        <v>1100577403</v>
      </c>
      <c r="E1893" s="23">
        <v>30</v>
      </c>
      <c r="F1893" s="23" t="s">
        <v>663</v>
      </c>
      <c r="G1893" s="23" t="s">
        <v>1814</v>
      </c>
      <c r="H1893" s="24">
        <v>46129</v>
      </c>
      <c r="I1893" s="24">
        <v>46129</v>
      </c>
      <c r="J1893" s="23" t="s">
        <v>92</v>
      </c>
      <c r="K1893" s="23" t="s">
        <v>92</v>
      </c>
      <c r="L1893" s="23">
        <v>4</v>
      </c>
      <c r="M1893" s="23" t="s">
        <v>78</v>
      </c>
      <c r="N1893" s="23" t="s">
        <v>78</v>
      </c>
      <c r="O1893" s="23">
        <v>185.76</v>
      </c>
      <c r="P1893" s="23" t="s">
        <v>79</v>
      </c>
      <c r="Q1893" s="23" t="s">
        <v>83</v>
      </c>
      <c r="R1893" s="23">
        <v>11100008</v>
      </c>
      <c r="S1893" s="24">
        <v>46129</v>
      </c>
      <c r="T1893" s="24">
        <v>46073</v>
      </c>
      <c r="U1893" s="24" t="s">
        <v>80</v>
      </c>
      <c r="X1893" s="24">
        <v>46071</v>
      </c>
      <c r="Y1893" s="23">
        <v>1111</v>
      </c>
      <c r="Z1893" s="23">
        <v>11400937</v>
      </c>
      <c r="AA1893" s="23">
        <v>525103</v>
      </c>
      <c r="AB1893" s="24">
        <v>46071</v>
      </c>
    </row>
    <row r="1894" spans="2:28" x14ac:dyDescent="0.2">
      <c r="C1894" s="23">
        <v>1100577403</v>
      </c>
      <c r="E1894" s="23">
        <v>40</v>
      </c>
      <c r="F1894" s="23" t="s">
        <v>3550</v>
      </c>
      <c r="G1894" s="23" t="s">
        <v>3551</v>
      </c>
      <c r="H1894" s="24">
        <v>46129</v>
      </c>
      <c r="I1894" s="24">
        <v>46129</v>
      </c>
      <c r="J1894" s="23" t="s">
        <v>92</v>
      </c>
      <c r="K1894" s="23" t="s">
        <v>92</v>
      </c>
      <c r="L1894" s="23">
        <v>50</v>
      </c>
      <c r="M1894" s="23" t="s">
        <v>78</v>
      </c>
      <c r="N1894" s="23" t="s">
        <v>78</v>
      </c>
      <c r="O1894" s="23">
        <v>2122</v>
      </c>
      <c r="P1894" s="23" t="s">
        <v>79</v>
      </c>
      <c r="Q1894" s="23" t="s">
        <v>83</v>
      </c>
      <c r="R1894" s="23">
        <v>11100008</v>
      </c>
      <c r="S1894" s="24">
        <v>46129</v>
      </c>
      <c r="T1894" s="24">
        <v>46073</v>
      </c>
      <c r="U1894" s="24" t="s">
        <v>80</v>
      </c>
      <c r="X1894" s="24">
        <v>46071</v>
      </c>
      <c r="Y1894" s="23">
        <v>1111</v>
      </c>
      <c r="Z1894" s="23">
        <v>11400937</v>
      </c>
      <c r="AA1894" s="23">
        <v>525103</v>
      </c>
      <c r="AB1894" s="24">
        <v>46071</v>
      </c>
    </row>
    <row r="1895" spans="2:28" x14ac:dyDescent="0.2">
      <c r="C1895" s="23">
        <v>1100577403</v>
      </c>
      <c r="E1895" s="23">
        <v>50</v>
      </c>
      <c r="F1895" s="23" t="s">
        <v>2973</v>
      </c>
      <c r="G1895" s="23" t="s">
        <v>2974</v>
      </c>
      <c r="H1895" s="24">
        <v>46129</v>
      </c>
      <c r="I1895" s="24">
        <v>46129</v>
      </c>
      <c r="J1895" s="23" t="s">
        <v>92</v>
      </c>
      <c r="K1895" s="23" t="s">
        <v>92</v>
      </c>
      <c r="L1895" s="23">
        <v>8</v>
      </c>
      <c r="M1895" s="23" t="s">
        <v>78</v>
      </c>
      <c r="N1895" s="23" t="s">
        <v>78</v>
      </c>
      <c r="O1895" s="23">
        <v>14708</v>
      </c>
      <c r="P1895" s="23" t="s">
        <v>79</v>
      </c>
      <c r="Q1895" s="23" t="s">
        <v>83</v>
      </c>
      <c r="R1895" s="23">
        <v>11100008</v>
      </c>
      <c r="S1895" s="24">
        <v>46129</v>
      </c>
      <c r="T1895" s="24">
        <v>46073</v>
      </c>
      <c r="U1895" s="24" t="s">
        <v>80</v>
      </c>
      <c r="X1895" s="24">
        <v>46071</v>
      </c>
      <c r="Y1895" s="23">
        <v>1111</v>
      </c>
      <c r="Z1895" s="23">
        <v>11400937</v>
      </c>
      <c r="AA1895" s="23">
        <v>525103</v>
      </c>
      <c r="AB1895" s="24">
        <v>46071</v>
      </c>
    </row>
    <row r="1896" spans="2:28" x14ac:dyDescent="0.2">
      <c r="B1896" s="23" t="s">
        <v>81</v>
      </c>
      <c r="C1896" s="23">
        <v>1100577403</v>
      </c>
      <c r="H1896" s="24">
        <v>46129</v>
      </c>
      <c r="O1896" s="23">
        <v>22610.080000000002</v>
      </c>
      <c r="P1896" s="23" t="s">
        <v>79</v>
      </c>
    </row>
    <row r="1897" spans="2:28" x14ac:dyDescent="0.2">
      <c r="C1897" s="23">
        <v>1100577416</v>
      </c>
      <c r="E1897" s="23">
        <v>10</v>
      </c>
      <c r="F1897" s="23" t="s">
        <v>2293</v>
      </c>
      <c r="G1897" s="23" t="s">
        <v>2294</v>
      </c>
      <c r="H1897" s="24">
        <v>46129</v>
      </c>
      <c r="I1897" s="24">
        <v>46129</v>
      </c>
      <c r="J1897" s="23" t="s">
        <v>381</v>
      </c>
      <c r="K1897" s="23" t="s">
        <v>381</v>
      </c>
      <c r="L1897" s="23">
        <v>10</v>
      </c>
      <c r="M1897" s="23" t="s">
        <v>78</v>
      </c>
      <c r="N1897" s="23" t="s">
        <v>78</v>
      </c>
      <c r="O1897" s="23">
        <v>4267.5</v>
      </c>
      <c r="P1897" s="23" t="s">
        <v>79</v>
      </c>
      <c r="Q1897" s="23" t="s">
        <v>83</v>
      </c>
      <c r="R1897" s="23">
        <v>11100008</v>
      </c>
      <c r="S1897" s="24">
        <v>46115</v>
      </c>
      <c r="T1897" s="24">
        <v>46073</v>
      </c>
      <c r="U1897" s="24" t="s">
        <v>80</v>
      </c>
      <c r="X1897" s="24">
        <v>46066</v>
      </c>
      <c r="Y1897" s="23">
        <v>1111</v>
      </c>
      <c r="Z1897" s="23">
        <v>11600001</v>
      </c>
      <c r="AA1897" s="23">
        <v>5051</v>
      </c>
      <c r="AB1897" s="24">
        <v>46066</v>
      </c>
    </row>
    <row r="1898" spans="2:28" x14ac:dyDescent="0.2">
      <c r="C1898" s="23">
        <v>1100577416</v>
      </c>
      <c r="E1898" s="23">
        <v>20</v>
      </c>
      <c r="F1898" s="23" t="s">
        <v>82</v>
      </c>
      <c r="G1898" s="23" t="s">
        <v>139</v>
      </c>
      <c r="H1898" s="24">
        <v>46129</v>
      </c>
      <c r="I1898" s="24">
        <v>46129</v>
      </c>
      <c r="J1898" s="23" t="s">
        <v>381</v>
      </c>
      <c r="K1898" s="23" t="s">
        <v>381</v>
      </c>
      <c r="L1898" s="23">
        <v>1</v>
      </c>
      <c r="M1898" s="23" t="s">
        <v>78</v>
      </c>
      <c r="N1898" s="23" t="s">
        <v>78</v>
      </c>
      <c r="O1898" s="23">
        <v>0.01</v>
      </c>
      <c r="P1898" s="23" t="s">
        <v>79</v>
      </c>
      <c r="Q1898" s="23" t="s">
        <v>83</v>
      </c>
      <c r="R1898" s="23">
        <v>11100008</v>
      </c>
      <c r="S1898" s="24">
        <v>46115</v>
      </c>
      <c r="T1898" s="24">
        <v>46073</v>
      </c>
      <c r="U1898" s="24" t="s">
        <v>80</v>
      </c>
      <c r="X1898" s="24">
        <v>46066</v>
      </c>
      <c r="Y1898" s="23">
        <v>1111</v>
      </c>
      <c r="Z1898" s="23">
        <v>11600001</v>
      </c>
      <c r="AA1898" s="23">
        <v>5051</v>
      </c>
      <c r="AB1898" s="24">
        <v>46066</v>
      </c>
    </row>
    <row r="1899" spans="2:28" x14ac:dyDescent="0.2">
      <c r="B1899" s="23" t="s">
        <v>81</v>
      </c>
      <c r="C1899" s="23">
        <v>1100577416</v>
      </c>
      <c r="H1899" s="24">
        <v>46129</v>
      </c>
      <c r="O1899" s="23">
        <v>4267.51</v>
      </c>
      <c r="P1899" s="23" t="s">
        <v>79</v>
      </c>
    </row>
    <row r="1900" spans="2:28" x14ac:dyDescent="0.2">
      <c r="C1900" s="23">
        <v>1100577479</v>
      </c>
      <c r="E1900" s="23">
        <v>10</v>
      </c>
      <c r="F1900" s="23" t="s">
        <v>3581</v>
      </c>
      <c r="G1900" s="23" t="s">
        <v>3582</v>
      </c>
      <c r="H1900" s="24">
        <v>46129</v>
      </c>
      <c r="I1900" s="24">
        <v>46148</v>
      </c>
      <c r="J1900" s="23" t="s">
        <v>1150</v>
      </c>
      <c r="K1900" s="23" t="s">
        <v>1150</v>
      </c>
      <c r="L1900" s="23">
        <v>1</v>
      </c>
      <c r="M1900" s="23" t="s">
        <v>566</v>
      </c>
      <c r="N1900" s="23" t="s">
        <v>566</v>
      </c>
      <c r="O1900" s="23">
        <v>3631.61</v>
      </c>
      <c r="P1900" s="23" t="s">
        <v>79</v>
      </c>
      <c r="Q1900" s="23" t="s">
        <v>83</v>
      </c>
      <c r="R1900" s="23">
        <v>11100176</v>
      </c>
      <c r="S1900" s="24">
        <v>46143</v>
      </c>
      <c r="T1900" s="24">
        <v>46074</v>
      </c>
      <c r="U1900" s="24">
        <v>46148</v>
      </c>
      <c r="X1900" s="24">
        <v>46057</v>
      </c>
      <c r="Y1900" s="23">
        <v>1111</v>
      </c>
      <c r="Z1900" s="23">
        <v>11400937</v>
      </c>
      <c r="AA1900" s="23">
        <v>505103</v>
      </c>
      <c r="AB1900" s="24">
        <v>46056</v>
      </c>
    </row>
    <row r="1901" spans="2:28" x14ac:dyDescent="0.2">
      <c r="C1901" s="23">
        <v>1100577479</v>
      </c>
      <c r="E1901" s="23">
        <v>30</v>
      </c>
      <c r="F1901" s="23" t="s">
        <v>3583</v>
      </c>
      <c r="G1901" s="23" t="s">
        <v>3584</v>
      </c>
      <c r="H1901" s="24">
        <v>46129</v>
      </c>
      <c r="I1901" s="24">
        <v>46129</v>
      </c>
      <c r="J1901" s="23" t="s">
        <v>1150</v>
      </c>
      <c r="K1901" s="23" t="s">
        <v>1150</v>
      </c>
      <c r="L1901" s="23">
        <v>1</v>
      </c>
      <c r="M1901" s="23" t="s">
        <v>78</v>
      </c>
      <c r="N1901" s="23" t="s">
        <v>78</v>
      </c>
      <c r="O1901" s="23">
        <v>2135.98</v>
      </c>
      <c r="P1901" s="23" t="s">
        <v>79</v>
      </c>
      <c r="Q1901" s="23" t="s">
        <v>83</v>
      </c>
      <c r="R1901" s="23">
        <v>11100176</v>
      </c>
      <c r="S1901" s="24">
        <v>46129</v>
      </c>
      <c r="T1901" s="24">
        <v>46074</v>
      </c>
      <c r="U1901" s="24">
        <v>46129</v>
      </c>
      <c r="X1901" s="24">
        <v>46057</v>
      </c>
      <c r="Y1901" s="23">
        <v>1111</v>
      </c>
      <c r="Z1901" s="23">
        <v>11400937</v>
      </c>
      <c r="AA1901" s="23">
        <v>505103</v>
      </c>
      <c r="AB1901" s="24">
        <v>46056</v>
      </c>
    </row>
    <row r="1902" spans="2:28" x14ac:dyDescent="0.2">
      <c r="B1902" s="23" t="s">
        <v>81</v>
      </c>
      <c r="C1902" s="23">
        <v>1100577479</v>
      </c>
      <c r="H1902" s="24">
        <v>46129</v>
      </c>
      <c r="O1902" s="23">
        <v>5767.59</v>
      </c>
      <c r="P1902" s="23" t="s">
        <v>79</v>
      </c>
    </row>
    <row r="1903" spans="2:28" x14ac:dyDescent="0.2">
      <c r="C1903" s="23">
        <v>1100577486</v>
      </c>
      <c r="E1903" s="23">
        <v>10</v>
      </c>
      <c r="F1903" s="23" t="s">
        <v>3585</v>
      </c>
      <c r="G1903" s="23" t="s">
        <v>3586</v>
      </c>
      <c r="H1903" s="24">
        <v>46129</v>
      </c>
      <c r="I1903" s="24">
        <v>46129</v>
      </c>
      <c r="J1903" s="23" t="s">
        <v>1823</v>
      </c>
      <c r="K1903" s="23" t="s">
        <v>1823</v>
      </c>
      <c r="L1903" s="23">
        <v>1</v>
      </c>
      <c r="M1903" s="23" t="s">
        <v>78</v>
      </c>
      <c r="N1903" s="23" t="s">
        <v>78</v>
      </c>
      <c r="O1903" s="23">
        <v>8411.7800000000007</v>
      </c>
      <c r="P1903" s="23" t="s">
        <v>79</v>
      </c>
      <c r="Q1903" s="23" t="s">
        <v>83</v>
      </c>
      <c r="R1903" s="23">
        <v>11100176</v>
      </c>
      <c r="S1903" s="24">
        <v>46129</v>
      </c>
      <c r="T1903" s="24">
        <v>46074</v>
      </c>
      <c r="U1903" s="24" t="s">
        <v>80</v>
      </c>
      <c r="X1903" s="24">
        <v>46069</v>
      </c>
      <c r="Y1903" s="23">
        <v>1111</v>
      </c>
      <c r="Z1903" s="23">
        <v>11600003</v>
      </c>
      <c r="AA1903" s="23">
        <v>3951</v>
      </c>
      <c r="AB1903" s="24">
        <v>46065</v>
      </c>
    </row>
    <row r="1904" spans="2:28" x14ac:dyDescent="0.2">
      <c r="C1904" s="23">
        <v>1100577486</v>
      </c>
      <c r="E1904" s="23">
        <v>20</v>
      </c>
      <c r="F1904" s="23" t="s">
        <v>209</v>
      </c>
      <c r="G1904" s="23" t="s">
        <v>210</v>
      </c>
      <c r="H1904" s="24">
        <v>46129</v>
      </c>
      <c r="I1904" s="24">
        <v>46129</v>
      </c>
      <c r="J1904" s="23" t="s">
        <v>1823</v>
      </c>
      <c r="K1904" s="23" t="s">
        <v>1823</v>
      </c>
      <c r="L1904" s="23">
        <v>1</v>
      </c>
      <c r="M1904" s="23" t="s">
        <v>78</v>
      </c>
      <c r="N1904" s="23" t="s">
        <v>78</v>
      </c>
      <c r="O1904" s="23">
        <v>0.01</v>
      </c>
      <c r="P1904" s="23" t="s">
        <v>79</v>
      </c>
      <c r="Q1904" s="23" t="s">
        <v>83</v>
      </c>
      <c r="R1904" s="23">
        <v>11100176</v>
      </c>
      <c r="S1904" s="24">
        <v>46129</v>
      </c>
      <c r="T1904" s="24">
        <v>46074</v>
      </c>
      <c r="U1904" s="24" t="s">
        <v>80</v>
      </c>
      <c r="X1904" s="24">
        <v>46069</v>
      </c>
      <c r="Y1904" s="23">
        <v>1111</v>
      </c>
      <c r="Z1904" s="23">
        <v>11600003</v>
      </c>
      <c r="AA1904" s="23">
        <v>3951</v>
      </c>
      <c r="AB1904" s="24">
        <v>46065</v>
      </c>
    </row>
    <row r="1905" spans="2:28" x14ac:dyDescent="0.2">
      <c r="B1905" s="23" t="s">
        <v>81</v>
      </c>
      <c r="C1905" s="23">
        <v>1100577486</v>
      </c>
      <c r="H1905" s="24">
        <v>46129</v>
      </c>
      <c r="O1905" s="23">
        <v>8411.7900000000009</v>
      </c>
      <c r="P1905" s="23" t="s">
        <v>79</v>
      </c>
    </row>
    <row r="1906" spans="2:28" x14ac:dyDescent="0.2">
      <c r="C1906" s="23">
        <v>1100577493</v>
      </c>
      <c r="E1906" s="23">
        <v>10</v>
      </c>
      <c r="F1906" s="23" t="s">
        <v>3587</v>
      </c>
      <c r="G1906" s="23" t="s">
        <v>3588</v>
      </c>
      <c r="H1906" s="24">
        <v>46129</v>
      </c>
      <c r="I1906" s="24">
        <v>46129</v>
      </c>
      <c r="J1906" s="23" t="s">
        <v>935</v>
      </c>
      <c r="K1906" s="23" t="s">
        <v>935</v>
      </c>
      <c r="L1906" s="23">
        <v>2</v>
      </c>
      <c r="M1906" s="23" t="s">
        <v>78</v>
      </c>
      <c r="N1906" s="23" t="s">
        <v>78</v>
      </c>
      <c r="O1906" s="23">
        <v>519.74</v>
      </c>
      <c r="P1906" s="23" t="s">
        <v>79</v>
      </c>
      <c r="Q1906" s="23" t="s">
        <v>83</v>
      </c>
      <c r="R1906" s="23">
        <v>11100176</v>
      </c>
      <c r="S1906" s="24">
        <v>46129</v>
      </c>
      <c r="T1906" s="24">
        <v>46074</v>
      </c>
      <c r="U1906" s="24" t="s">
        <v>80</v>
      </c>
      <c r="X1906" s="24">
        <v>46072</v>
      </c>
      <c r="Y1906" s="23">
        <v>1111</v>
      </c>
      <c r="Z1906" s="23">
        <v>11400937</v>
      </c>
      <c r="AA1906" s="23">
        <v>505103</v>
      </c>
      <c r="AB1906" s="24">
        <v>46070</v>
      </c>
    </row>
    <row r="1907" spans="2:28" x14ac:dyDescent="0.2">
      <c r="B1907" s="23" t="s">
        <v>81</v>
      </c>
      <c r="C1907" s="23">
        <v>1100577493</v>
      </c>
      <c r="H1907" s="24">
        <v>46129</v>
      </c>
      <c r="O1907" s="23">
        <v>519.74</v>
      </c>
      <c r="P1907" s="23" t="s">
        <v>79</v>
      </c>
    </row>
    <row r="1908" spans="2:28" x14ac:dyDescent="0.2">
      <c r="C1908" s="23">
        <v>1100578247</v>
      </c>
      <c r="E1908" s="23">
        <v>10</v>
      </c>
      <c r="F1908" s="23" t="s">
        <v>1991</v>
      </c>
      <c r="G1908" s="23" t="s">
        <v>1992</v>
      </c>
      <c r="H1908" s="24">
        <v>46129</v>
      </c>
      <c r="I1908" s="24">
        <v>46129</v>
      </c>
      <c r="J1908" s="23" t="s">
        <v>3589</v>
      </c>
      <c r="K1908" s="23" t="s">
        <v>3589</v>
      </c>
      <c r="L1908" s="23">
        <v>4</v>
      </c>
      <c r="M1908" s="23" t="s">
        <v>78</v>
      </c>
      <c r="N1908" s="23" t="s">
        <v>78</v>
      </c>
      <c r="O1908" s="23">
        <v>429.84</v>
      </c>
      <c r="P1908" s="23" t="s">
        <v>79</v>
      </c>
      <c r="Q1908" s="23" t="s">
        <v>83</v>
      </c>
      <c r="R1908" s="23">
        <v>11100176</v>
      </c>
      <c r="S1908" s="24">
        <v>46122</v>
      </c>
      <c r="T1908" s="24">
        <v>46080</v>
      </c>
      <c r="U1908" s="24">
        <v>47116</v>
      </c>
      <c r="X1908" s="24">
        <v>46080</v>
      </c>
      <c r="Y1908" s="23">
        <v>1111</v>
      </c>
      <c r="Z1908" s="23">
        <v>11600007</v>
      </c>
      <c r="AA1908" s="23">
        <v>335103</v>
      </c>
      <c r="AB1908" s="24">
        <v>46062</v>
      </c>
    </row>
    <row r="1909" spans="2:28" x14ac:dyDescent="0.2">
      <c r="C1909" s="23">
        <v>1100578247</v>
      </c>
      <c r="E1909" s="23">
        <v>20</v>
      </c>
      <c r="F1909" s="23" t="s">
        <v>3590</v>
      </c>
      <c r="G1909" s="23" t="s">
        <v>3591</v>
      </c>
      <c r="H1909" s="24">
        <v>46129</v>
      </c>
      <c r="I1909" s="24">
        <v>46129</v>
      </c>
      <c r="J1909" s="23" t="s">
        <v>3589</v>
      </c>
      <c r="K1909" s="23" t="s">
        <v>3589</v>
      </c>
      <c r="L1909" s="23">
        <v>2</v>
      </c>
      <c r="M1909" s="23" t="s">
        <v>78</v>
      </c>
      <c r="N1909" s="23" t="s">
        <v>78</v>
      </c>
      <c r="O1909" s="23">
        <v>42.22</v>
      </c>
      <c r="P1909" s="23" t="s">
        <v>79</v>
      </c>
      <c r="Q1909" s="23" t="s">
        <v>83</v>
      </c>
      <c r="R1909" s="23">
        <v>11100176</v>
      </c>
      <c r="S1909" s="24">
        <v>46122</v>
      </c>
      <c r="T1909" s="24">
        <v>46080</v>
      </c>
      <c r="U1909" s="24">
        <v>47116</v>
      </c>
      <c r="X1909" s="24">
        <v>46080</v>
      </c>
      <c r="Y1909" s="23">
        <v>1111</v>
      </c>
      <c r="Z1909" s="23">
        <v>11600007</v>
      </c>
      <c r="AA1909" s="23">
        <v>335103</v>
      </c>
      <c r="AB1909" s="24">
        <v>46062</v>
      </c>
    </row>
    <row r="1910" spans="2:28" x14ac:dyDescent="0.2">
      <c r="C1910" s="23">
        <v>1100578247</v>
      </c>
      <c r="E1910" s="23">
        <v>30</v>
      </c>
      <c r="F1910" s="23" t="s">
        <v>1989</v>
      </c>
      <c r="G1910" s="23" t="s">
        <v>1990</v>
      </c>
      <c r="H1910" s="24">
        <v>46129</v>
      </c>
      <c r="I1910" s="24">
        <v>46129</v>
      </c>
      <c r="J1910" s="23" t="s">
        <v>3589</v>
      </c>
      <c r="K1910" s="23" t="s">
        <v>3589</v>
      </c>
      <c r="L1910" s="23">
        <v>1</v>
      </c>
      <c r="M1910" s="23" t="s">
        <v>78</v>
      </c>
      <c r="N1910" s="23" t="s">
        <v>78</v>
      </c>
      <c r="O1910" s="23">
        <v>1417.77</v>
      </c>
      <c r="P1910" s="23" t="s">
        <v>79</v>
      </c>
      <c r="Q1910" s="23" t="s">
        <v>83</v>
      </c>
      <c r="R1910" s="23">
        <v>11100176</v>
      </c>
      <c r="S1910" s="24">
        <v>46122</v>
      </c>
      <c r="T1910" s="24">
        <v>46080</v>
      </c>
      <c r="U1910" s="24">
        <v>47116</v>
      </c>
      <c r="X1910" s="24">
        <v>46080</v>
      </c>
      <c r="Y1910" s="23">
        <v>1111</v>
      </c>
      <c r="Z1910" s="23">
        <v>11600007</v>
      </c>
      <c r="AA1910" s="23">
        <v>335103</v>
      </c>
      <c r="AB1910" s="24">
        <v>46062</v>
      </c>
    </row>
    <row r="1911" spans="2:28" x14ac:dyDescent="0.2">
      <c r="C1911" s="23">
        <v>1100578247</v>
      </c>
      <c r="E1911" s="23">
        <v>40</v>
      </c>
      <c r="F1911" s="23" t="s">
        <v>3450</v>
      </c>
      <c r="G1911" s="23" t="s">
        <v>3592</v>
      </c>
      <c r="H1911" s="24">
        <v>46129</v>
      </c>
      <c r="I1911" s="24">
        <v>46129</v>
      </c>
      <c r="J1911" s="23" t="s">
        <v>3589</v>
      </c>
      <c r="K1911" s="23" t="s">
        <v>3589</v>
      </c>
      <c r="L1911" s="23">
        <v>6</v>
      </c>
      <c r="M1911" s="23" t="s">
        <v>78</v>
      </c>
      <c r="N1911" s="23" t="s">
        <v>78</v>
      </c>
      <c r="O1911" s="23">
        <v>297.72000000000003</v>
      </c>
      <c r="P1911" s="23" t="s">
        <v>79</v>
      </c>
      <c r="Q1911" s="23" t="s">
        <v>83</v>
      </c>
      <c r="R1911" s="23">
        <v>11100176</v>
      </c>
      <c r="S1911" s="24">
        <v>46122</v>
      </c>
      <c r="T1911" s="24">
        <v>46080</v>
      </c>
      <c r="U1911" s="24">
        <v>47116</v>
      </c>
      <c r="X1911" s="24">
        <v>46080</v>
      </c>
      <c r="Y1911" s="23">
        <v>1111</v>
      </c>
      <c r="Z1911" s="23">
        <v>11600007</v>
      </c>
      <c r="AA1911" s="23">
        <v>335103</v>
      </c>
      <c r="AB1911" s="24">
        <v>46062</v>
      </c>
    </row>
    <row r="1912" spans="2:28" x14ac:dyDescent="0.2">
      <c r="C1912" s="23">
        <v>1100578247</v>
      </c>
      <c r="E1912" s="23">
        <v>50</v>
      </c>
      <c r="F1912" s="23" t="s">
        <v>3593</v>
      </c>
      <c r="G1912" s="23" t="s">
        <v>3594</v>
      </c>
      <c r="H1912" s="24">
        <v>46129</v>
      </c>
      <c r="I1912" s="24">
        <v>46129</v>
      </c>
      <c r="J1912" s="23" t="s">
        <v>3589</v>
      </c>
      <c r="K1912" s="23" t="s">
        <v>3589</v>
      </c>
      <c r="L1912" s="23">
        <v>1</v>
      </c>
      <c r="M1912" s="23" t="s">
        <v>32</v>
      </c>
      <c r="N1912" s="23" t="s">
        <v>32</v>
      </c>
      <c r="O1912" s="23">
        <v>13</v>
      </c>
      <c r="P1912" s="23" t="s">
        <v>79</v>
      </c>
      <c r="Q1912" s="23" t="s">
        <v>83</v>
      </c>
      <c r="R1912" s="23">
        <v>11100176</v>
      </c>
      <c r="S1912" s="24">
        <v>46122</v>
      </c>
      <c r="T1912" s="24">
        <v>46080</v>
      </c>
      <c r="U1912" s="24">
        <v>47116</v>
      </c>
      <c r="X1912" s="24">
        <v>46080</v>
      </c>
      <c r="Y1912" s="23">
        <v>1111</v>
      </c>
      <c r="Z1912" s="23">
        <v>11600007</v>
      </c>
      <c r="AA1912" s="23">
        <v>335103</v>
      </c>
      <c r="AB1912" s="24">
        <v>46062</v>
      </c>
    </row>
    <row r="1913" spans="2:28" x14ac:dyDescent="0.2">
      <c r="C1913" s="23">
        <v>1100578247</v>
      </c>
      <c r="E1913" s="23">
        <v>60</v>
      </c>
      <c r="F1913" s="23" t="s">
        <v>785</v>
      </c>
      <c r="G1913" s="23" t="s">
        <v>1768</v>
      </c>
      <c r="H1913" s="24">
        <v>46129</v>
      </c>
      <c r="I1913" s="24">
        <v>46129</v>
      </c>
      <c r="J1913" s="23" t="s">
        <v>3589</v>
      </c>
      <c r="K1913" s="23" t="s">
        <v>3589</v>
      </c>
      <c r="L1913" s="23">
        <v>2</v>
      </c>
      <c r="M1913" s="23" t="s">
        <v>78</v>
      </c>
      <c r="N1913" s="23" t="s">
        <v>78</v>
      </c>
      <c r="O1913" s="23">
        <v>26.32</v>
      </c>
      <c r="P1913" s="23" t="s">
        <v>79</v>
      </c>
      <c r="Q1913" s="23" t="s">
        <v>83</v>
      </c>
      <c r="R1913" s="23">
        <v>11100176</v>
      </c>
      <c r="S1913" s="24">
        <v>46122</v>
      </c>
      <c r="T1913" s="24">
        <v>46080</v>
      </c>
      <c r="U1913" s="24">
        <v>47116</v>
      </c>
      <c r="X1913" s="24">
        <v>46080</v>
      </c>
      <c r="Y1913" s="23">
        <v>1111</v>
      </c>
      <c r="Z1913" s="23">
        <v>11600007</v>
      </c>
      <c r="AA1913" s="23">
        <v>335103</v>
      </c>
      <c r="AB1913" s="24">
        <v>46062</v>
      </c>
    </row>
    <row r="1914" spans="2:28" x14ac:dyDescent="0.2">
      <c r="C1914" s="23">
        <v>1100578247</v>
      </c>
      <c r="E1914" s="23">
        <v>70</v>
      </c>
      <c r="F1914" s="23" t="s">
        <v>3595</v>
      </c>
      <c r="G1914" s="23" t="s">
        <v>3596</v>
      </c>
      <c r="H1914" s="24">
        <v>46129</v>
      </c>
      <c r="I1914" s="24">
        <v>47118</v>
      </c>
      <c r="J1914" s="23" t="s">
        <v>3589</v>
      </c>
      <c r="K1914" s="23" t="s">
        <v>3589</v>
      </c>
      <c r="L1914" s="23">
        <v>2</v>
      </c>
      <c r="M1914" s="23" t="s">
        <v>78</v>
      </c>
      <c r="N1914" s="23" t="s">
        <v>78</v>
      </c>
      <c r="O1914" s="23">
        <v>10.199999999999999</v>
      </c>
      <c r="P1914" s="23" t="s">
        <v>79</v>
      </c>
      <c r="Q1914" s="23" t="s">
        <v>83</v>
      </c>
      <c r="R1914" s="23">
        <v>11100176</v>
      </c>
      <c r="S1914" s="24">
        <v>46122</v>
      </c>
      <c r="T1914" s="24">
        <v>46080</v>
      </c>
      <c r="U1914" s="24">
        <v>47116</v>
      </c>
      <c r="X1914" s="24">
        <v>46080</v>
      </c>
      <c r="Y1914" s="23">
        <v>1111</v>
      </c>
      <c r="Z1914" s="23">
        <v>11600007</v>
      </c>
      <c r="AA1914" s="23">
        <v>335103</v>
      </c>
      <c r="AB1914" s="24">
        <v>46062</v>
      </c>
    </row>
    <row r="1915" spans="2:28" x14ac:dyDescent="0.2">
      <c r="C1915" s="23">
        <v>1100578247</v>
      </c>
      <c r="E1915" s="23">
        <v>80</v>
      </c>
      <c r="F1915" s="23" t="s">
        <v>3597</v>
      </c>
      <c r="G1915" s="23" t="s">
        <v>3598</v>
      </c>
      <c r="H1915" s="24">
        <v>46129</v>
      </c>
      <c r="I1915" s="24">
        <v>46129</v>
      </c>
      <c r="J1915" s="23" t="s">
        <v>3589</v>
      </c>
      <c r="K1915" s="23" t="s">
        <v>3589</v>
      </c>
      <c r="L1915" s="23">
        <v>4</v>
      </c>
      <c r="M1915" s="23" t="s">
        <v>78</v>
      </c>
      <c r="N1915" s="23" t="s">
        <v>78</v>
      </c>
      <c r="O1915" s="23">
        <v>26.32</v>
      </c>
      <c r="P1915" s="23" t="s">
        <v>79</v>
      </c>
      <c r="Q1915" s="23" t="s">
        <v>83</v>
      </c>
      <c r="R1915" s="23">
        <v>11100176</v>
      </c>
      <c r="S1915" s="24">
        <v>46122</v>
      </c>
      <c r="T1915" s="24">
        <v>46080</v>
      </c>
      <c r="U1915" s="24">
        <v>47116</v>
      </c>
      <c r="X1915" s="24">
        <v>46080</v>
      </c>
      <c r="Y1915" s="23">
        <v>1111</v>
      </c>
      <c r="Z1915" s="23">
        <v>11600007</v>
      </c>
      <c r="AA1915" s="23">
        <v>335103</v>
      </c>
      <c r="AB1915" s="24">
        <v>46062</v>
      </c>
    </row>
    <row r="1916" spans="2:28" x14ac:dyDescent="0.2">
      <c r="C1916" s="23">
        <v>1100578247</v>
      </c>
      <c r="E1916" s="23">
        <v>90</v>
      </c>
      <c r="F1916" s="23" t="s">
        <v>3599</v>
      </c>
      <c r="G1916" s="23" t="s">
        <v>3600</v>
      </c>
      <c r="H1916" s="24">
        <v>46129</v>
      </c>
      <c r="I1916" s="24">
        <v>46129</v>
      </c>
      <c r="J1916" s="23" t="s">
        <v>3589</v>
      </c>
      <c r="K1916" s="23" t="s">
        <v>3589</v>
      </c>
      <c r="L1916" s="23">
        <v>2</v>
      </c>
      <c r="M1916" s="23" t="s">
        <v>78</v>
      </c>
      <c r="N1916" s="23" t="s">
        <v>78</v>
      </c>
      <c r="O1916" s="23">
        <v>901.32</v>
      </c>
      <c r="P1916" s="23" t="s">
        <v>79</v>
      </c>
      <c r="Q1916" s="23" t="s">
        <v>83</v>
      </c>
      <c r="R1916" s="23">
        <v>11100176</v>
      </c>
      <c r="S1916" s="24">
        <v>46122</v>
      </c>
      <c r="T1916" s="24">
        <v>46080</v>
      </c>
      <c r="U1916" s="24">
        <v>47116</v>
      </c>
      <c r="X1916" s="24">
        <v>46080</v>
      </c>
      <c r="Y1916" s="23">
        <v>1111</v>
      </c>
      <c r="Z1916" s="23">
        <v>11600007</v>
      </c>
      <c r="AA1916" s="23">
        <v>335103</v>
      </c>
      <c r="AB1916" s="24">
        <v>46062</v>
      </c>
    </row>
    <row r="1917" spans="2:28" x14ac:dyDescent="0.2">
      <c r="C1917" s="23">
        <v>1100578247</v>
      </c>
      <c r="E1917" s="23">
        <v>140</v>
      </c>
      <c r="F1917" s="23" t="s">
        <v>3601</v>
      </c>
      <c r="G1917" s="23" t="s">
        <v>3602</v>
      </c>
      <c r="H1917" s="24">
        <v>46129</v>
      </c>
      <c r="I1917" s="24">
        <v>47118</v>
      </c>
      <c r="J1917" s="23" t="s">
        <v>3589</v>
      </c>
      <c r="K1917" s="23" t="s">
        <v>3589</v>
      </c>
      <c r="L1917" s="23">
        <v>3</v>
      </c>
      <c r="M1917" s="23" t="s">
        <v>78</v>
      </c>
      <c r="N1917" s="23" t="s">
        <v>78</v>
      </c>
      <c r="O1917" s="23">
        <v>18.36</v>
      </c>
      <c r="P1917" s="23" t="s">
        <v>79</v>
      </c>
      <c r="Q1917" s="23" t="s">
        <v>83</v>
      </c>
      <c r="R1917" s="23">
        <v>11100176</v>
      </c>
      <c r="S1917" s="24">
        <v>46122</v>
      </c>
      <c r="T1917" s="24">
        <v>46080</v>
      </c>
      <c r="U1917" s="24">
        <v>47116</v>
      </c>
      <c r="X1917" s="24">
        <v>46080</v>
      </c>
      <c r="Y1917" s="23">
        <v>1111</v>
      </c>
      <c r="Z1917" s="23">
        <v>11600007</v>
      </c>
      <c r="AA1917" s="23">
        <v>335103</v>
      </c>
      <c r="AB1917" s="24">
        <v>46062</v>
      </c>
    </row>
    <row r="1918" spans="2:28" x14ac:dyDescent="0.2">
      <c r="C1918" s="23">
        <v>1100578247</v>
      </c>
      <c r="E1918" s="23">
        <v>160</v>
      </c>
      <c r="F1918" s="23" t="s">
        <v>3603</v>
      </c>
      <c r="G1918" s="23" t="s">
        <v>3604</v>
      </c>
      <c r="H1918" s="24">
        <v>46129</v>
      </c>
      <c r="I1918" s="24">
        <v>47118</v>
      </c>
      <c r="J1918" s="23" t="s">
        <v>3589</v>
      </c>
      <c r="K1918" s="23" t="s">
        <v>3589</v>
      </c>
      <c r="L1918" s="23">
        <v>1</v>
      </c>
      <c r="M1918" s="23" t="s">
        <v>78</v>
      </c>
      <c r="N1918" s="23" t="s">
        <v>78</v>
      </c>
      <c r="O1918" s="23">
        <v>12.06</v>
      </c>
      <c r="P1918" s="23" t="s">
        <v>79</v>
      </c>
      <c r="Q1918" s="23" t="s">
        <v>83</v>
      </c>
      <c r="R1918" s="23">
        <v>11100176</v>
      </c>
      <c r="S1918" s="24">
        <v>46122</v>
      </c>
      <c r="T1918" s="24">
        <v>46080</v>
      </c>
      <c r="U1918" s="24">
        <v>47116</v>
      </c>
      <c r="X1918" s="24">
        <v>46080</v>
      </c>
      <c r="Y1918" s="23">
        <v>1111</v>
      </c>
      <c r="Z1918" s="23">
        <v>11600007</v>
      </c>
      <c r="AA1918" s="23">
        <v>335103</v>
      </c>
      <c r="AB1918" s="24">
        <v>46062</v>
      </c>
    </row>
    <row r="1919" spans="2:28" x14ac:dyDescent="0.2">
      <c r="B1919" s="23" t="s">
        <v>81</v>
      </c>
      <c r="C1919" s="23">
        <v>1100578247</v>
      </c>
      <c r="H1919" s="24">
        <v>46129</v>
      </c>
      <c r="O1919" s="23">
        <v>3195.13</v>
      </c>
      <c r="P1919" s="23" t="s">
        <v>79</v>
      </c>
    </row>
    <row r="1920" spans="2:28" x14ac:dyDescent="0.2">
      <c r="C1920" s="23">
        <v>1100578373</v>
      </c>
      <c r="E1920" s="23">
        <v>30</v>
      </c>
      <c r="F1920" s="23" t="s">
        <v>716</v>
      </c>
      <c r="G1920" s="23" t="s">
        <v>1915</v>
      </c>
      <c r="H1920" s="24">
        <v>46129</v>
      </c>
      <c r="I1920" s="24">
        <v>46129</v>
      </c>
      <c r="J1920" s="23" t="s">
        <v>102</v>
      </c>
      <c r="K1920" s="23" t="s">
        <v>102</v>
      </c>
      <c r="L1920" s="23">
        <v>1</v>
      </c>
      <c r="M1920" s="23" t="s">
        <v>78</v>
      </c>
      <c r="N1920" s="23" t="s">
        <v>78</v>
      </c>
      <c r="O1920" s="23">
        <v>2607.48</v>
      </c>
      <c r="P1920" s="23" t="s">
        <v>79</v>
      </c>
      <c r="Q1920" s="23" t="s">
        <v>83</v>
      </c>
      <c r="R1920" s="23">
        <v>11100176</v>
      </c>
      <c r="S1920" s="24">
        <v>46129</v>
      </c>
      <c r="T1920" s="24">
        <v>46081</v>
      </c>
      <c r="U1920" s="24">
        <v>46129</v>
      </c>
      <c r="X1920" s="24">
        <v>46080</v>
      </c>
      <c r="Y1920" s="23">
        <v>1111</v>
      </c>
      <c r="Z1920" s="23">
        <v>11600003</v>
      </c>
      <c r="AA1920" s="23">
        <v>5151</v>
      </c>
      <c r="AB1920" s="24">
        <v>45979</v>
      </c>
    </row>
    <row r="1921" spans="2:28" x14ac:dyDescent="0.2">
      <c r="B1921" s="23" t="s">
        <v>81</v>
      </c>
      <c r="C1921" s="23">
        <v>1100578373</v>
      </c>
      <c r="H1921" s="24">
        <v>46129</v>
      </c>
      <c r="O1921" s="23">
        <v>2607.48</v>
      </c>
      <c r="P1921" s="23" t="s">
        <v>79</v>
      </c>
    </row>
    <row r="1922" spans="2:28" x14ac:dyDescent="0.2">
      <c r="C1922" s="23">
        <v>1100578447</v>
      </c>
      <c r="E1922" s="23">
        <v>30</v>
      </c>
      <c r="F1922" s="23" t="s">
        <v>767</v>
      </c>
      <c r="G1922" s="23" t="s">
        <v>768</v>
      </c>
      <c r="H1922" s="24">
        <v>46129</v>
      </c>
      <c r="I1922" s="24">
        <v>46129</v>
      </c>
      <c r="J1922" s="23" t="s">
        <v>3605</v>
      </c>
      <c r="K1922" s="23" t="s">
        <v>3605</v>
      </c>
      <c r="L1922" s="23">
        <v>8</v>
      </c>
      <c r="M1922" s="23" t="s">
        <v>78</v>
      </c>
      <c r="N1922" s="23" t="s">
        <v>78</v>
      </c>
      <c r="O1922" s="23">
        <v>1289.52</v>
      </c>
      <c r="P1922" s="23" t="s">
        <v>79</v>
      </c>
      <c r="Q1922" s="23" t="s">
        <v>83</v>
      </c>
      <c r="R1922" s="23">
        <v>11100176</v>
      </c>
      <c r="S1922" s="24">
        <v>46118</v>
      </c>
      <c r="T1922" s="24">
        <v>46083</v>
      </c>
      <c r="U1922" s="24" t="s">
        <v>80</v>
      </c>
      <c r="X1922" s="24">
        <v>46079</v>
      </c>
      <c r="Y1922" s="23">
        <v>1111</v>
      </c>
      <c r="Z1922" s="23">
        <v>11600001</v>
      </c>
      <c r="AA1922" s="23">
        <v>335103</v>
      </c>
      <c r="AB1922" s="24">
        <v>46080</v>
      </c>
    </row>
    <row r="1923" spans="2:28" x14ac:dyDescent="0.2">
      <c r="C1923" s="23">
        <v>1100578447</v>
      </c>
      <c r="E1923" s="23">
        <v>40</v>
      </c>
      <c r="F1923" s="23" t="s">
        <v>3606</v>
      </c>
      <c r="G1923" s="23" t="s">
        <v>3607</v>
      </c>
      <c r="H1923" s="24">
        <v>46129</v>
      </c>
      <c r="I1923" s="24">
        <v>46129</v>
      </c>
      <c r="J1923" s="23" t="s">
        <v>3605</v>
      </c>
      <c r="K1923" s="23" t="s">
        <v>3605</v>
      </c>
      <c r="L1923" s="23">
        <v>1</v>
      </c>
      <c r="M1923" s="23" t="s">
        <v>78</v>
      </c>
      <c r="N1923" s="23" t="s">
        <v>78</v>
      </c>
      <c r="O1923" s="23">
        <v>1639.27</v>
      </c>
      <c r="P1923" s="23" t="s">
        <v>79</v>
      </c>
      <c r="Q1923" s="23" t="s">
        <v>83</v>
      </c>
      <c r="R1923" s="23">
        <v>11100176</v>
      </c>
      <c r="S1923" s="24">
        <v>46118</v>
      </c>
      <c r="T1923" s="24">
        <v>46083</v>
      </c>
      <c r="U1923" s="24" t="s">
        <v>80</v>
      </c>
      <c r="X1923" s="24">
        <v>46079</v>
      </c>
      <c r="Y1923" s="23">
        <v>1111</v>
      </c>
      <c r="Z1923" s="23">
        <v>11600001</v>
      </c>
      <c r="AA1923" s="23">
        <v>335103</v>
      </c>
      <c r="AB1923" s="24">
        <v>46080</v>
      </c>
    </row>
    <row r="1924" spans="2:28" x14ac:dyDescent="0.2">
      <c r="C1924" s="23">
        <v>1100578447</v>
      </c>
      <c r="E1924" s="23">
        <v>50</v>
      </c>
      <c r="F1924" s="23" t="s">
        <v>82</v>
      </c>
      <c r="G1924" s="23" t="s">
        <v>139</v>
      </c>
      <c r="H1924" s="24">
        <v>46129</v>
      </c>
      <c r="I1924" s="24">
        <v>46129</v>
      </c>
      <c r="J1924" s="23" t="s">
        <v>3605</v>
      </c>
      <c r="K1924" s="23" t="s">
        <v>3605</v>
      </c>
      <c r="L1924" s="23">
        <v>1</v>
      </c>
      <c r="M1924" s="23" t="s">
        <v>78</v>
      </c>
      <c r="N1924" s="23" t="s">
        <v>78</v>
      </c>
      <c r="O1924" s="23">
        <v>0.01</v>
      </c>
      <c r="P1924" s="23" t="s">
        <v>79</v>
      </c>
      <c r="Q1924" s="23" t="s">
        <v>83</v>
      </c>
      <c r="R1924" s="23">
        <v>11100176</v>
      </c>
      <c r="S1924" s="24">
        <v>46118</v>
      </c>
      <c r="T1924" s="24">
        <v>46083</v>
      </c>
      <c r="U1924" s="24" t="s">
        <v>80</v>
      </c>
      <c r="X1924" s="24">
        <v>46079</v>
      </c>
      <c r="Y1924" s="23">
        <v>1111</v>
      </c>
      <c r="Z1924" s="23">
        <v>11600001</v>
      </c>
      <c r="AA1924" s="23">
        <v>335103</v>
      </c>
      <c r="AB1924" s="24">
        <v>46080</v>
      </c>
    </row>
    <row r="1925" spans="2:28" x14ac:dyDescent="0.2">
      <c r="B1925" s="23" t="s">
        <v>81</v>
      </c>
      <c r="C1925" s="23">
        <v>1100578447</v>
      </c>
      <c r="H1925" s="24">
        <v>46129</v>
      </c>
      <c r="O1925" s="23">
        <v>2928.8</v>
      </c>
      <c r="P1925" s="23" t="s">
        <v>79</v>
      </c>
    </row>
    <row r="1926" spans="2:28" x14ac:dyDescent="0.2">
      <c r="C1926" s="23">
        <v>1100576415</v>
      </c>
      <c r="E1926" s="23">
        <v>10</v>
      </c>
      <c r="F1926" s="23" t="s">
        <v>3608</v>
      </c>
      <c r="G1926" s="23" t="s">
        <v>3609</v>
      </c>
      <c r="H1926" s="24">
        <v>46131</v>
      </c>
      <c r="I1926" s="24">
        <v>46131</v>
      </c>
      <c r="J1926" s="23" t="s">
        <v>1910</v>
      </c>
      <c r="K1926" s="23" t="s">
        <v>1910</v>
      </c>
      <c r="L1926" s="23">
        <v>1</v>
      </c>
      <c r="M1926" s="23" t="s">
        <v>78</v>
      </c>
      <c r="N1926" s="23" t="s">
        <v>78</v>
      </c>
      <c r="O1926" s="23">
        <v>5529.46</v>
      </c>
      <c r="P1926" s="23" t="s">
        <v>79</v>
      </c>
      <c r="Q1926" s="23" t="s">
        <v>83</v>
      </c>
      <c r="R1926" s="23">
        <v>11100176</v>
      </c>
      <c r="S1926" s="24">
        <v>46119</v>
      </c>
      <c r="T1926" s="24">
        <v>46063</v>
      </c>
      <c r="U1926" s="24" t="s">
        <v>80</v>
      </c>
      <c r="X1926" s="24">
        <v>46062</v>
      </c>
      <c r="Y1926" s="23">
        <v>1111</v>
      </c>
      <c r="Z1926" s="23">
        <v>11600001</v>
      </c>
      <c r="AA1926" s="23">
        <v>3951</v>
      </c>
      <c r="AB1926" s="24">
        <v>46043</v>
      </c>
    </row>
    <row r="1927" spans="2:28" x14ac:dyDescent="0.2">
      <c r="C1927" s="23">
        <v>1100576415</v>
      </c>
      <c r="E1927" s="23">
        <v>20</v>
      </c>
      <c r="F1927" s="23" t="s">
        <v>3610</v>
      </c>
      <c r="G1927" s="23" t="s">
        <v>3611</v>
      </c>
      <c r="H1927" s="24">
        <v>46131</v>
      </c>
      <c r="I1927" s="24">
        <v>46131</v>
      </c>
      <c r="J1927" s="23" t="s">
        <v>1910</v>
      </c>
      <c r="K1927" s="23" t="s">
        <v>1910</v>
      </c>
      <c r="L1927" s="23">
        <v>1</v>
      </c>
      <c r="M1927" s="23" t="s">
        <v>78</v>
      </c>
      <c r="N1927" s="23" t="s">
        <v>78</v>
      </c>
      <c r="O1927" s="23">
        <v>683.74</v>
      </c>
      <c r="P1927" s="23" t="s">
        <v>79</v>
      </c>
      <c r="Q1927" s="23" t="s">
        <v>83</v>
      </c>
      <c r="R1927" s="23">
        <v>11100176</v>
      </c>
      <c r="S1927" s="24">
        <v>46119</v>
      </c>
      <c r="T1927" s="24">
        <v>46063</v>
      </c>
      <c r="U1927" s="24" t="s">
        <v>80</v>
      </c>
      <c r="X1927" s="24">
        <v>46062</v>
      </c>
      <c r="Y1927" s="23">
        <v>1111</v>
      </c>
      <c r="Z1927" s="23">
        <v>11600001</v>
      </c>
      <c r="AA1927" s="23">
        <v>3951</v>
      </c>
      <c r="AB1927" s="24">
        <v>46043</v>
      </c>
    </row>
    <row r="1928" spans="2:28" x14ac:dyDescent="0.2">
      <c r="B1928" s="23" t="s">
        <v>81</v>
      </c>
      <c r="C1928" s="23">
        <v>1100576415</v>
      </c>
      <c r="H1928" s="24">
        <v>46131</v>
      </c>
      <c r="O1928" s="23">
        <v>6213.2</v>
      </c>
      <c r="P1928" s="23" t="s">
        <v>79</v>
      </c>
    </row>
    <row r="1929" spans="2:28" x14ac:dyDescent="0.2">
      <c r="C1929" s="23">
        <v>1100571536</v>
      </c>
      <c r="E1929" s="23">
        <v>10</v>
      </c>
      <c r="F1929" s="23" t="s">
        <v>3612</v>
      </c>
      <c r="G1929" s="23" t="s">
        <v>484</v>
      </c>
      <c r="H1929" s="24">
        <v>46132</v>
      </c>
      <c r="I1929" s="24">
        <v>46132</v>
      </c>
      <c r="J1929" s="23" t="s">
        <v>876</v>
      </c>
      <c r="K1929" s="23" t="s">
        <v>876</v>
      </c>
      <c r="L1929" s="23">
        <v>1</v>
      </c>
      <c r="M1929" s="23" t="s">
        <v>78</v>
      </c>
      <c r="N1929" s="23" t="s">
        <v>78</v>
      </c>
      <c r="O1929" s="23">
        <v>8210</v>
      </c>
      <c r="P1929" s="23" t="s">
        <v>79</v>
      </c>
      <c r="Q1929" s="23" t="s">
        <v>83</v>
      </c>
      <c r="R1929" s="23">
        <v>11100008</v>
      </c>
      <c r="S1929" s="24">
        <v>46077</v>
      </c>
      <c r="T1929" s="24">
        <v>46007</v>
      </c>
      <c r="U1929" s="24" t="s">
        <v>80</v>
      </c>
      <c r="X1929" s="24">
        <v>45976</v>
      </c>
      <c r="Y1929" s="23">
        <v>1111</v>
      </c>
      <c r="Z1929" s="23">
        <v>11400124</v>
      </c>
      <c r="AA1929" s="23">
        <v>335803</v>
      </c>
      <c r="AB1929" s="24">
        <v>46752</v>
      </c>
    </row>
    <row r="1930" spans="2:28" x14ac:dyDescent="0.2">
      <c r="C1930" s="23">
        <v>1100571536</v>
      </c>
      <c r="E1930" s="23">
        <v>20</v>
      </c>
      <c r="F1930" s="23" t="s">
        <v>84</v>
      </c>
      <c r="G1930" s="23" t="s">
        <v>123</v>
      </c>
      <c r="H1930" s="24">
        <v>46132</v>
      </c>
      <c r="I1930" s="24">
        <v>46132</v>
      </c>
      <c r="J1930" s="23" t="s">
        <v>876</v>
      </c>
      <c r="K1930" s="23" t="s">
        <v>876</v>
      </c>
      <c r="L1930" s="23">
        <v>1</v>
      </c>
      <c r="M1930" s="23" t="s">
        <v>78</v>
      </c>
      <c r="N1930" s="23" t="s">
        <v>78</v>
      </c>
      <c r="O1930" s="23">
        <v>0.01</v>
      </c>
      <c r="P1930" s="23" t="s">
        <v>79</v>
      </c>
      <c r="Q1930" s="23" t="s">
        <v>83</v>
      </c>
      <c r="R1930" s="23">
        <v>11100008</v>
      </c>
      <c r="S1930" s="24">
        <v>46077</v>
      </c>
      <c r="T1930" s="24">
        <v>46007</v>
      </c>
      <c r="U1930" s="24" t="s">
        <v>80</v>
      </c>
      <c r="X1930" s="24">
        <v>45976</v>
      </c>
      <c r="Y1930" s="23">
        <v>1111</v>
      </c>
      <c r="Z1930" s="23">
        <v>11400124</v>
      </c>
      <c r="AA1930" s="23">
        <v>335803</v>
      </c>
      <c r="AB1930" s="24">
        <v>46752</v>
      </c>
    </row>
    <row r="1931" spans="2:28" x14ac:dyDescent="0.2">
      <c r="C1931" s="23">
        <v>1100571536</v>
      </c>
      <c r="E1931" s="23">
        <v>30</v>
      </c>
      <c r="F1931" s="23" t="s">
        <v>96</v>
      </c>
      <c r="G1931" s="23" t="s">
        <v>97</v>
      </c>
      <c r="H1931" s="24">
        <v>46132</v>
      </c>
      <c r="I1931" s="24">
        <v>46132</v>
      </c>
      <c r="J1931" s="23" t="s">
        <v>876</v>
      </c>
      <c r="K1931" s="23" t="s">
        <v>876</v>
      </c>
      <c r="L1931" s="23">
        <v>1</v>
      </c>
      <c r="M1931" s="23" t="s">
        <v>78</v>
      </c>
      <c r="N1931" s="23" t="s">
        <v>78</v>
      </c>
      <c r="O1931" s="23">
        <v>0.01</v>
      </c>
      <c r="P1931" s="23" t="s">
        <v>79</v>
      </c>
      <c r="Q1931" s="23" t="s">
        <v>83</v>
      </c>
      <c r="R1931" s="23">
        <v>11100008</v>
      </c>
      <c r="S1931" s="24">
        <v>46077</v>
      </c>
      <c r="T1931" s="24">
        <v>46007</v>
      </c>
      <c r="U1931" s="24" t="s">
        <v>80</v>
      </c>
      <c r="X1931" s="24">
        <v>45976</v>
      </c>
      <c r="Y1931" s="23">
        <v>1111</v>
      </c>
      <c r="Z1931" s="23">
        <v>11400124</v>
      </c>
      <c r="AA1931" s="23">
        <v>335803</v>
      </c>
      <c r="AB1931" s="24">
        <v>46752</v>
      </c>
    </row>
    <row r="1932" spans="2:28" x14ac:dyDescent="0.2">
      <c r="B1932" s="23" t="s">
        <v>81</v>
      </c>
      <c r="C1932" s="23">
        <v>1100571536</v>
      </c>
      <c r="H1932" s="24">
        <v>46132</v>
      </c>
      <c r="O1932" s="23">
        <v>8210.02</v>
      </c>
      <c r="P1932" s="23" t="s">
        <v>79</v>
      </c>
    </row>
    <row r="1933" spans="2:28" x14ac:dyDescent="0.2">
      <c r="C1933" s="23">
        <v>1100573060</v>
      </c>
      <c r="E1933" s="23">
        <v>10</v>
      </c>
      <c r="F1933" s="23" t="s">
        <v>2044</v>
      </c>
      <c r="G1933" s="23" t="s">
        <v>2045</v>
      </c>
      <c r="H1933" s="24">
        <v>46132</v>
      </c>
      <c r="I1933" s="24">
        <v>46132</v>
      </c>
      <c r="J1933" s="23" t="s">
        <v>2046</v>
      </c>
      <c r="K1933" s="23" t="s">
        <v>2046</v>
      </c>
      <c r="L1933" s="23">
        <v>4</v>
      </c>
      <c r="M1933" s="23" t="s">
        <v>78</v>
      </c>
      <c r="N1933" s="23" t="s">
        <v>78</v>
      </c>
      <c r="O1933" s="23">
        <v>4859.68</v>
      </c>
      <c r="P1933" s="23" t="s">
        <v>79</v>
      </c>
      <c r="Q1933" s="23" t="s">
        <v>83</v>
      </c>
      <c r="R1933" s="23">
        <v>11100176</v>
      </c>
      <c r="S1933" s="24">
        <v>46072</v>
      </c>
      <c r="T1933" s="24">
        <v>46030</v>
      </c>
      <c r="U1933" s="24">
        <v>47116</v>
      </c>
      <c r="X1933" s="24">
        <v>46024</v>
      </c>
      <c r="Y1933" s="23">
        <v>1111</v>
      </c>
      <c r="Z1933" s="23">
        <v>11600001</v>
      </c>
      <c r="AA1933" s="23">
        <v>335103</v>
      </c>
      <c r="AB1933" s="24">
        <v>46027</v>
      </c>
    </row>
    <row r="1934" spans="2:28" x14ac:dyDescent="0.2">
      <c r="B1934" s="23" t="s">
        <v>81</v>
      </c>
      <c r="C1934" s="23">
        <v>1100573060</v>
      </c>
      <c r="H1934" s="24">
        <v>46132</v>
      </c>
      <c r="O1934" s="23">
        <v>4859.68</v>
      </c>
      <c r="P1934" s="23" t="s">
        <v>79</v>
      </c>
    </row>
    <row r="1935" spans="2:28" x14ac:dyDescent="0.2">
      <c r="C1935" s="23">
        <v>1100573341</v>
      </c>
      <c r="E1935" s="23">
        <v>10</v>
      </c>
      <c r="F1935" s="23" t="s">
        <v>3613</v>
      </c>
      <c r="G1935" s="23" t="s">
        <v>3614</v>
      </c>
      <c r="H1935" s="24">
        <v>46132</v>
      </c>
      <c r="I1935" s="24">
        <v>46132</v>
      </c>
      <c r="J1935" s="23" t="s">
        <v>1163</v>
      </c>
      <c r="K1935" s="23" t="s">
        <v>1163</v>
      </c>
      <c r="L1935" s="23">
        <v>1</v>
      </c>
      <c r="M1935" s="23" t="s">
        <v>78</v>
      </c>
      <c r="N1935" s="23" t="s">
        <v>78</v>
      </c>
      <c r="O1935" s="23">
        <v>2587</v>
      </c>
      <c r="P1935" s="23" t="s">
        <v>79</v>
      </c>
      <c r="Q1935" s="23" t="s">
        <v>83</v>
      </c>
      <c r="R1935" s="23">
        <v>11100176</v>
      </c>
      <c r="S1935" s="24">
        <v>46087</v>
      </c>
      <c r="T1935" s="24">
        <v>46031</v>
      </c>
      <c r="U1935" s="24" t="s">
        <v>80</v>
      </c>
      <c r="X1935" s="24">
        <v>46031</v>
      </c>
      <c r="Y1935" s="23">
        <v>1111</v>
      </c>
      <c r="Z1935" s="23">
        <v>11400124</v>
      </c>
      <c r="AA1935" s="23">
        <v>3358</v>
      </c>
      <c r="AB1935" s="24">
        <v>47118</v>
      </c>
    </row>
    <row r="1936" spans="2:28" x14ac:dyDescent="0.2">
      <c r="C1936" s="23">
        <v>1100573341</v>
      </c>
      <c r="E1936" s="23">
        <v>20</v>
      </c>
      <c r="F1936" s="23" t="s">
        <v>84</v>
      </c>
      <c r="G1936" s="23" t="s">
        <v>123</v>
      </c>
      <c r="H1936" s="24">
        <v>46132</v>
      </c>
      <c r="I1936" s="24">
        <v>46132</v>
      </c>
      <c r="J1936" s="23" t="s">
        <v>1163</v>
      </c>
      <c r="K1936" s="23" t="s">
        <v>1163</v>
      </c>
      <c r="L1936" s="23">
        <v>1</v>
      </c>
      <c r="M1936" s="23" t="s">
        <v>78</v>
      </c>
      <c r="N1936" s="23" t="s">
        <v>78</v>
      </c>
      <c r="O1936" s="23">
        <v>0.01</v>
      </c>
      <c r="P1936" s="23" t="s">
        <v>79</v>
      </c>
      <c r="Q1936" s="23" t="s">
        <v>83</v>
      </c>
      <c r="R1936" s="23">
        <v>11100176</v>
      </c>
      <c r="S1936" s="24">
        <v>46087</v>
      </c>
      <c r="T1936" s="24">
        <v>46031</v>
      </c>
      <c r="U1936" s="24" t="s">
        <v>80</v>
      </c>
      <c r="X1936" s="24">
        <v>46031</v>
      </c>
      <c r="Y1936" s="23">
        <v>1111</v>
      </c>
      <c r="Z1936" s="23">
        <v>11400124</v>
      </c>
      <c r="AA1936" s="23">
        <v>3358</v>
      </c>
      <c r="AB1936" s="24">
        <v>47118</v>
      </c>
    </row>
    <row r="1937" spans="2:28" x14ac:dyDescent="0.2">
      <c r="C1937" s="23">
        <v>1100573341</v>
      </c>
      <c r="E1937" s="23">
        <v>30</v>
      </c>
      <c r="F1937" s="23" t="s">
        <v>96</v>
      </c>
      <c r="G1937" s="23" t="s">
        <v>97</v>
      </c>
      <c r="H1937" s="24">
        <v>46132</v>
      </c>
      <c r="I1937" s="24">
        <v>46132</v>
      </c>
      <c r="J1937" s="23" t="s">
        <v>1163</v>
      </c>
      <c r="K1937" s="23" t="s">
        <v>1163</v>
      </c>
      <c r="L1937" s="23">
        <v>1</v>
      </c>
      <c r="M1937" s="23" t="s">
        <v>78</v>
      </c>
      <c r="N1937" s="23" t="s">
        <v>78</v>
      </c>
      <c r="O1937" s="23">
        <v>0.01</v>
      </c>
      <c r="P1937" s="23" t="s">
        <v>79</v>
      </c>
      <c r="Q1937" s="23" t="s">
        <v>83</v>
      </c>
      <c r="R1937" s="23">
        <v>11100176</v>
      </c>
      <c r="S1937" s="24">
        <v>46087</v>
      </c>
      <c r="T1937" s="24">
        <v>46031</v>
      </c>
      <c r="U1937" s="24" t="s">
        <v>80</v>
      </c>
      <c r="X1937" s="24">
        <v>46031</v>
      </c>
      <c r="Y1937" s="23">
        <v>1111</v>
      </c>
      <c r="Z1937" s="23">
        <v>11400124</v>
      </c>
      <c r="AA1937" s="23">
        <v>3358</v>
      </c>
      <c r="AB1937" s="24">
        <v>47118</v>
      </c>
    </row>
    <row r="1938" spans="2:28" x14ac:dyDescent="0.2">
      <c r="B1938" s="23" t="s">
        <v>81</v>
      </c>
      <c r="C1938" s="23">
        <v>1100573341</v>
      </c>
      <c r="H1938" s="24">
        <v>46132</v>
      </c>
      <c r="O1938" s="23">
        <v>2587.02</v>
      </c>
      <c r="P1938" s="23" t="s">
        <v>79</v>
      </c>
    </row>
    <row r="1939" spans="2:28" x14ac:dyDescent="0.2">
      <c r="C1939" s="23">
        <v>1100574394</v>
      </c>
      <c r="E1939" s="23">
        <v>10</v>
      </c>
      <c r="F1939" s="23" t="s">
        <v>1912</v>
      </c>
      <c r="G1939" s="23" t="s">
        <v>888</v>
      </c>
      <c r="H1939" s="24">
        <v>46132</v>
      </c>
      <c r="I1939" s="24">
        <v>46132</v>
      </c>
      <c r="J1939" s="23" t="s">
        <v>168</v>
      </c>
      <c r="K1939" s="23" t="s">
        <v>168</v>
      </c>
      <c r="L1939" s="23">
        <v>1</v>
      </c>
      <c r="M1939" s="23" t="s">
        <v>78</v>
      </c>
      <c r="N1939" s="23" t="s">
        <v>78</v>
      </c>
      <c r="O1939" s="23">
        <v>21549</v>
      </c>
      <c r="P1939" s="23" t="s">
        <v>79</v>
      </c>
      <c r="Q1939" s="23" t="s">
        <v>83</v>
      </c>
      <c r="R1939" s="23">
        <v>11100176</v>
      </c>
      <c r="S1939" s="24">
        <v>46127</v>
      </c>
      <c r="T1939" s="24">
        <v>46044</v>
      </c>
      <c r="U1939" s="24" t="s">
        <v>80</v>
      </c>
      <c r="X1939" s="24">
        <v>46042</v>
      </c>
      <c r="Y1939" s="23">
        <v>1111</v>
      </c>
      <c r="Z1939" s="23">
        <v>11400745</v>
      </c>
      <c r="AA1939" s="23">
        <v>525103</v>
      </c>
      <c r="AB1939" s="24">
        <v>46042</v>
      </c>
    </row>
    <row r="1940" spans="2:28" x14ac:dyDescent="0.2">
      <c r="C1940" s="23">
        <v>1100574394</v>
      </c>
      <c r="E1940" s="23">
        <v>20</v>
      </c>
      <c r="F1940" s="23" t="s">
        <v>82</v>
      </c>
      <c r="G1940" s="23" t="s">
        <v>139</v>
      </c>
      <c r="H1940" s="24">
        <v>46132</v>
      </c>
      <c r="I1940" s="24">
        <v>46132</v>
      </c>
      <c r="J1940" s="23" t="s">
        <v>168</v>
      </c>
      <c r="K1940" s="23" t="s">
        <v>168</v>
      </c>
      <c r="L1940" s="23">
        <v>1</v>
      </c>
      <c r="M1940" s="23" t="s">
        <v>78</v>
      </c>
      <c r="N1940" s="23" t="s">
        <v>78</v>
      </c>
      <c r="O1940" s="23">
        <v>0.01</v>
      </c>
      <c r="P1940" s="23" t="s">
        <v>79</v>
      </c>
      <c r="Q1940" s="23" t="s">
        <v>83</v>
      </c>
      <c r="R1940" s="23">
        <v>11100176</v>
      </c>
      <c r="S1940" s="24" t="s">
        <v>80</v>
      </c>
      <c r="T1940" s="24">
        <v>46044</v>
      </c>
      <c r="U1940" s="24" t="s">
        <v>80</v>
      </c>
      <c r="X1940" s="24">
        <v>46042</v>
      </c>
      <c r="Y1940" s="23">
        <v>1111</v>
      </c>
      <c r="Z1940" s="23">
        <v>11400745</v>
      </c>
      <c r="AA1940" s="23">
        <v>525103</v>
      </c>
      <c r="AB1940" s="24">
        <v>46042</v>
      </c>
    </row>
    <row r="1941" spans="2:28" x14ac:dyDescent="0.2">
      <c r="B1941" s="23" t="s">
        <v>81</v>
      </c>
      <c r="C1941" s="23">
        <v>1100574394</v>
      </c>
      <c r="H1941" s="24">
        <v>46132</v>
      </c>
      <c r="O1941" s="23">
        <v>21549.01</v>
      </c>
      <c r="P1941" s="23" t="s">
        <v>79</v>
      </c>
    </row>
    <row r="1942" spans="2:28" x14ac:dyDescent="0.2">
      <c r="C1942" s="23">
        <v>1100574679</v>
      </c>
      <c r="E1942" s="23">
        <v>10</v>
      </c>
      <c r="F1942" s="23" t="s">
        <v>3615</v>
      </c>
      <c r="G1942" s="23" t="s">
        <v>3616</v>
      </c>
      <c r="H1942" s="24">
        <v>46132</v>
      </c>
      <c r="I1942" s="24">
        <v>46132</v>
      </c>
      <c r="J1942" s="23" t="s">
        <v>3617</v>
      </c>
      <c r="K1942" s="23" t="s">
        <v>3617</v>
      </c>
      <c r="L1942" s="23">
        <v>1</v>
      </c>
      <c r="M1942" s="23" t="s">
        <v>78</v>
      </c>
      <c r="N1942" s="23" t="s">
        <v>78</v>
      </c>
      <c r="O1942" s="23">
        <v>1346.17</v>
      </c>
      <c r="P1942" s="23" t="s">
        <v>79</v>
      </c>
      <c r="Q1942" s="23" t="s">
        <v>83</v>
      </c>
      <c r="R1942" s="23">
        <v>11100176</v>
      </c>
      <c r="S1942" s="24">
        <v>46087</v>
      </c>
      <c r="T1942" s="24">
        <v>46045</v>
      </c>
      <c r="U1942" s="24" t="s">
        <v>80</v>
      </c>
      <c r="X1942" s="24">
        <v>46045</v>
      </c>
      <c r="Y1942" s="23">
        <v>1111</v>
      </c>
      <c r="Z1942" s="23">
        <v>11400606</v>
      </c>
      <c r="AA1942" s="23">
        <v>3351</v>
      </c>
      <c r="AB1942" s="24">
        <v>46034</v>
      </c>
    </row>
    <row r="1943" spans="2:28" x14ac:dyDescent="0.2">
      <c r="C1943" s="23">
        <v>1100574679</v>
      </c>
      <c r="E1943" s="23">
        <v>20</v>
      </c>
      <c r="F1943" s="23" t="s">
        <v>82</v>
      </c>
      <c r="G1943" s="23" t="s">
        <v>139</v>
      </c>
      <c r="H1943" s="24">
        <v>46132</v>
      </c>
      <c r="I1943" s="24">
        <v>46132</v>
      </c>
      <c r="J1943" s="23" t="s">
        <v>3617</v>
      </c>
      <c r="K1943" s="23" t="s">
        <v>3617</v>
      </c>
      <c r="L1943" s="23">
        <v>1</v>
      </c>
      <c r="M1943" s="23" t="s">
        <v>78</v>
      </c>
      <c r="N1943" s="23" t="s">
        <v>78</v>
      </c>
      <c r="O1943" s="23">
        <v>0.01</v>
      </c>
      <c r="P1943" s="23" t="s">
        <v>79</v>
      </c>
      <c r="Q1943" s="23" t="s">
        <v>83</v>
      </c>
      <c r="R1943" s="23">
        <v>11100176</v>
      </c>
      <c r="S1943" s="24" t="s">
        <v>80</v>
      </c>
      <c r="T1943" s="24">
        <v>46045</v>
      </c>
      <c r="U1943" s="24" t="s">
        <v>80</v>
      </c>
      <c r="X1943" s="24">
        <v>46045</v>
      </c>
      <c r="Y1943" s="23">
        <v>1111</v>
      </c>
      <c r="Z1943" s="23">
        <v>11400606</v>
      </c>
      <c r="AA1943" s="23">
        <v>3351</v>
      </c>
      <c r="AB1943" s="24">
        <v>46034</v>
      </c>
    </row>
    <row r="1944" spans="2:28" x14ac:dyDescent="0.2">
      <c r="B1944" s="23" t="s">
        <v>81</v>
      </c>
      <c r="C1944" s="23">
        <v>1100574679</v>
      </c>
      <c r="H1944" s="24">
        <v>46132</v>
      </c>
      <c r="O1944" s="23">
        <v>1346.18</v>
      </c>
      <c r="P1944" s="23" t="s">
        <v>79</v>
      </c>
    </row>
    <row r="1945" spans="2:28" x14ac:dyDescent="0.2">
      <c r="C1945" s="23">
        <v>1100574764</v>
      </c>
      <c r="E1945" s="23">
        <v>10</v>
      </c>
      <c r="F1945" s="23" t="s">
        <v>3618</v>
      </c>
      <c r="G1945" s="23" t="s">
        <v>3619</v>
      </c>
      <c r="H1945" s="24">
        <v>46132</v>
      </c>
      <c r="I1945" s="24">
        <v>46132</v>
      </c>
      <c r="J1945" s="23" t="s">
        <v>3620</v>
      </c>
      <c r="K1945" s="23" t="s">
        <v>3620</v>
      </c>
      <c r="L1945" s="23">
        <v>1</v>
      </c>
      <c r="M1945" s="23" t="s">
        <v>78</v>
      </c>
      <c r="N1945" s="23" t="s">
        <v>78</v>
      </c>
      <c r="O1945" s="23">
        <v>3384.12</v>
      </c>
      <c r="P1945" s="23" t="s">
        <v>79</v>
      </c>
      <c r="Q1945" s="23" t="s">
        <v>83</v>
      </c>
      <c r="R1945" s="23">
        <v>11100176</v>
      </c>
      <c r="S1945" s="24">
        <v>46118</v>
      </c>
      <c r="T1945" s="24">
        <v>46046</v>
      </c>
      <c r="U1945" s="24" t="s">
        <v>80</v>
      </c>
      <c r="X1945" s="24">
        <v>46044</v>
      </c>
      <c r="Y1945" s="23">
        <v>1111</v>
      </c>
      <c r="Z1945" s="23">
        <v>11400606</v>
      </c>
      <c r="AA1945" s="23">
        <v>3951</v>
      </c>
      <c r="AB1945" s="24">
        <v>45945</v>
      </c>
    </row>
    <row r="1946" spans="2:28" x14ac:dyDescent="0.2">
      <c r="C1946" s="23">
        <v>1100574764</v>
      </c>
      <c r="E1946" s="23">
        <v>30</v>
      </c>
      <c r="F1946" s="23">
        <v>2490444</v>
      </c>
      <c r="G1946" s="23" t="s">
        <v>3621</v>
      </c>
      <c r="H1946" s="24">
        <v>46132</v>
      </c>
      <c r="I1946" s="24">
        <v>46132</v>
      </c>
      <c r="J1946" s="23" t="s">
        <v>3620</v>
      </c>
      <c r="K1946" s="23" t="s">
        <v>3620</v>
      </c>
      <c r="L1946" s="23">
        <v>3</v>
      </c>
      <c r="M1946" s="23" t="s">
        <v>78</v>
      </c>
      <c r="N1946" s="23" t="s">
        <v>78</v>
      </c>
      <c r="O1946" s="23">
        <v>317.76</v>
      </c>
      <c r="P1946" s="23" t="s">
        <v>79</v>
      </c>
      <c r="Q1946" s="23" t="s">
        <v>83</v>
      </c>
      <c r="R1946" s="23">
        <v>11100176</v>
      </c>
      <c r="S1946" s="24">
        <v>46118</v>
      </c>
      <c r="T1946" s="24">
        <v>46046</v>
      </c>
      <c r="U1946" s="24" t="s">
        <v>80</v>
      </c>
      <c r="X1946" s="24">
        <v>46044</v>
      </c>
      <c r="Y1946" s="23">
        <v>1111</v>
      </c>
      <c r="Z1946" s="23">
        <v>11400606</v>
      </c>
      <c r="AA1946" s="23">
        <v>3951</v>
      </c>
      <c r="AB1946" s="24">
        <v>45945</v>
      </c>
    </row>
    <row r="1947" spans="2:28" x14ac:dyDescent="0.2">
      <c r="C1947" s="23">
        <v>1100574764</v>
      </c>
      <c r="E1947" s="23">
        <v>40</v>
      </c>
      <c r="F1947" s="23" t="s">
        <v>3622</v>
      </c>
      <c r="G1947" s="23" t="s">
        <v>3623</v>
      </c>
      <c r="H1947" s="24">
        <v>46132</v>
      </c>
      <c r="I1947" s="24">
        <v>46132</v>
      </c>
      <c r="J1947" s="23" t="s">
        <v>3620</v>
      </c>
      <c r="K1947" s="23" t="s">
        <v>3620</v>
      </c>
      <c r="L1947" s="23">
        <v>1</v>
      </c>
      <c r="M1947" s="23" t="s">
        <v>78</v>
      </c>
      <c r="N1947" s="23" t="s">
        <v>78</v>
      </c>
      <c r="O1947" s="23">
        <v>770.76</v>
      </c>
      <c r="P1947" s="23" t="s">
        <v>79</v>
      </c>
      <c r="Q1947" s="23" t="s">
        <v>83</v>
      </c>
      <c r="R1947" s="23">
        <v>11100176</v>
      </c>
      <c r="S1947" s="24">
        <v>46118</v>
      </c>
      <c r="T1947" s="24">
        <v>46046</v>
      </c>
      <c r="U1947" s="24" t="s">
        <v>80</v>
      </c>
      <c r="X1947" s="24">
        <v>46044</v>
      </c>
      <c r="Y1947" s="23">
        <v>1111</v>
      </c>
      <c r="Z1947" s="23">
        <v>11400606</v>
      </c>
      <c r="AA1947" s="23">
        <v>3951</v>
      </c>
      <c r="AB1947" s="24">
        <v>45945</v>
      </c>
    </row>
    <row r="1948" spans="2:28" x14ac:dyDescent="0.2">
      <c r="C1948" s="23">
        <v>1100574764</v>
      </c>
      <c r="E1948" s="23">
        <v>70</v>
      </c>
      <c r="F1948" s="23">
        <v>4212135</v>
      </c>
      <c r="G1948" s="23" t="s">
        <v>2082</v>
      </c>
      <c r="H1948" s="24">
        <v>46132</v>
      </c>
      <c r="I1948" s="24">
        <v>46132</v>
      </c>
      <c r="J1948" s="23" t="s">
        <v>3620</v>
      </c>
      <c r="K1948" s="23" t="s">
        <v>3620</v>
      </c>
      <c r="L1948" s="23">
        <v>1</v>
      </c>
      <c r="M1948" s="23" t="s">
        <v>78</v>
      </c>
      <c r="N1948" s="23" t="s">
        <v>78</v>
      </c>
      <c r="O1948" s="23">
        <v>236.96</v>
      </c>
      <c r="P1948" s="23" t="s">
        <v>79</v>
      </c>
      <c r="Q1948" s="23" t="s">
        <v>83</v>
      </c>
      <c r="R1948" s="23">
        <v>11100176</v>
      </c>
      <c r="S1948" s="24">
        <v>46118</v>
      </c>
      <c r="T1948" s="24">
        <v>46046</v>
      </c>
      <c r="U1948" s="24" t="s">
        <v>80</v>
      </c>
      <c r="X1948" s="24">
        <v>46044</v>
      </c>
      <c r="Y1948" s="23">
        <v>1111</v>
      </c>
      <c r="Z1948" s="23">
        <v>11400606</v>
      </c>
      <c r="AA1948" s="23">
        <v>3951</v>
      </c>
      <c r="AB1948" s="24">
        <v>45945</v>
      </c>
    </row>
    <row r="1949" spans="2:28" x14ac:dyDescent="0.2">
      <c r="C1949" s="23">
        <v>1100574764</v>
      </c>
      <c r="E1949" s="23">
        <v>80</v>
      </c>
      <c r="F1949" s="23" t="s">
        <v>84</v>
      </c>
      <c r="G1949" s="23" t="s">
        <v>123</v>
      </c>
      <c r="H1949" s="24">
        <v>46132</v>
      </c>
      <c r="I1949" s="24">
        <v>46132</v>
      </c>
      <c r="J1949" s="23" t="s">
        <v>3620</v>
      </c>
      <c r="K1949" s="23" t="s">
        <v>3620</v>
      </c>
      <c r="L1949" s="23">
        <v>1</v>
      </c>
      <c r="M1949" s="23" t="s">
        <v>78</v>
      </c>
      <c r="N1949" s="23" t="s">
        <v>78</v>
      </c>
      <c r="O1949" s="23">
        <v>0.01</v>
      </c>
      <c r="P1949" s="23" t="s">
        <v>79</v>
      </c>
      <c r="Q1949" s="23" t="s">
        <v>83</v>
      </c>
      <c r="R1949" s="23">
        <v>11100176</v>
      </c>
      <c r="S1949" s="24" t="s">
        <v>80</v>
      </c>
      <c r="T1949" s="24">
        <v>46046</v>
      </c>
      <c r="U1949" s="24" t="s">
        <v>80</v>
      </c>
      <c r="X1949" s="24">
        <v>46044</v>
      </c>
      <c r="Y1949" s="23">
        <v>1111</v>
      </c>
      <c r="Z1949" s="23">
        <v>11400606</v>
      </c>
      <c r="AA1949" s="23">
        <v>3951</v>
      </c>
      <c r="AB1949" s="24">
        <v>45945</v>
      </c>
    </row>
    <row r="1950" spans="2:28" x14ac:dyDescent="0.2">
      <c r="B1950" s="23" t="s">
        <v>81</v>
      </c>
      <c r="C1950" s="23">
        <v>1100574764</v>
      </c>
      <c r="H1950" s="24">
        <v>46132</v>
      </c>
      <c r="O1950" s="23">
        <v>4709.6099999999997</v>
      </c>
      <c r="P1950" s="23" t="s">
        <v>79</v>
      </c>
    </row>
    <row r="1951" spans="2:28" x14ac:dyDescent="0.2">
      <c r="C1951" s="23">
        <v>1100574781</v>
      </c>
      <c r="E1951" s="23">
        <v>10</v>
      </c>
      <c r="F1951" s="23" t="s">
        <v>3624</v>
      </c>
      <c r="G1951" s="23" t="s">
        <v>3625</v>
      </c>
      <c r="H1951" s="24">
        <v>46132</v>
      </c>
      <c r="I1951" s="24">
        <v>46132</v>
      </c>
      <c r="J1951" s="23" t="s">
        <v>191</v>
      </c>
      <c r="K1951" s="23" t="s">
        <v>191</v>
      </c>
      <c r="L1951" s="23">
        <v>3</v>
      </c>
      <c r="M1951" s="23" t="s">
        <v>78</v>
      </c>
      <c r="N1951" s="23" t="s">
        <v>78</v>
      </c>
      <c r="O1951" s="23">
        <v>443.91</v>
      </c>
      <c r="P1951" s="23" t="s">
        <v>79</v>
      </c>
      <c r="Q1951" s="23" t="s">
        <v>83</v>
      </c>
      <c r="R1951" s="23">
        <v>11100176</v>
      </c>
      <c r="S1951" s="24">
        <v>46121</v>
      </c>
      <c r="T1951" s="24">
        <v>46048</v>
      </c>
      <c r="U1951" s="24" t="s">
        <v>80</v>
      </c>
      <c r="X1951" s="24">
        <v>46044</v>
      </c>
      <c r="Y1951" s="23">
        <v>1111</v>
      </c>
      <c r="Z1951" s="23">
        <v>11100137</v>
      </c>
      <c r="AA1951" s="23">
        <v>3951</v>
      </c>
      <c r="AB1951" s="24">
        <v>46044</v>
      </c>
    </row>
    <row r="1952" spans="2:28" x14ac:dyDescent="0.2">
      <c r="C1952" s="23">
        <v>1100574781</v>
      </c>
      <c r="E1952" s="23">
        <v>20</v>
      </c>
      <c r="F1952" s="23" t="s">
        <v>209</v>
      </c>
      <c r="G1952" s="23" t="s">
        <v>210</v>
      </c>
      <c r="H1952" s="24">
        <v>46132</v>
      </c>
      <c r="I1952" s="24">
        <v>46132</v>
      </c>
      <c r="J1952" s="23" t="s">
        <v>191</v>
      </c>
      <c r="K1952" s="23" t="s">
        <v>191</v>
      </c>
      <c r="L1952" s="23">
        <v>1</v>
      </c>
      <c r="M1952" s="23" t="s">
        <v>78</v>
      </c>
      <c r="N1952" s="23" t="s">
        <v>78</v>
      </c>
      <c r="O1952" s="23">
        <v>0.01</v>
      </c>
      <c r="P1952" s="23" t="s">
        <v>79</v>
      </c>
      <c r="Q1952" s="23" t="s">
        <v>83</v>
      </c>
      <c r="R1952" s="23">
        <v>11100176</v>
      </c>
      <c r="S1952" s="24" t="s">
        <v>80</v>
      </c>
      <c r="T1952" s="24">
        <v>46048</v>
      </c>
      <c r="U1952" s="24" t="s">
        <v>80</v>
      </c>
      <c r="X1952" s="24">
        <v>46044</v>
      </c>
      <c r="Y1952" s="23">
        <v>1111</v>
      </c>
      <c r="Z1952" s="23">
        <v>11100137</v>
      </c>
      <c r="AA1952" s="23">
        <v>3951</v>
      </c>
      <c r="AB1952" s="24">
        <v>46044</v>
      </c>
    </row>
    <row r="1953" spans="2:28" x14ac:dyDescent="0.2">
      <c r="C1953" s="23">
        <v>1100574781</v>
      </c>
      <c r="E1953" s="23">
        <v>30</v>
      </c>
      <c r="F1953" s="23" t="s">
        <v>84</v>
      </c>
      <c r="G1953" s="23" t="s">
        <v>123</v>
      </c>
      <c r="H1953" s="24">
        <v>46132</v>
      </c>
      <c r="I1953" s="24">
        <v>46132</v>
      </c>
      <c r="J1953" s="23" t="s">
        <v>191</v>
      </c>
      <c r="K1953" s="23" t="s">
        <v>191</v>
      </c>
      <c r="L1953" s="23">
        <v>1</v>
      </c>
      <c r="M1953" s="23" t="s">
        <v>78</v>
      </c>
      <c r="N1953" s="23" t="s">
        <v>78</v>
      </c>
      <c r="O1953" s="23">
        <v>0.01</v>
      </c>
      <c r="P1953" s="23" t="s">
        <v>79</v>
      </c>
      <c r="Q1953" s="23" t="s">
        <v>83</v>
      </c>
      <c r="R1953" s="23">
        <v>11100176</v>
      </c>
      <c r="S1953" s="24" t="s">
        <v>80</v>
      </c>
      <c r="T1953" s="24">
        <v>46048</v>
      </c>
      <c r="U1953" s="24" t="s">
        <v>80</v>
      </c>
      <c r="X1953" s="24">
        <v>46044</v>
      </c>
      <c r="Y1953" s="23">
        <v>1111</v>
      </c>
      <c r="Z1953" s="23">
        <v>11100137</v>
      </c>
      <c r="AA1953" s="23">
        <v>3951</v>
      </c>
      <c r="AB1953" s="24">
        <v>46044</v>
      </c>
    </row>
    <row r="1954" spans="2:28" x14ac:dyDescent="0.2">
      <c r="B1954" s="23" t="s">
        <v>81</v>
      </c>
      <c r="C1954" s="23">
        <v>1100574781</v>
      </c>
      <c r="H1954" s="24">
        <v>46132</v>
      </c>
      <c r="O1954" s="23">
        <v>443.93</v>
      </c>
      <c r="P1954" s="23" t="s">
        <v>79</v>
      </c>
    </row>
    <row r="1955" spans="2:28" x14ac:dyDescent="0.2">
      <c r="C1955" s="23">
        <v>1100574822</v>
      </c>
      <c r="E1955" s="23">
        <v>10</v>
      </c>
      <c r="F1955" s="23" t="s">
        <v>3626</v>
      </c>
      <c r="G1955" s="23" t="s">
        <v>3627</v>
      </c>
      <c r="H1955" s="24">
        <v>46132</v>
      </c>
      <c r="I1955" s="24">
        <v>46132</v>
      </c>
      <c r="J1955" s="23" t="s">
        <v>2668</v>
      </c>
      <c r="K1955" s="23" t="s">
        <v>2668</v>
      </c>
      <c r="L1955" s="23">
        <v>1</v>
      </c>
      <c r="M1955" s="23" t="s">
        <v>78</v>
      </c>
      <c r="N1955" s="23" t="s">
        <v>78</v>
      </c>
      <c r="O1955" s="23">
        <v>1956</v>
      </c>
      <c r="P1955" s="23" t="s">
        <v>79</v>
      </c>
      <c r="Q1955" s="23" t="s">
        <v>83</v>
      </c>
      <c r="R1955" s="23">
        <v>11100176</v>
      </c>
      <c r="S1955" s="24">
        <v>46091</v>
      </c>
      <c r="T1955" s="24">
        <v>46048</v>
      </c>
      <c r="U1955" s="24">
        <v>47116</v>
      </c>
      <c r="X1955" s="24">
        <v>46042</v>
      </c>
      <c r="Y1955" s="23">
        <v>1111</v>
      </c>
      <c r="Z1955" s="23">
        <v>11100320</v>
      </c>
      <c r="AA1955" s="23">
        <v>5051</v>
      </c>
      <c r="AB1955" s="24">
        <v>46045</v>
      </c>
    </row>
    <row r="1956" spans="2:28" x14ac:dyDescent="0.2">
      <c r="B1956" s="23" t="s">
        <v>81</v>
      </c>
      <c r="C1956" s="23">
        <v>1100574822</v>
      </c>
      <c r="H1956" s="24">
        <v>46132</v>
      </c>
      <c r="O1956" s="23">
        <v>1956</v>
      </c>
      <c r="P1956" s="23" t="s">
        <v>79</v>
      </c>
    </row>
    <row r="1957" spans="2:28" x14ac:dyDescent="0.2">
      <c r="C1957" s="23">
        <v>1100574911</v>
      </c>
      <c r="E1957" s="23">
        <v>10</v>
      </c>
      <c r="F1957" s="23" t="s">
        <v>1952</v>
      </c>
      <c r="G1957" s="23" t="s">
        <v>1953</v>
      </c>
      <c r="H1957" s="24">
        <v>46132</v>
      </c>
      <c r="I1957" s="24">
        <v>46203</v>
      </c>
      <c r="J1957" s="23" t="s">
        <v>3205</v>
      </c>
      <c r="K1957" s="23" t="s">
        <v>3205</v>
      </c>
      <c r="L1957" s="23">
        <v>2</v>
      </c>
      <c r="M1957" s="23" t="s">
        <v>78</v>
      </c>
      <c r="N1957" s="23" t="s">
        <v>78</v>
      </c>
      <c r="O1957" s="23">
        <v>4015.88</v>
      </c>
      <c r="P1957" s="23" t="s">
        <v>79</v>
      </c>
      <c r="Q1957" s="23" t="s">
        <v>83</v>
      </c>
      <c r="R1957" s="23">
        <v>11100176</v>
      </c>
      <c r="S1957" s="24">
        <v>46076</v>
      </c>
      <c r="T1957" s="24">
        <v>46049</v>
      </c>
      <c r="U1957" s="24">
        <v>47116</v>
      </c>
      <c r="X1957" s="24">
        <v>46045</v>
      </c>
      <c r="Y1957" s="23">
        <v>1111</v>
      </c>
      <c r="Z1957" s="23">
        <v>11400745</v>
      </c>
      <c r="AA1957" s="23">
        <v>335103</v>
      </c>
      <c r="AB1957" s="24">
        <v>46045</v>
      </c>
    </row>
    <row r="1958" spans="2:28" x14ac:dyDescent="0.2">
      <c r="C1958" s="23">
        <v>1100574911</v>
      </c>
      <c r="E1958" s="23">
        <v>20</v>
      </c>
      <c r="F1958" s="23" t="s">
        <v>1997</v>
      </c>
      <c r="G1958" s="23" t="s">
        <v>1998</v>
      </c>
      <c r="H1958" s="24">
        <v>46132</v>
      </c>
      <c r="I1958" s="24">
        <v>46132</v>
      </c>
      <c r="J1958" s="23" t="s">
        <v>3205</v>
      </c>
      <c r="K1958" s="23" t="s">
        <v>3205</v>
      </c>
      <c r="L1958" s="23">
        <v>3</v>
      </c>
      <c r="M1958" s="23" t="s">
        <v>78</v>
      </c>
      <c r="N1958" s="23" t="s">
        <v>78</v>
      </c>
      <c r="O1958" s="23">
        <v>4256.6099999999997</v>
      </c>
      <c r="P1958" s="23" t="s">
        <v>79</v>
      </c>
      <c r="Q1958" s="23" t="s">
        <v>83</v>
      </c>
      <c r="R1958" s="23">
        <v>11100176</v>
      </c>
      <c r="S1958" s="24">
        <v>46076</v>
      </c>
      <c r="T1958" s="24">
        <v>46049</v>
      </c>
      <c r="U1958" s="24">
        <v>47116</v>
      </c>
      <c r="X1958" s="24">
        <v>46045</v>
      </c>
      <c r="Y1958" s="23">
        <v>1111</v>
      </c>
      <c r="Z1958" s="23">
        <v>11400745</v>
      </c>
      <c r="AA1958" s="23">
        <v>335103</v>
      </c>
      <c r="AB1958" s="24">
        <v>46045</v>
      </c>
    </row>
    <row r="1959" spans="2:28" x14ac:dyDescent="0.2">
      <c r="B1959" s="23" t="s">
        <v>81</v>
      </c>
      <c r="C1959" s="23">
        <v>1100574911</v>
      </c>
      <c r="H1959" s="24">
        <v>46132</v>
      </c>
      <c r="O1959" s="23">
        <v>8272.49</v>
      </c>
      <c r="P1959" s="23" t="s">
        <v>79</v>
      </c>
    </row>
    <row r="1960" spans="2:28" x14ac:dyDescent="0.2">
      <c r="C1960" s="23">
        <v>1100574957</v>
      </c>
      <c r="E1960" s="23">
        <v>10</v>
      </c>
      <c r="F1960" s="23" t="s">
        <v>3628</v>
      </c>
      <c r="G1960" s="23" t="s">
        <v>3629</v>
      </c>
      <c r="H1960" s="24">
        <v>46132</v>
      </c>
      <c r="I1960" s="24">
        <v>46132</v>
      </c>
      <c r="J1960" s="23" t="s">
        <v>502</v>
      </c>
      <c r="K1960" s="23" t="s">
        <v>502</v>
      </c>
      <c r="L1960" s="23">
        <v>4</v>
      </c>
      <c r="M1960" s="23" t="s">
        <v>78</v>
      </c>
      <c r="N1960" s="23" t="s">
        <v>78</v>
      </c>
      <c r="O1960" s="23">
        <v>508.76</v>
      </c>
      <c r="P1960" s="23" t="s">
        <v>79</v>
      </c>
      <c r="Q1960" s="23" t="s">
        <v>83</v>
      </c>
      <c r="R1960" s="23">
        <v>11100176</v>
      </c>
      <c r="S1960" s="24">
        <v>46091</v>
      </c>
      <c r="T1960" s="24">
        <v>46049</v>
      </c>
      <c r="U1960" s="24" t="s">
        <v>80</v>
      </c>
      <c r="X1960" s="24">
        <v>46045</v>
      </c>
      <c r="Y1960" s="23">
        <v>1111</v>
      </c>
      <c r="Z1960" s="23">
        <v>11400811</v>
      </c>
      <c r="AA1960" s="23">
        <v>335103</v>
      </c>
      <c r="AB1960" s="24">
        <v>46028</v>
      </c>
    </row>
    <row r="1961" spans="2:28" x14ac:dyDescent="0.2">
      <c r="C1961" s="23">
        <v>1100574957</v>
      </c>
      <c r="E1961" s="23">
        <v>20</v>
      </c>
      <c r="F1961" s="23" t="s">
        <v>82</v>
      </c>
      <c r="G1961" s="23" t="s">
        <v>139</v>
      </c>
      <c r="H1961" s="24">
        <v>46132</v>
      </c>
      <c r="I1961" s="24">
        <v>46132</v>
      </c>
      <c r="J1961" s="23" t="s">
        <v>502</v>
      </c>
      <c r="K1961" s="23" t="s">
        <v>502</v>
      </c>
      <c r="L1961" s="23">
        <v>1</v>
      </c>
      <c r="M1961" s="23" t="s">
        <v>78</v>
      </c>
      <c r="N1961" s="23" t="s">
        <v>78</v>
      </c>
      <c r="O1961" s="23">
        <v>0.01</v>
      </c>
      <c r="P1961" s="23" t="s">
        <v>79</v>
      </c>
      <c r="Q1961" s="23" t="s">
        <v>83</v>
      </c>
      <c r="R1961" s="23">
        <v>11100176</v>
      </c>
      <c r="S1961" s="24" t="s">
        <v>80</v>
      </c>
      <c r="T1961" s="24">
        <v>46049</v>
      </c>
      <c r="U1961" s="24" t="s">
        <v>80</v>
      </c>
      <c r="X1961" s="24">
        <v>46045</v>
      </c>
      <c r="Y1961" s="23">
        <v>1111</v>
      </c>
      <c r="Z1961" s="23">
        <v>11400811</v>
      </c>
      <c r="AA1961" s="23">
        <v>335103</v>
      </c>
      <c r="AB1961" s="24">
        <v>46028</v>
      </c>
    </row>
    <row r="1962" spans="2:28" x14ac:dyDescent="0.2">
      <c r="B1962" s="23" t="s">
        <v>81</v>
      </c>
      <c r="C1962" s="23">
        <v>1100574957</v>
      </c>
      <c r="H1962" s="24">
        <v>46132</v>
      </c>
      <c r="O1962" s="23">
        <v>508.77</v>
      </c>
      <c r="P1962" s="23" t="s">
        <v>79</v>
      </c>
    </row>
    <row r="1963" spans="2:28" x14ac:dyDescent="0.2">
      <c r="C1963" s="23">
        <v>1100575151</v>
      </c>
      <c r="E1963" s="23">
        <v>10</v>
      </c>
      <c r="F1963" s="23" t="s">
        <v>3628</v>
      </c>
      <c r="G1963" s="23" t="s">
        <v>3629</v>
      </c>
      <c r="H1963" s="24">
        <v>46132</v>
      </c>
      <c r="I1963" s="24">
        <v>46132</v>
      </c>
      <c r="J1963" s="23" t="s">
        <v>502</v>
      </c>
      <c r="K1963" s="23" t="s">
        <v>502</v>
      </c>
      <c r="L1963" s="23">
        <v>4</v>
      </c>
      <c r="M1963" s="23" t="s">
        <v>78</v>
      </c>
      <c r="N1963" s="23" t="s">
        <v>78</v>
      </c>
      <c r="O1963" s="23">
        <v>508.76</v>
      </c>
      <c r="P1963" s="23" t="s">
        <v>79</v>
      </c>
      <c r="Q1963" s="23" t="s">
        <v>83</v>
      </c>
      <c r="R1963" s="23">
        <v>11100176</v>
      </c>
      <c r="S1963" s="24">
        <v>46087</v>
      </c>
      <c r="T1963" s="24">
        <v>46050</v>
      </c>
      <c r="U1963" s="24" t="s">
        <v>80</v>
      </c>
      <c r="X1963" s="24">
        <v>46035</v>
      </c>
      <c r="Y1963" s="23">
        <v>1111</v>
      </c>
      <c r="Z1963" s="23">
        <v>11600003</v>
      </c>
      <c r="AA1963" s="23">
        <v>335103</v>
      </c>
      <c r="AB1963" s="24">
        <v>46049</v>
      </c>
    </row>
    <row r="1964" spans="2:28" x14ac:dyDescent="0.2">
      <c r="C1964" s="23">
        <v>1100575151</v>
      </c>
      <c r="E1964" s="23">
        <v>20</v>
      </c>
      <c r="F1964" s="23" t="s">
        <v>82</v>
      </c>
      <c r="G1964" s="23" t="s">
        <v>139</v>
      </c>
      <c r="H1964" s="24">
        <v>46132</v>
      </c>
      <c r="I1964" s="24">
        <v>46132</v>
      </c>
      <c r="J1964" s="23" t="s">
        <v>502</v>
      </c>
      <c r="K1964" s="23" t="s">
        <v>502</v>
      </c>
      <c r="L1964" s="23">
        <v>1</v>
      </c>
      <c r="M1964" s="23" t="s">
        <v>78</v>
      </c>
      <c r="N1964" s="23" t="s">
        <v>78</v>
      </c>
      <c r="O1964" s="23">
        <v>0.01</v>
      </c>
      <c r="P1964" s="23" t="s">
        <v>79</v>
      </c>
      <c r="Q1964" s="23" t="s">
        <v>83</v>
      </c>
      <c r="R1964" s="23">
        <v>11100176</v>
      </c>
      <c r="S1964" s="24">
        <v>46087</v>
      </c>
      <c r="T1964" s="24">
        <v>46050</v>
      </c>
      <c r="U1964" s="24" t="s">
        <v>80</v>
      </c>
      <c r="X1964" s="24">
        <v>46035</v>
      </c>
      <c r="Y1964" s="23">
        <v>1111</v>
      </c>
      <c r="Z1964" s="23">
        <v>11600003</v>
      </c>
      <c r="AA1964" s="23">
        <v>335103</v>
      </c>
      <c r="AB1964" s="24">
        <v>46049</v>
      </c>
    </row>
    <row r="1965" spans="2:28" x14ac:dyDescent="0.2">
      <c r="B1965" s="23" t="s">
        <v>81</v>
      </c>
      <c r="C1965" s="23">
        <v>1100575151</v>
      </c>
      <c r="H1965" s="24">
        <v>46132</v>
      </c>
      <c r="O1965" s="23">
        <v>508.77</v>
      </c>
      <c r="P1965" s="23" t="s">
        <v>79</v>
      </c>
    </row>
    <row r="1966" spans="2:28" x14ac:dyDescent="0.2">
      <c r="C1966" s="23">
        <v>1100575661</v>
      </c>
      <c r="E1966" s="23">
        <v>10</v>
      </c>
      <c r="F1966" s="23" t="s">
        <v>3630</v>
      </c>
      <c r="G1966" s="23" t="s">
        <v>3631</v>
      </c>
      <c r="H1966" s="24">
        <v>46132</v>
      </c>
      <c r="I1966" s="24">
        <v>46132</v>
      </c>
      <c r="J1966" s="23" t="s">
        <v>1886</v>
      </c>
      <c r="K1966" s="23" t="s">
        <v>1886</v>
      </c>
      <c r="L1966" s="23">
        <v>1</v>
      </c>
      <c r="M1966" s="23" t="s">
        <v>78</v>
      </c>
      <c r="N1966" s="23" t="s">
        <v>78</v>
      </c>
      <c r="O1966" s="23">
        <v>11942</v>
      </c>
      <c r="P1966" s="23" t="s">
        <v>79</v>
      </c>
      <c r="Q1966" s="23" t="s">
        <v>83</v>
      </c>
      <c r="R1966" s="23">
        <v>11100176</v>
      </c>
      <c r="S1966" s="24">
        <v>46177</v>
      </c>
      <c r="T1966" s="24">
        <v>46055</v>
      </c>
      <c r="U1966" s="24" t="s">
        <v>80</v>
      </c>
      <c r="X1966" s="24">
        <v>46035</v>
      </c>
      <c r="Y1966" s="23">
        <v>1111</v>
      </c>
      <c r="Z1966" s="23">
        <v>11400124</v>
      </c>
      <c r="AA1966" s="23">
        <v>3958</v>
      </c>
      <c r="AB1966" s="24">
        <v>47118</v>
      </c>
    </row>
    <row r="1967" spans="2:28" x14ac:dyDescent="0.2">
      <c r="C1967" s="23">
        <v>1100575661</v>
      </c>
      <c r="E1967" s="23">
        <v>20</v>
      </c>
      <c r="F1967" s="23" t="s">
        <v>84</v>
      </c>
      <c r="G1967" s="23" t="s">
        <v>123</v>
      </c>
      <c r="H1967" s="24">
        <v>46132</v>
      </c>
      <c r="I1967" s="24">
        <v>46132</v>
      </c>
      <c r="J1967" s="23" t="s">
        <v>1886</v>
      </c>
      <c r="K1967" s="23" t="s">
        <v>1886</v>
      </c>
      <c r="L1967" s="23">
        <v>1</v>
      </c>
      <c r="M1967" s="23" t="s">
        <v>78</v>
      </c>
      <c r="N1967" s="23" t="s">
        <v>78</v>
      </c>
      <c r="O1967" s="23">
        <v>0.01</v>
      </c>
      <c r="P1967" s="23" t="s">
        <v>79</v>
      </c>
      <c r="Q1967" s="23" t="s">
        <v>83</v>
      </c>
      <c r="R1967" s="23">
        <v>11100176</v>
      </c>
      <c r="S1967" s="24">
        <v>46177</v>
      </c>
      <c r="T1967" s="24">
        <v>46055</v>
      </c>
      <c r="U1967" s="24" t="s">
        <v>80</v>
      </c>
      <c r="X1967" s="24">
        <v>46035</v>
      </c>
      <c r="Y1967" s="23">
        <v>1111</v>
      </c>
      <c r="Z1967" s="23">
        <v>11400124</v>
      </c>
      <c r="AA1967" s="23">
        <v>3958</v>
      </c>
      <c r="AB1967" s="24">
        <v>47118</v>
      </c>
    </row>
    <row r="1968" spans="2:28" x14ac:dyDescent="0.2">
      <c r="C1968" s="23">
        <v>1100575661</v>
      </c>
      <c r="E1968" s="23">
        <v>30</v>
      </c>
      <c r="F1968" s="23" t="s">
        <v>96</v>
      </c>
      <c r="G1968" s="23" t="s">
        <v>97</v>
      </c>
      <c r="H1968" s="24">
        <v>46132</v>
      </c>
      <c r="I1968" s="24">
        <v>46132</v>
      </c>
      <c r="J1968" s="23" t="s">
        <v>1886</v>
      </c>
      <c r="K1968" s="23" t="s">
        <v>1886</v>
      </c>
      <c r="L1968" s="23">
        <v>1</v>
      </c>
      <c r="M1968" s="23" t="s">
        <v>78</v>
      </c>
      <c r="N1968" s="23" t="s">
        <v>78</v>
      </c>
      <c r="O1968" s="23">
        <v>0.01</v>
      </c>
      <c r="P1968" s="23" t="s">
        <v>79</v>
      </c>
      <c r="Q1968" s="23" t="s">
        <v>83</v>
      </c>
      <c r="R1968" s="23">
        <v>11100176</v>
      </c>
      <c r="S1968" s="24">
        <v>46177</v>
      </c>
      <c r="T1968" s="24">
        <v>46055</v>
      </c>
      <c r="U1968" s="24" t="s">
        <v>80</v>
      </c>
      <c r="X1968" s="24">
        <v>46035</v>
      </c>
      <c r="Y1968" s="23">
        <v>1111</v>
      </c>
      <c r="Z1968" s="23">
        <v>11400124</v>
      </c>
      <c r="AA1968" s="23">
        <v>3958</v>
      </c>
      <c r="AB1968" s="24">
        <v>47118</v>
      </c>
    </row>
    <row r="1969" spans="2:28" x14ac:dyDescent="0.2">
      <c r="B1969" s="23" t="s">
        <v>81</v>
      </c>
      <c r="C1969" s="23">
        <v>1100575661</v>
      </c>
      <c r="H1969" s="24">
        <v>46132</v>
      </c>
      <c r="O1969" s="23">
        <v>11942.02</v>
      </c>
      <c r="P1969" s="23" t="s">
        <v>79</v>
      </c>
    </row>
    <row r="1970" spans="2:28" x14ac:dyDescent="0.2">
      <c r="C1970" s="23">
        <v>1100576218</v>
      </c>
      <c r="E1970" s="23">
        <v>10</v>
      </c>
      <c r="F1970" s="23" t="s">
        <v>3632</v>
      </c>
      <c r="G1970" s="23" t="s">
        <v>3633</v>
      </c>
      <c r="H1970" s="24">
        <v>46132</v>
      </c>
      <c r="I1970" s="24">
        <v>46132</v>
      </c>
      <c r="J1970" s="23" t="s">
        <v>503</v>
      </c>
      <c r="K1970" s="23" t="s">
        <v>503</v>
      </c>
      <c r="L1970" s="23">
        <v>1</v>
      </c>
      <c r="M1970" s="23" t="s">
        <v>78</v>
      </c>
      <c r="N1970" s="23" t="s">
        <v>78</v>
      </c>
      <c r="O1970" s="23">
        <v>2366.25</v>
      </c>
      <c r="P1970" s="23" t="s">
        <v>79</v>
      </c>
      <c r="Q1970" s="23" t="s">
        <v>83</v>
      </c>
      <c r="R1970" s="23">
        <v>11100176</v>
      </c>
      <c r="S1970" s="24">
        <v>46146</v>
      </c>
      <c r="T1970" s="24">
        <v>46062</v>
      </c>
      <c r="U1970" s="24" t="s">
        <v>80</v>
      </c>
      <c r="X1970" s="24">
        <v>46059</v>
      </c>
      <c r="Y1970" s="23">
        <v>1111</v>
      </c>
      <c r="Z1970" s="23">
        <v>11400606</v>
      </c>
      <c r="AA1970" s="23">
        <v>5051</v>
      </c>
      <c r="AB1970" s="24">
        <v>46059</v>
      </c>
    </row>
    <row r="1971" spans="2:28" x14ac:dyDescent="0.2">
      <c r="C1971" s="23">
        <v>1100576218</v>
      </c>
      <c r="E1971" s="23">
        <v>20</v>
      </c>
      <c r="F1971" s="23" t="s">
        <v>82</v>
      </c>
      <c r="G1971" s="23" t="s">
        <v>139</v>
      </c>
      <c r="H1971" s="24">
        <v>46132</v>
      </c>
      <c r="I1971" s="24">
        <v>46132</v>
      </c>
      <c r="J1971" s="23" t="s">
        <v>503</v>
      </c>
      <c r="K1971" s="23" t="s">
        <v>503</v>
      </c>
      <c r="L1971" s="23">
        <v>1</v>
      </c>
      <c r="M1971" s="23" t="s">
        <v>78</v>
      </c>
      <c r="N1971" s="23" t="s">
        <v>78</v>
      </c>
      <c r="O1971" s="23">
        <v>0.01</v>
      </c>
      <c r="P1971" s="23" t="s">
        <v>79</v>
      </c>
      <c r="Q1971" s="23" t="s">
        <v>83</v>
      </c>
      <c r="R1971" s="23">
        <v>11100176</v>
      </c>
      <c r="S1971" s="24" t="s">
        <v>80</v>
      </c>
      <c r="T1971" s="24">
        <v>46062</v>
      </c>
      <c r="U1971" s="24" t="s">
        <v>80</v>
      </c>
      <c r="X1971" s="24">
        <v>46059</v>
      </c>
      <c r="Y1971" s="23">
        <v>1111</v>
      </c>
      <c r="Z1971" s="23">
        <v>11400606</v>
      </c>
      <c r="AA1971" s="23">
        <v>5051</v>
      </c>
      <c r="AB1971" s="24">
        <v>46059</v>
      </c>
    </row>
    <row r="1972" spans="2:28" x14ac:dyDescent="0.2">
      <c r="B1972" s="23" t="s">
        <v>81</v>
      </c>
      <c r="C1972" s="23">
        <v>1100576218</v>
      </c>
      <c r="H1972" s="24">
        <v>46132</v>
      </c>
      <c r="O1972" s="23">
        <v>2366.2600000000002</v>
      </c>
      <c r="P1972" s="23" t="s">
        <v>79</v>
      </c>
    </row>
    <row r="1973" spans="2:28" x14ac:dyDescent="0.2">
      <c r="C1973" s="23">
        <v>1100576541</v>
      </c>
      <c r="E1973" s="23">
        <v>10</v>
      </c>
      <c r="F1973" s="23" t="s">
        <v>3634</v>
      </c>
      <c r="G1973" s="23" t="s">
        <v>3635</v>
      </c>
      <c r="H1973" s="24">
        <v>46132</v>
      </c>
      <c r="I1973" s="24">
        <v>46132</v>
      </c>
      <c r="J1973" s="23" t="s">
        <v>259</v>
      </c>
      <c r="K1973" s="23" t="s">
        <v>259</v>
      </c>
      <c r="L1973" s="23">
        <v>1</v>
      </c>
      <c r="M1973" s="23" t="s">
        <v>78</v>
      </c>
      <c r="N1973" s="23" t="s">
        <v>78</v>
      </c>
      <c r="O1973" s="23">
        <v>3274</v>
      </c>
      <c r="P1973" s="23" t="s">
        <v>79</v>
      </c>
      <c r="Q1973" s="23" t="s">
        <v>83</v>
      </c>
      <c r="R1973" s="23">
        <v>11100176</v>
      </c>
      <c r="S1973" s="24">
        <v>46120</v>
      </c>
      <c r="T1973" s="24">
        <v>46064</v>
      </c>
      <c r="U1973" s="24" t="s">
        <v>80</v>
      </c>
      <c r="X1973" s="24">
        <v>46027</v>
      </c>
      <c r="Y1973" s="23">
        <v>1111</v>
      </c>
      <c r="Z1973" s="23">
        <v>11400124</v>
      </c>
      <c r="AA1973" s="23">
        <v>335803</v>
      </c>
      <c r="AB1973" s="24">
        <v>47118</v>
      </c>
    </row>
    <row r="1974" spans="2:28" x14ac:dyDescent="0.2">
      <c r="C1974" s="23">
        <v>1100576541</v>
      </c>
      <c r="E1974" s="23">
        <v>20</v>
      </c>
      <c r="F1974" s="23" t="s">
        <v>84</v>
      </c>
      <c r="G1974" s="23" t="s">
        <v>123</v>
      </c>
      <c r="H1974" s="24">
        <v>46132</v>
      </c>
      <c r="I1974" s="24">
        <v>46132</v>
      </c>
      <c r="J1974" s="23" t="s">
        <v>259</v>
      </c>
      <c r="K1974" s="23" t="s">
        <v>259</v>
      </c>
      <c r="L1974" s="23">
        <v>1</v>
      </c>
      <c r="M1974" s="23" t="s">
        <v>78</v>
      </c>
      <c r="N1974" s="23" t="s">
        <v>78</v>
      </c>
      <c r="O1974" s="23">
        <v>0.01</v>
      </c>
      <c r="P1974" s="23" t="s">
        <v>79</v>
      </c>
      <c r="Q1974" s="23" t="s">
        <v>83</v>
      </c>
      <c r="R1974" s="23">
        <v>11100176</v>
      </c>
      <c r="S1974" s="24">
        <v>46120</v>
      </c>
      <c r="T1974" s="24">
        <v>46064</v>
      </c>
      <c r="U1974" s="24" t="s">
        <v>80</v>
      </c>
      <c r="X1974" s="24">
        <v>46027</v>
      </c>
      <c r="Y1974" s="23">
        <v>1111</v>
      </c>
      <c r="Z1974" s="23">
        <v>11400124</v>
      </c>
      <c r="AA1974" s="23">
        <v>335803</v>
      </c>
      <c r="AB1974" s="24">
        <v>47118</v>
      </c>
    </row>
    <row r="1975" spans="2:28" x14ac:dyDescent="0.2">
      <c r="C1975" s="23">
        <v>1100576541</v>
      </c>
      <c r="E1975" s="23">
        <v>30</v>
      </c>
      <c r="F1975" s="23" t="s">
        <v>96</v>
      </c>
      <c r="G1975" s="23" t="s">
        <v>97</v>
      </c>
      <c r="H1975" s="24">
        <v>46132</v>
      </c>
      <c r="I1975" s="24">
        <v>46132</v>
      </c>
      <c r="J1975" s="23" t="s">
        <v>259</v>
      </c>
      <c r="K1975" s="23" t="s">
        <v>259</v>
      </c>
      <c r="L1975" s="23">
        <v>1</v>
      </c>
      <c r="M1975" s="23" t="s">
        <v>78</v>
      </c>
      <c r="N1975" s="23" t="s">
        <v>78</v>
      </c>
      <c r="O1975" s="23">
        <v>0.01</v>
      </c>
      <c r="P1975" s="23" t="s">
        <v>79</v>
      </c>
      <c r="Q1975" s="23" t="s">
        <v>83</v>
      </c>
      <c r="R1975" s="23">
        <v>11100176</v>
      </c>
      <c r="S1975" s="24">
        <v>46120</v>
      </c>
      <c r="T1975" s="24">
        <v>46064</v>
      </c>
      <c r="U1975" s="24" t="s">
        <v>80</v>
      </c>
      <c r="X1975" s="24">
        <v>46027</v>
      </c>
      <c r="Y1975" s="23">
        <v>1111</v>
      </c>
      <c r="Z1975" s="23">
        <v>11400124</v>
      </c>
      <c r="AA1975" s="23">
        <v>335803</v>
      </c>
      <c r="AB1975" s="24">
        <v>47118</v>
      </c>
    </row>
    <row r="1976" spans="2:28" x14ac:dyDescent="0.2">
      <c r="B1976" s="23" t="s">
        <v>81</v>
      </c>
      <c r="C1976" s="23">
        <v>1100576541</v>
      </c>
      <c r="H1976" s="24">
        <v>46132</v>
      </c>
      <c r="O1976" s="23">
        <v>3274.02</v>
      </c>
      <c r="P1976" s="23" t="s">
        <v>79</v>
      </c>
    </row>
    <row r="1977" spans="2:28" x14ac:dyDescent="0.2">
      <c r="C1977" s="23">
        <v>1100577451</v>
      </c>
      <c r="E1977" s="23">
        <v>10</v>
      </c>
      <c r="F1977" s="23" t="s">
        <v>3636</v>
      </c>
      <c r="G1977" s="23" t="s">
        <v>3637</v>
      </c>
      <c r="H1977" s="24">
        <v>46132</v>
      </c>
      <c r="I1977" s="24">
        <v>46132</v>
      </c>
      <c r="J1977" s="23" t="s">
        <v>708</v>
      </c>
      <c r="K1977" s="23" t="s">
        <v>708</v>
      </c>
      <c r="L1977" s="23">
        <v>1</v>
      </c>
      <c r="M1977" s="23" t="s">
        <v>78</v>
      </c>
      <c r="N1977" s="23" t="s">
        <v>78</v>
      </c>
      <c r="O1977" s="23">
        <v>2937.53</v>
      </c>
      <c r="P1977" s="23" t="s">
        <v>79</v>
      </c>
      <c r="Q1977" s="23" t="s">
        <v>83</v>
      </c>
      <c r="R1977" s="23">
        <v>11100008</v>
      </c>
      <c r="S1977" s="24" t="s">
        <v>80</v>
      </c>
      <c r="T1977" s="24">
        <v>46073</v>
      </c>
      <c r="U1977" s="24" t="s">
        <v>80</v>
      </c>
      <c r="X1977" s="24">
        <v>46071</v>
      </c>
      <c r="Y1977" s="23">
        <v>1111</v>
      </c>
      <c r="Z1977" s="23">
        <v>11400745</v>
      </c>
      <c r="AA1977" s="23">
        <v>335103</v>
      </c>
      <c r="AB1977" s="24">
        <v>46040</v>
      </c>
    </row>
    <row r="1978" spans="2:28" x14ac:dyDescent="0.2">
      <c r="C1978" s="23">
        <v>1100577451</v>
      </c>
      <c r="E1978" s="23">
        <v>20</v>
      </c>
      <c r="F1978" s="23" t="s">
        <v>82</v>
      </c>
      <c r="G1978" s="23" t="s">
        <v>139</v>
      </c>
      <c r="H1978" s="24">
        <v>46132</v>
      </c>
      <c r="I1978" s="24">
        <v>46132</v>
      </c>
      <c r="J1978" s="23" t="s">
        <v>708</v>
      </c>
      <c r="K1978" s="23" t="s">
        <v>708</v>
      </c>
      <c r="L1978" s="23">
        <v>1</v>
      </c>
      <c r="M1978" s="23" t="s">
        <v>78</v>
      </c>
      <c r="N1978" s="23" t="s">
        <v>78</v>
      </c>
      <c r="O1978" s="23">
        <v>0.01</v>
      </c>
      <c r="P1978" s="23" t="s">
        <v>79</v>
      </c>
      <c r="Q1978" s="23" t="s">
        <v>83</v>
      </c>
      <c r="R1978" s="23">
        <v>11100008</v>
      </c>
      <c r="S1978" s="24" t="s">
        <v>80</v>
      </c>
      <c r="T1978" s="24">
        <v>46073</v>
      </c>
      <c r="U1978" s="24" t="s">
        <v>80</v>
      </c>
      <c r="X1978" s="24">
        <v>46071</v>
      </c>
      <c r="Y1978" s="23">
        <v>1111</v>
      </c>
      <c r="Z1978" s="23">
        <v>11400745</v>
      </c>
      <c r="AA1978" s="23">
        <v>335103</v>
      </c>
      <c r="AB1978" s="24">
        <v>46040</v>
      </c>
    </row>
    <row r="1979" spans="2:28" x14ac:dyDescent="0.2">
      <c r="B1979" s="23" t="s">
        <v>81</v>
      </c>
      <c r="C1979" s="23">
        <v>1100577451</v>
      </c>
      <c r="H1979" s="24">
        <v>46132</v>
      </c>
      <c r="O1979" s="23">
        <v>2937.54</v>
      </c>
      <c r="P1979" s="23" t="s">
        <v>79</v>
      </c>
    </row>
    <row r="1980" spans="2:28" x14ac:dyDescent="0.2">
      <c r="C1980" s="23">
        <v>1100577516</v>
      </c>
      <c r="E1980" s="23">
        <v>10</v>
      </c>
      <c r="F1980" s="23" t="s">
        <v>3638</v>
      </c>
      <c r="G1980" s="23" t="s">
        <v>3639</v>
      </c>
      <c r="H1980" s="24">
        <v>46132</v>
      </c>
      <c r="I1980" s="24">
        <v>46132</v>
      </c>
      <c r="J1980" s="23" t="s">
        <v>734</v>
      </c>
      <c r="K1980" s="23" t="s">
        <v>734</v>
      </c>
      <c r="L1980" s="23">
        <v>1</v>
      </c>
      <c r="M1980" s="23" t="s">
        <v>78</v>
      </c>
      <c r="N1980" s="23" t="s">
        <v>78</v>
      </c>
      <c r="O1980" s="23">
        <v>7451.81</v>
      </c>
      <c r="P1980" s="23" t="s">
        <v>79</v>
      </c>
      <c r="Q1980" s="23" t="s">
        <v>83</v>
      </c>
      <c r="R1980" s="23">
        <v>11100176</v>
      </c>
      <c r="S1980" s="24">
        <v>46132</v>
      </c>
      <c r="T1980" s="24">
        <v>46074</v>
      </c>
      <c r="U1980" s="24" t="s">
        <v>80</v>
      </c>
      <c r="X1980" s="24">
        <v>46071</v>
      </c>
      <c r="Y1980" s="23">
        <v>1111</v>
      </c>
      <c r="Z1980" s="23">
        <v>11400606</v>
      </c>
      <c r="AA1980" s="23">
        <v>335103</v>
      </c>
      <c r="AB1980" s="24">
        <v>46072</v>
      </c>
    </row>
    <row r="1981" spans="2:28" x14ac:dyDescent="0.2">
      <c r="C1981" s="23">
        <v>1100577516</v>
      </c>
      <c r="E1981" s="23">
        <v>20</v>
      </c>
      <c r="F1981" s="23" t="s">
        <v>82</v>
      </c>
      <c r="G1981" s="23" t="s">
        <v>139</v>
      </c>
      <c r="H1981" s="24">
        <v>46132</v>
      </c>
      <c r="I1981" s="24">
        <v>46132</v>
      </c>
      <c r="J1981" s="23" t="s">
        <v>734</v>
      </c>
      <c r="K1981" s="23" t="s">
        <v>734</v>
      </c>
      <c r="L1981" s="23">
        <v>1</v>
      </c>
      <c r="M1981" s="23" t="s">
        <v>78</v>
      </c>
      <c r="N1981" s="23" t="s">
        <v>78</v>
      </c>
      <c r="O1981" s="23">
        <v>0.01</v>
      </c>
      <c r="P1981" s="23" t="s">
        <v>79</v>
      </c>
      <c r="Q1981" s="23" t="s">
        <v>83</v>
      </c>
      <c r="R1981" s="23">
        <v>11100176</v>
      </c>
      <c r="S1981" s="24" t="s">
        <v>80</v>
      </c>
      <c r="T1981" s="24">
        <v>46074</v>
      </c>
      <c r="U1981" s="24" t="s">
        <v>80</v>
      </c>
      <c r="X1981" s="24">
        <v>46071</v>
      </c>
      <c r="Y1981" s="23">
        <v>1111</v>
      </c>
      <c r="Z1981" s="23">
        <v>11400606</v>
      </c>
      <c r="AA1981" s="23">
        <v>335103</v>
      </c>
      <c r="AB1981" s="24">
        <v>46072</v>
      </c>
    </row>
    <row r="1982" spans="2:28" x14ac:dyDescent="0.2">
      <c r="B1982" s="23" t="s">
        <v>81</v>
      </c>
      <c r="C1982" s="23">
        <v>1100577516</v>
      </c>
      <c r="H1982" s="24">
        <v>46132</v>
      </c>
      <c r="O1982" s="23">
        <v>7451.82</v>
      </c>
      <c r="P1982" s="23" t="s">
        <v>79</v>
      </c>
    </row>
    <row r="1983" spans="2:28" x14ac:dyDescent="0.2">
      <c r="C1983" s="23">
        <v>1100577715</v>
      </c>
      <c r="E1983" s="23">
        <v>10</v>
      </c>
      <c r="F1983" s="23" t="s">
        <v>3640</v>
      </c>
      <c r="G1983" s="23" t="s">
        <v>3641</v>
      </c>
      <c r="H1983" s="24">
        <v>46132</v>
      </c>
      <c r="I1983" s="24">
        <v>46132</v>
      </c>
      <c r="J1983" s="23" t="s">
        <v>218</v>
      </c>
      <c r="K1983" s="23" t="s">
        <v>218</v>
      </c>
      <c r="L1983" s="23">
        <v>2</v>
      </c>
      <c r="M1983" s="23" t="s">
        <v>78</v>
      </c>
      <c r="N1983" s="23" t="s">
        <v>78</v>
      </c>
      <c r="O1983" s="23">
        <v>56</v>
      </c>
      <c r="P1983" s="23" t="s">
        <v>79</v>
      </c>
      <c r="Q1983" s="23" t="s">
        <v>83</v>
      </c>
      <c r="R1983" s="23">
        <v>11100176</v>
      </c>
      <c r="S1983" s="24">
        <v>46132</v>
      </c>
      <c r="T1983" s="24">
        <v>46076</v>
      </c>
      <c r="U1983" s="24" t="s">
        <v>80</v>
      </c>
      <c r="X1983" s="24">
        <v>46075</v>
      </c>
      <c r="Y1983" s="23">
        <v>1111</v>
      </c>
      <c r="Z1983" s="23">
        <v>11400811</v>
      </c>
      <c r="AA1983" s="23">
        <v>335103</v>
      </c>
      <c r="AB1983" s="24">
        <v>46076</v>
      </c>
    </row>
    <row r="1984" spans="2:28" x14ac:dyDescent="0.2">
      <c r="C1984" s="23">
        <v>1100577715</v>
      </c>
      <c r="E1984" s="23">
        <v>20</v>
      </c>
      <c r="F1984" s="23" t="s">
        <v>3642</v>
      </c>
      <c r="G1984" s="23" t="s">
        <v>3643</v>
      </c>
      <c r="H1984" s="24">
        <v>46132</v>
      </c>
      <c r="I1984" s="24">
        <v>46132</v>
      </c>
      <c r="J1984" s="23" t="s">
        <v>218</v>
      </c>
      <c r="K1984" s="23" t="s">
        <v>218</v>
      </c>
      <c r="L1984" s="23">
        <v>1</v>
      </c>
      <c r="M1984" s="23" t="s">
        <v>78</v>
      </c>
      <c r="N1984" s="23" t="s">
        <v>78</v>
      </c>
      <c r="O1984" s="23">
        <v>512.07000000000005</v>
      </c>
      <c r="P1984" s="23" t="s">
        <v>79</v>
      </c>
      <c r="Q1984" s="23" t="s">
        <v>83</v>
      </c>
      <c r="R1984" s="23">
        <v>11100176</v>
      </c>
      <c r="S1984" s="24">
        <v>46132</v>
      </c>
      <c r="T1984" s="24">
        <v>46076</v>
      </c>
      <c r="U1984" s="24" t="s">
        <v>80</v>
      </c>
      <c r="X1984" s="24">
        <v>46075</v>
      </c>
      <c r="Y1984" s="23">
        <v>1111</v>
      </c>
      <c r="Z1984" s="23">
        <v>11400811</v>
      </c>
      <c r="AA1984" s="23">
        <v>335103</v>
      </c>
      <c r="AB1984" s="24">
        <v>46076</v>
      </c>
    </row>
    <row r="1985" spans="2:28" x14ac:dyDescent="0.2">
      <c r="B1985" s="23" t="s">
        <v>81</v>
      </c>
      <c r="C1985" s="23">
        <v>1100577715</v>
      </c>
      <c r="H1985" s="24">
        <v>46132</v>
      </c>
      <c r="O1985" s="23">
        <v>568.07000000000005</v>
      </c>
      <c r="P1985" s="23" t="s">
        <v>79</v>
      </c>
    </row>
    <row r="1986" spans="2:28" x14ac:dyDescent="0.2">
      <c r="C1986" s="23">
        <v>1100578495</v>
      </c>
      <c r="E1986" s="23">
        <v>30</v>
      </c>
      <c r="F1986" s="23" t="s">
        <v>774</v>
      </c>
      <c r="G1986" s="23" t="s">
        <v>775</v>
      </c>
      <c r="H1986" s="24">
        <v>46132</v>
      </c>
      <c r="I1986" s="24">
        <v>46132</v>
      </c>
      <c r="J1986" s="23" t="s">
        <v>102</v>
      </c>
      <c r="K1986" s="23" t="s">
        <v>102</v>
      </c>
      <c r="L1986" s="23">
        <v>1</v>
      </c>
      <c r="M1986" s="23" t="s">
        <v>78</v>
      </c>
      <c r="N1986" s="23" t="s">
        <v>78</v>
      </c>
      <c r="O1986" s="23">
        <v>2712.86</v>
      </c>
      <c r="P1986" s="23" t="s">
        <v>79</v>
      </c>
      <c r="Q1986" s="23" t="s">
        <v>83</v>
      </c>
      <c r="R1986" s="23">
        <v>11100176</v>
      </c>
      <c r="S1986" s="24">
        <v>46087</v>
      </c>
      <c r="T1986" s="24">
        <v>46084</v>
      </c>
      <c r="U1986" s="24">
        <v>47116</v>
      </c>
      <c r="X1986" s="24">
        <v>46065</v>
      </c>
      <c r="Y1986" s="23">
        <v>1111</v>
      </c>
      <c r="Z1986" s="23">
        <v>11400895</v>
      </c>
      <c r="AA1986" s="23">
        <v>515103</v>
      </c>
      <c r="AB1986" s="24">
        <v>46070</v>
      </c>
    </row>
    <row r="1987" spans="2:28" x14ac:dyDescent="0.2">
      <c r="B1987" s="23" t="s">
        <v>81</v>
      </c>
      <c r="C1987" s="23">
        <v>1100578495</v>
      </c>
      <c r="H1987" s="24">
        <v>46132</v>
      </c>
      <c r="O1987" s="23">
        <v>2712.86</v>
      </c>
      <c r="P1987" s="23" t="s">
        <v>79</v>
      </c>
    </row>
    <row r="1988" spans="2:28" x14ac:dyDescent="0.2">
      <c r="C1988" s="23">
        <v>1100574988</v>
      </c>
      <c r="E1988" s="23">
        <v>10</v>
      </c>
      <c r="F1988" s="23" t="s">
        <v>3644</v>
      </c>
      <c r="G1988" s="23" t="s">
        <v>3645</v>
      </c>
      <c r="H1988" s="24">
        <v>46133</v>
      </c>
      <c r="I1988" s="24">
        <v>46133</v>
      </c>
      <c r="J1988" s="23" t="s">
        <v>489</v>
      </c>
      <c r="K1988" s="23" t="s">
        <v>489</v>
      </c>
      <c r="L1988" s="23">
        <v>1</v>
      </c>
      <c r="M1988" s="23" t="s">
        <v>78</v>
      </c>
      <c r="N1988" s="23" t="s">
        <v>78</v>
      </c>
      <c r="O1988" s="23">
        <v>1820.7</v>
      </c>
      <c r="P1988" s="23" t="s">
        <v>79</v>
      </c>
      <c r="Q1988" s="23" t="s">
        <v>83</v>
      </c>
      <c r="R1988" s="23">
        <v>11100176</v>
      </c>
      <c r="S1988" s="24">
        <v>46092</v>
      </c>
      <c r="T1988" s="24">
        <v>46049</v>
      </c>
      <c r="U1988" s="24" t="s">
        <v>80</v>
      </c>
      <c r="X1988" s="24">
        <v>46048</v>
      </c>
      <c r="Y1988" s="23">
        <v>1111</v>
      </c>
      <c r="Z1988" s="23">
        <v>11100320</v>
      </c>
      <c r="AA1988" s="23">
        <v>5051</v>
      </c>
      <c r="AB1988" s="24">
        <v>46048</v>
      </c>
    </row>
    <row r="1989" spans="2:28" x14ac:dyDescent="0.2">
      <c r="B1989" s="23" t="s">
        <v>81</v>
      </c>
      <c r="C1989" s="23">
        <v>1100574988</v>
      </c>
      <c r="H1989" s="24">
        <v>46133</v>
      </c>
      <c r="O1989" s="23">
        <v>1820.7</v>
      </c>
      <c r="P1989" s="23" t="s">
        <v>79</v>
      </c>
    </row>
    <row r="1990" spans="2:28" x14ac:dyDescent="0.2">
      <c r="C1990" s="23">
        <v>1100577514</v>
      </c>
      <c r="E1990" s="23">
        <v>10</v>
      </c>
      <c r="F1990" s="23" t="s">
        <v>3646</v>
      </c>
      <c r="G1990" s="23" t="s">
        <v>1139</v>
      </c>
      <c r="H1990" s="24">
        <v>46133</v>
      </c>
      <c r="I1990" s="24">
        <v>46133</v>
      </c>
      <c r="J1990" s="23" t="s">
        <v>3647</v>
      </c>
      <c r="K1990" s="23" t="s">
        <v>3647</v>
      </c>
      <c r="L1990" s="23">
        <v>7</v>
      </c>
      <c r="M1990" s="23" t="s">
        <v>78</v>
      </c>
      <c r="N1990" s="23" t="s">
        <v>78</v>
      </c>
      <c r="O1990" s="23">
        <v>52968.65</v>
      </c>
      <c r="P1990" s="23" t="s">
        <v>79</v>
      </c>
      <c r="Q1990" s="23" t="s">
        <v>83</v>
      </c>
      <c r="R1990" s="23">
        <v>11100176</v>
      </c>
      <c r="S1990" s="24">
        <v>46125</v>
      </c>
      <c r="T1990" s="24">
        <v>46074</v>
      </c>
      <c r="U1990" s="24" t="s">
        <v>80</v>
      </c>
      <c r="X1990" s="24">
        <v>46069</v>
      </c>
      <c r="Y1990" s="23">
        <v>1111</v>
      </c>
      <c r="Z1990" s="23">
        <v>11400797</v>
      </c>
      <c r="AA1990" s="23">
        <v>335103</v>
      </c>
      <c r="AB1990" s="24">
        <v>46069</v>
      </c>
    </row>
    <row r="1991" spans="2:28" x14ac:dyDescent="0.2">
      <c r="C1991" s="23">
        <v>1100577514</v>
      </c>
      <c r="E1991" s="23">
        <v>20</v>
      </c>
      <c r="F1991" s="23" t="s">
        <v>82</v>
      </c>
      <c r="G1991" s="23" t="s">
        <v>139</v>
      </c>
      <c r="H1991" s="24">
        <v>46133</v>
      </c>
      <c r="I1991" s="24">
        <v>46133</v>
      </c>
      <c r="J1991" s="23" t="s">
        <v>3647</v>
      </c>
      <c r="K1991" s="23" t="s">
        <v>3647</v>
      </c>
      <c r="L1991" s="23">
        <v>1</v>
      </c>
      <c r="M1991" s="23" t="s">
        <v>78</v>
      </c>
      <c r="N1991" s="23" t="s">
        <v>78</v>
      </c>
      <c r="O1991" s="23">
        <v>0.01</v>
      </c>
      <c r="P1991" s="23" t="s">
        <v>79</v>
      </c>
      <c r="Q1991" s="23" t="s">
        <v>83</v>
      </c>
      <c r="R1991" s="23">
        <v>11100176</v>
      </c>
      <c r="S1991" s="24" t="s">
        <v>80</v>
      </c>
      <c r="T1991" s="24">
        <v>46074</v>
      </c>
      <c r="U1991" s="24" t="s">
        <v>80</v>
      </c>
      <c r="X1991" s="24">
        <v>46069</v>
      </c>
      <c r="Y1991" s="23">
        <v>1111</v>
      </c>
      <c r="Z1991" s="23">
        <v>11400797</v>
      </c>
      <c r="AA1991" s="23">
        <v>335103</v>
      </c>
      <c r="AB1991" s="24">
        <v>46069</v>
      </c>
    </row>
    <row r="1992" spans="2:28" x14ac:dyDescent="0.2">
      <c r="B1992" s="23" t="s">
        <v>81</v>
      </c>
      <c r="C1992" s="23">
        <v>1100577514</v>
      </c>
      <c r="H1992" s="24">
        <v>46133</v>
      </c>
      <c r="O1992" s="23">
        <v>52968.66</v>
      </c>
      <c r="P1992" s="23" t="s">
        <v>79</v>
      </c>
    </row>
    <row r="1993" spans="2:28" x14ac:dyDescent="0.2">
      <c r="C1993" s="23">
        <v>1100577737</v>
      </c>
      <c r="E1993" s="23">
        <v>10</v>
      </c>
      <c r="F1993" s="23" t="s">
        <v>3648</v>
      </c>
      <c r="G1993" s="23" t="s">
        <v>3649</v>
      </c>
      <c r="H1993" s="24">
        <v>46133</v>
      </c>
      <c r="I1993" s="24">
        <v>46133</v>
      </c>
      <c r="J1993" s="23" t="s">
        <v>3650</v>
      </c>
      <c r="K1993" s="23" t="s">
        <v>3650</v>
      </c>
      <c r="L1993" s="23">
        <v>1</v>
      </c>
      <c r="M1993" s="23" t="s">
        <v>78</v>
      </c>
      <c r="N1993" s="23" t="s">
        <v>78</v>
      </c>
      <c r="O1993" s="23">
        <v>600.54999999999995</v>
      </c>
      <c r="P1993" s="23" t="s">
        <v>79</v>
      </c>
      <c r="Q1993" s="23" t="s">
        <v>83</v>
      </c>
      <c r="R1993" s="23">
        <v>11100176</v>
      </c>
      <c r="S1993" s="24">
        <v>46133</v>
      </c>
      <c r="T1993" s="24">
        <v>46076</v>
      </c>
      <c r="U1993" s="24" t="s">
        <v>80</v>
      </c>
      <c r="X1993" s="24">
        <v>46076</v>
      </c>
      <c r="Y1993" s="23">
        <v>1111</v>
      </c>
      <c r="Z1993" s="23">
        <v>11100320</v>
      </c>
      <c r="AA1993" s="23">
        <v>3351</v>
      </c>
      <c r="AB1993" s="24">
        <v>46063</v>
      </c>
    </row>
    <row r="1994" spans="2:28" x14ac:dyDescent="0.2">
      <c r="C1994" s="23">
        <v>1100577737</v>
      </c>
      <c r="E1994" s="23">
        <v>20</v>
      </c>
      <c r="F1994" s="23" t="s">
        <v>82</v>
      </c>
      <c r="G1994" s="23" t="s">
        <v>139</v>
      </c>
      <c r="H1994" s="24">
        <v>46133</v>
      </c>
      <c r="I1994" s="24">
        <v>46133</v>
      </c>
      <c r="J1994" s="23" t="s">
        <v>3650</v>
      </c>
      <c r="K1994" s="23" t="s">
        <v>3650</v>
      </c>
      <c r="L1994" s="23">
        <v>1</v>
      </c>
      <c r="M1994" s="23" t="s">
        <v>78</v>
      </c>
      <c r="N1994" s="23" t="s">
        <v>78</v>
      </c>
      <c r="O1994" s="23">
        <v>0.01</v>
      </c>
      <c r="P1994" s="23" t="s">
        <v>79</v>
      </c>
      <c r="Q1994" s="23" t="s">
        <v>83</v>
      </c>
      <c r="R1994" s="23">
        <v>11100176</v>
      </c>
      <c r="S1994" s="24">
        <v>46133</v>
      </c>
      <c r="T1994" s="24">
        <v>46076</v>
      </c>
      <c r="U1994" s="24" t="s">
        <v>80</v>
      </c>
      <c r="X1994" s="24">
        <v>46076</v>
      </c>
      <c r="Y1994" s="23">
        <v>1111</v>
      </c>
      <c r="Z1994" s="23">
        <v>11100320</v>
      </c>
      <c r="AA1994" s="23">
        <v>3351</v>
      </c>
      <c r="AB1994" s="24">
        <v>46063</v>
      </c>
    </row>
    <row r="1995" spans="2:28" x14ac:dyDescent="0.2">
      <c r="B1995" s="23" t="s">
        <v>81</v>
      </c>
      <c r="C1995" s="23">
        <v>1100577737</v>
      </c>
      <c r="H1995" s="24">
        <v>46133</v>
      </c>
      <c r="O1995" s="23">
        <v>600.55999999999995</v>
      </c>
      <c r="P1995" s="23" t="s">
        <v>79</v>
      </c>
    </row>
    <row r="1996" spans="2:28" x14ac:dyDescent="0.2">
      <c r="C1996" s="23">
        <v>1100575072</v>
      </c>
      <c r="E1996" s="23">
        <v>10</v>
      </c>
      <c r="F1996" s="23" t="s">
        <v>1123</v>
      </c>
      <c r="G1996" s="23" t="s">
        <v>1124</v>
      </c>
      <c r="H1996" s="24">
        <v>46134</v>
      </c>
      <c r="I1996" s="24">
        <v>46134</v>
      </c>
      <c r="J1996" s="23" t="s">
        <v>2923</v>
      </c>
      <c r="K1996" s="23" t="s">
        <v>2923</v>
      </c>
      <c r="L1996" s="23">
        <v>1</v>
      </c>
      <c r="M1996" s="23" t="s">
        <v>78</v>
      </c>
      <c r="N1996" s="23" t="s">
        <v>78</v>
      </c>
      <c r="O1996" s="23">
        <v>1695.17</v>
      </c>
      <c r="P1996" s="23" t="s">
        <v>79</v>
      </c>
      <c r="Q1996" s="23" t="s">
        <v>83</v>
      </c>
      <c r="R1996" s="23">
        <v>11100176</v>
      </c>
      <c r="S1996" s="24">
        <v>46108</v>
      </c>
      <c r="T1996" s="24">
        <v>46049</v>
      </c>
      <c r="U1996" s="24" t="s">
        <v>80</v>
      </c>
      <c r="X1996" s="24">
        <v>46038</v>
      </c>
      <c r="Y1996" s="23">
        <v>1111</v>
      </c>
      <c r="Z1996" s="23">
        <v>11600003</v>
      </c>
      <c r="AA1996" s="23">
        <v>5051</v>
      </c>
      <c r="AB1996" s="24">
        <v>46007</v>
      </c>
    </row>
    <row r="1997" spans="2:28" x14ac:dyDescent="0.2">
      <c r="C1997" s="23">
        <v>1100575072</v>
      </c>
      <c r="E1997" s="23">
        <v>20</v>
      </c>
      <c r="F1997" s="23" t="s">
        <v>3651</v>
      </c>
      <c r="G1997" s="23" t="s">
        <v>3652</v>
      </c>
      <c r="H1997" s="24">
        <v>46134</v>
      </c>
      <c r="I1997" s="24">
        <v>46142</v>
      </c>
      <c r="J1997" s="23" t="s">
        <v>2923</v>
      </c>
      <c r="K1997" s="23" t="s">
        <v>2923</v>
      </c>
      <c r="L1997" s="23">
        <v>1</v>
      </c>
      <c r="M1997" s="23" t="s">
        <v>78</v>
      </c>
      <c r="N1997" s="23" t="s">
        <v>78</v>
      </c>
      <c r="O1997" s="23">
        <v>2983.5</v>
      </c>
      <c r="P1997" s="23" t="s">
        <v>79</v>
      </c>
      <c r="Q1997" s="23" t="s">
        <v>83</v>
      </c>
      <c r="R1997" s="23">
        <v>11100176</v>
      </c>
      <c r="S1997" s="24">
        <v>46108</v>
      </c>
      <c r="T1997" s="24">
        <v>46049</v>
      </c>
      <c r="U1997" s="24" t="s">
        <v>80</v>
      </c>
      <c r="X1997" s="24">
        <v>46038</v>
      </c>
      <c r="Y1997" s="23">
        <v>1111</v>
      </c>
      <c r="Z1997" s="23">
        <v>11600003</v>
      </c>
      <c r="AA1997" s="23">
        <v>5051</v>
      </c>
      <c r="AB1997" s="24">
        <v>46007</v>
      </c>
    </row>
    <row r="1998" spans="2:28" x14ac:dyDescent="0.2">
      <c r="B1998" s="23" t="s">
        <v>81</v>
      </c>
      <c r="C1998" s="23">
        <v>1100575072</v>
      </c>
      <c r="H1998" s="24">
        <v>46134</v>
      </c>
      <c r="O1998" s="23">
        <v>4678.67</v>
      </c>
      <c r="P1998" s="23" t="s">
        <v>79</v>
      </c>
    </row>
    <row r="1999" spans="2:28" x14ac:dyDescent="0.2">
      <c r="C1999" s="23">
        <v>1100575221</v>
      </c>
      <c r="E1999" s="23">
        <v>10</v>
      </c>
      <c r="F1999" s="23" t="s">
        <v>3653</v>
      </c>
      <c r="G1999" s="23" t="s">
        <v>3654</v>
      </c>
      <c r="H1999" s="24">
        <v>46134</v>
      </c>
      <c r="I1999" s="24">
        <v>46134</v>
      </c>
      <c r="J1999" s="23" t="s">
        <v>1427</v>
      </c>
      <c r="K1999" s="23" t="s">
        <v>1427</v>
      </c>
      <c r="L1999" s="23">
        <v>2</v>
      </c>
      <c r="M1999" s="23" t="s">
        <v>566</v>
      </c>
      <c r="N1999" s="23" t="s">
        <v>566</v>
      </c>
      <c r="O1999" s="23">
        <v>10954.04</v>
      </c>
      <c r="P1999" s="23" t="s">
        <v>79</v>
      </c>
      <c r="Q1999" s="23" t="s">
        <v>83</v>
      </c>
      <c r="R1999" s="23">
        <v>11100176</v>
      </c>
      <c r="S1999" s="24">
        <v>46134</v>
      </c>
      <c r="T1999" s="24">
        <v>46050</v>
      </c>
      <c r="U1999" s="24" t="s">
        <v>80</v>
      </c>
      <c r="X1999" s="24">
        <v>46050</v>
      </c>
      <c r="Y1999" s="23">
        <v>1111</v>
      </c>
      <c r="Z1999" s="23">
        <v>11400937</v>
      </c>
      <c r="AA1999" s="23">
        <v>505103</v>
      </c>
      <c r="AB1999" s="24">
        <v>46050</v>
      </c>
    </row>
    <row r="2000" spans="2:28" x14ac:dyDescent="0.2">
      <c r="C2000" s="23">
        <v>1100575221</v>
      </c>
      <c r="E2000" s="23">
        <v>20</v>
      </c>
      <c r="F2000" s="23" t="s">
        <v>82</v>
      </c>
      <c r="G2000" s="23" t="s">
        <v>139</v>
      </c>
      <c r="H2000" s="24">
        <v>46134</v>
      </c>
      <c r="I2000" s="24">
        <v>46134</v>
      </c>
      <c r="J2000" s="23" t="s">
        <v>1427</v>
      </c>
      <c r="K2000" s="23" t="s">
        <v>1427</v>
      </c>
      <c r="L2000" s="23">
        <v>1</v>
      </c>
      <c r="M2000" s="23" t="s">
        <v>78</v>
      </c>
      <c r="N2000" s="23" t="s">
        <v>78</v>
      </c>
      <c r="O2000" s="23">
        <v>0.01</v>
      </c>
      <c r="P2000" s="23" t="s">
        <v>79</v>
      </c>
      <c r="Q2000" s="23" t="s">
        <v>83</v>
      </c>
      <c r="R2000" s="23">
        <v>11100176</v>
      </c>
      <c r="S2000" s="24" t="s">
        <v>80</v>
      </c>
      <c r="T2000" s="24">
        <v>46050</v>
      </c>
      <c r="U2000" s="24" t="s">
        <v>80</v>
      </c>
      <c r="X2000" s="24">
        <v>46050</v>
      </c>
      <c r="Y2000" s="23">
        <v>1111</v>
      </c>
      <c r="Z2000" s="23">
        <v>11400937</v>
      </c>
      <c r="AA2000" s="23">
        <v>505103</v>
      </c>
      <c r="AB2000" s="24">
        <v>46050</v>
      </c>
    </row>
    <row r="2001" spans="2:28" x14ac:dyDescent="0.2">
      <c r="B2001" s="23" t="s">
        <v>81</v>
      </c>
      <c r="C2001" s="23">
        <v>1100575221</v>
      </c>
      <c r="H2001" s="24">
        <v>46134</v>
      </c>
      <c r="O2001" s="23">
        <v>10954.05</v>
      </c>
      <c r="P2001" s="23" t="s">
        <v>79</v>
      </c>
    </row>
    <row r="2002" spans="2:28" x14ac:dyDescent="0.2">
      <c r="C2002" s="23">
        <v>1100575234</v>
      </c>
      <c r="E2002" s="23">
        <v>10</v>
      </c>
      <c r="F2002" s="23" t="s">
        <v>87</v>
      </c>
      <c r="G2002" s="23" t="s">
        <v>3655</v>
      </c>
      <c r="H2002" s="24">
        <v>46134</v>
      </c>
      <c r="I2002" s="24">
        <v>46134</v>
      </c>
      <c r="J2002" s="23" t="s">
        <v>3656</v>
      </c>
      <c r="K2002" s="23" t="s">
        <v>3656</v>
      </c>
      <c r="L2002" s="23">
        <v>2</v>
      </c>
      <c r="M2002" s="23" t="s">
        <v>78</v>
      </c>
      <c r="N2002" s="23" t="s">
        <v>78</v>
      </c>
      <c r="O2002" s="23">
        <v>22720</v>
      </c>
      <c r="P2002" s="23" t="s">
        <v>79</v>
      </c>
      <c r="Q2002" s="23" t="s">
        <v>83</v>
      </c>
      <c r="R2002" s="23">
        <v>11100176</v>
      </c>
      <c r="S2002" s="24">
        <v>46134</v>
      </c>
      <c r="T2002" s="24">
        <v>46050</v>
      </c>
      <c r="U2002" s="24" t="s">
        <v>80</v>
      </c>
      <c r="X2002" s="24">
        <v>45947</v>
      </c>
      <c r="Y2002" s="23">
        <v>1111</v>
      </c>
      <c r="Z2002" s="23">
        <v>11400124</v>
      </c>
      <c r="AA2002" s="23">
        <v>335803</v>
      </c>
      <c r="AB2002" s="24">
        <v>47118</v>
      </c>
    </row>
    <row r="2003" spans="2:28" x14ac:dyDescent="0.2">
      <c r="C2003" s="23">
        <v>1100575234</v>
      </c>
      <c r="E2003" s="23">
        <v>20</v>
      </c>
      <c r="F2003" s="23" t="s">
        <v>87</v>
      </c>
      <c r="G2003" s="23" t="s">
        <v>3657</v>
      </c>
      <c r="H2003" s="24">
        <v>46134</v>
      </c>
      <c r="I2003" s="24">
        <v>46134</v>
      </c>
      <c r="J2003" s="23" t="s">
        <v>3656</v>
      </c>
      <c r="K2003" s="23" t="s">
        <v>3656</v>
      </c>
      <c r="L2003" s="23">
        <v>1</v>
      </c>
      <c r="M2003" s="23" t="s">
        <v>78</v>
      </c>
      <c r="N2003" s="23" t="s">
        <v>78</v>
      </c>
      <c r="O2003" s="23">
        <v>8394.2099999999991</v>
      </c>
      <c r="P2003" s="23" t="s">
        <v>79</v>
      </c>
      <c r="Q2003" s="23" t="s">
        <v>83</v>
      </c>
      <c r="R2003" s="23">
        <v>11100176</v>
      </c>
      <c r="S2003" s="24">
        <v>46134</v>
      </c>
      <c r="T2003" s="24">
        <v>46050</v>
      </c>
      <c r="U2003" s="24" t="s">
        <v>80</v>
      </c>
      <c r="X2003" s="24">
        <v>45947</v>
      </c>
      <c r="Y2003" s="23">
        <v>1111</v>
      </c>
      <c r="Z2003" s="23">
        <v>11400124</v>
      </c>
      <c r="AA2003" s="23">
        <v>335803</v>
      </c>
      <c r="AB2003" s="24">
        <v>47118</v>
      </c>
    </row>
    <row r="2004" spans="2:28" x14ac:dyDescent="0.2">
      <c r="C2004" s="23">
        <v>1100575234</v>
      </c>
      <c r="E2004" s="23">
        <v>30</v>
      </c>
      <c r="F2004" s="23" t="s">
        <v>84</v>
      </c>
      <c r="G2004" s="23" t="s">
        <v>123</v>
      </c>
      <c r="H2004" s="24">
        <v>46134</v>
      </c>
      <c r="I2004" s="24">
        <v>46134</v>
      </c>
      <c r="J2004" s="23" t="s">
        <v>3656</v>
      </c>
      <c r="K2004" s="23" t="s">
        <v>3656</v>
      </c>
      <c r="L2004" s="23">
        <v>1</v>
      </c>
      <c r="M2004" s="23" t="s">
        <v>78</v>
      </c>
      <c r="N2004" s="23" t="s">
        <v>78</v>
      </c>
      <c r="O2004" s="23">
        <v>0.01</v>
      </c>
      <c r="P2004" s="23" t="s">
        <v>79</v>
      </c>
      <c r="Q2004" s="23" t="s">
        <v>83</v>
      </c>
      <c r="R2004" s="23">
        <v>11100176</v>
      </c>
      <c r="S2004" s="24">
        <v>46134</v>
      </c>
      <c r="T2004" s="24">
        <v>46050</v>
      </c>
      <c r="U2004" s="24" t="s">
        <v>80</v>
      </c>
      <c r="X2004" s="24">
        <v>45947</v>
      </c>
      <c r="Y2004" s="23">
        <v>1111</v>
      </c>
      <c r="Z2004" s="23">
        <v>11400124</v>
      </c>
      <c r="AA2004" s="23">
        <v>335803</v>
      </c>
      <c r="AB2004" s="24">
        <v>47118</v>
      </c>
    </row>
    <row r="2005" spans="2:28" x14ac:dyDescent="0.2">
      <c r="C2005" s="23">
        <v>1100575234</v>
      </c>
      <c r="E2005" s="23">
        <v>40</v>
      </c>
      <c r="F2005" s="23" t="s">
        <v>96</v>
      </c>
      <c r="G2005" s="23" t="s">
        <v>97</v>
      </c>
      <c r="H2005" s="24">
        <v>46134</v>
      </c>
      <c r="I2005" s="24">
        <v>46134</v>
      </c>
      <c r="J2005" s="23" t="s">
        <v>3656</v>
      </c>
      <c r="K2005" s="23" t="s">
        <v>3656</v>
      </c>
      <c r="L2005" s="23">
        <v>1</v>
      </c>
      <c r="M2005" s="23" t="s">
        <v>78</v>
      </c>
      <c r="N2005" s="23" t="s">
        <v>78</v>
      </c>
      <c r="O2005" s="23">
        <v>0.01</v>
      </c>
      <c r="P2005" s="23" t="s">
        <v>79</v>
      </c>
      <c r="Q2005" s="23" t="s">
        <v>83</v>
      </c>
      <c r="R2005" s="23">
        <v>11100176</v>
      </c>
      <c r="S2005" s="24">
        <v>46134</v>
      </c>
      <c r="T2005" s="24">
        <v>46050</v>
      </c>
      <c r="U2005" s="24" t="s">
        <v>80</v>
      </c>
      <c r="X2005" s="24">
        <v>45947</v>
      </c>
      <c r="Y2005" s="23">
        <v>1111</v>
      </c>
      <c r="Z2005" s="23">
        <v>11400124</v>
      </c>
      <c r="AA2005" s="23">
        <v>335803</v>
      </c>
      <c r="AB2005" s="24">
        <v>47118</v>
      </c>
    </row>
    <row r="2006" spans="2:28" x14ac:dyDescent="0.2">
      <c r="B2006" s="23" t="s">
        <v>81</v>
      </c>
      <c r="C2006" s="23">
        <v>1100575234</v>
      </c>
      <c r="H2006" s="24">
        <v>46134</v>
      </c>
      <c r="O2006" s="23">
        <v>31114.23</v>
      </c>
      <c r="P2006" s="23" t="s">
        <v>79</v>
      </c>
    </row>
    <row r="2007" spans="2:28" x14ac:dyDescent="0.2">
      <c r="C2007" s="23">
        <v>1100577419</v>
      </c>
      <c r="E2007" s="23">
        <v>10</v>
      </c>
      <c r="F2007" s="23" t="s">
        <v>683</v>
      </c>
      <c r="G2007" s="23" t="s">
        <v>684</v>
      </c>
      <c r="H2007" s="24">
        <v>46134</v>
      </c>
      <c r="I2007" s="24">
        <v>46134</v>
      </c>
      <c r="J2007" s="23" t="s">
        <v>242</v>
      </c>
      <c r="K2007" s="23" t="s">
        <v>242</v>
      </c>
      <c r="L2007" s="23">
        <v>1</v>
      </c>
      <c r="M2007" s="23" t="s">
        <v>78</v>
      </c>
      <c r="N2007" s="23" t="s">
        <v>78</v>
      </c>
      <c r="O2007" s="23">
        <v>362.94</v>
      </c>
      <c r="P2007" s="23" t="s">
        <v>79</v>
      </c>
      <c r="Q2007" s="23" t="s">
        <v>83</v>
      </c>
      <c r="R2007" s="23">
        <v>11100008</v>
      </c>
      <c r="S2007" s="24">
        <v>46101</v>
      </c>
      <c r="T2007" s="24">
        <v>46073</v>
      </c>
      <c r="U2007" s="24" t="s">
        <v>80</v>
      </c>
      <c r="X2007" s="24">
        <v>46070</v>
      </c>
      <c r="Y2007" s="23">
        <v>1111</v>
      </c>
      <c r="Z2007" s="23">
        <v>11400704</v>
      </c>
      <c r="AA2007" s="23">
        <v>515103</v>
      </c>
      <c r="AB2007" s="24">
        <v>46071</v>
      </c>
    </row>
    <row r="2008" spans="2:28" x14ac:dyDescent="0.2">
      <c r="C2008" s="23">
        <v>1100577419</v>
      </c>
      <c r="E2008" s="23">
        <v>20</v>
      </c>
      <c r="F2008" s="23" t="s">
        <v>743</v>
      </c>
      <c r="G2008" s="23" t="s">
        <v>1946</v>
      </c>
      <c r="H2008" s="24">
        <v>46134</v>
      </c>
      <c r="I2008" s="24">
        <v>46134</v>
      </c>
      <c r="J2008" s="23" t="s">
        <v>242</v>
      </c>
      <c r="K2008" s="23" t="s">
        <v>242</v>
      </c>
      <c r="L2008" s="23">
        <v>1</v>
      </c>
      <c r="M2008" s="23" t="s">
        <v>78</v>
      </c>
      <c r="N2008" s="23" t="s">
        <v>78</v>
      </c>
      <c r="O2008" s="23">
        <v>1664.49</v>
      </c>
      <c r="P2008" s="23" t="s">
        <v>79</v>
      </c>
      <c r="Q2008" s="23" t="s">
        <v>83</v>
      </c>
      <c r="R2008" s="23">
        <v>11100008</v>
      </c>
      <c r="S2008" s="24">
        <v>46101</v>
      </c>
      <c r="T2008" s="24">
        <v>46073</v>
      </c>
      <c r="U2008" s="24" t="s">
        <v>80</v>
      </c>
      <c r="X2008" s="24">
        <v>46070</v>
      </c>
      <c r="Y2008" s="23">
        <v>1111</v>
      </c>
      <c r="Z2008" s="23">
        <v>11400704</v>
      </c>
      <c r="AA2008" s="23">
        <v>515103</v>
      </c>
      <c r="AB2008" s="24">
        <v>46071</v>
      </c>
    </row>
    <row r="2009" spans="2:28" x14ac:dyDescent="0.2">
      <c r="C2009" s="23">
        <v>1100577419</v>
      </c>
      <c r="E2009" s="23">
        <v>30</v>
      </c>
      <c r="F2009" s="23" t="s">
        <v>694</v>
      </c>
      <c r="G2009" s="23" t="s">
        <v>3658</v>
      </c>
      <c r="H2009" s="24">
        <v>46134</v>
      </c>
      <c r="I2009" s="24">
        <v>46134</v>
      </c>
      <c r="J2009" s="23" t="s">
        <v>242</v>
      </c>
      <c r="K2009" s="23" t="s">
        <v>242</v>
      </c>
      <c r="L2009" s="23">
        <v>1</v>
      </c>
      <c r="M2009" s="23" t="s">
        <v>78</v>
      </c>
      <c r="N2009" s="23" t="s">
        <v>78</v>
      </c>
      <c r="O2009" s="23">
        <v>93.2</v>
      </c>
      <c r="P2009" s="23" t="s">
        <v>79</v>
      </c>
      <c r="Q2009" s="23" t="s">
        <v>83</v>
      </c>
      <c r="R2009" s="23">
        <v>11100008</v>
      </c>
      <c r="S2009" s="24">
        <v>46101</v>
      </c>
      <c r="T2009" s="24">
        <v>46073</v>
      </c>
      <c r="U2009" s="24" t="s">
        <v>80</v>
      </c>
      <c r="X2009" s="24">
        <v>46070</v>
      </c>
      <c r="Y2009" s="23">
        <v>1111</v>
      </c>
      <c r="Z2009" s="23">
        <v>11400704</v>
      </c>
      <c r="AA2009" s="23">
        <v>515103</v>
      </c>
      <c r="AB2009" s="24">
        <v>46071</v>
      </c>
    </row>
    <row r="2010" spans="2:28" x14ac:dyDescent="0.2">
      <c r="C2010" s="23">
        <v>1100577419</v>
      </c>
      <c r="E2010" s="23">
        <v>40</v>
      </c>
      <c r="F2010" s="23" t="s">
        <v>82</v>
      </c>
      <c r="G2010" s="23" t="s">
        <v>139</v>
      </c>
      <c r="H2010" s="24">
        <v>46134</v>
      </c>
      <c r="I2010" s="24">
        <v>46134</v>
      </c>
      <c r="J2010" s="23" t="s">
        <v>242</v>
      </c>
      <c r="K2010" s="23" t="s">
        <v>242</v>
      </c>
      <c r="L2010" s="23">
        <v>1</v>
      </c>
      <c r="M2010" s="23" t="s">
        <v>78</v>
      </c>
      <c r="N2010" s="23" t="s">
        <v>78</v>
      </c>
      <c r="O2010" s="23">
        <v>0.01</v>
      </c>
      <c r="P2010" s="23" t="s">
        <v>79</v>
      </c>
      <c r="Q2010" s="23" t="s">
        <v>83</v>
      </c>
      <c r="R2010" s="23">
        <v>11100008</v>
      </c>
      <c r="S2010" s="24" t="s">
        <v>80</v>
      </c>
      <c r="T2010" s="24">
        <v>46073</v>
      </c>
      <c r="U2010" s="24" t="s">
        <v>80</v>
      </c>
      <c r="X2010" s="24">
        <v>46070</v>
      </c>
      <c r="Y2010" s="23">
        <v>1111</v>
      </c>
      <c r="Z2010" s="23">
        <v>11400704</v>
      </c>
      <c r="AA2010" s="23">
        <v>515103</v>
      </c>
      <c r="AB2010" s="24">
        <v>46071</v>
      </c>
    </row>
    <row r="2011" spans="2:28" x14ac:dyDescent="0.2">
      <c r="B2011" s="23" t="s">
        <v>81</v>
      </c>
      <c r="C2011" s="23">
        <v>1100577419</v>
      </c>
      <c r="H2011" s="24">
        <v>46134</v>
      </c>
      <c r="O2011" s="23">
        <v>2120.64</v>
      </c>
      <c r="P2011" s="23" t="s">
        <v>79</v>
      </c>
    </row>
    <row r="2012" spans="2:28" x14ac:dyDescent="0.2">
      <c r="C2012" s="23">
        <v>1100577552</v>
      </c>
      <c r="E2012" s="23">
        <v>10</v>
      </c>
      <c r="F2012" s="23" t="s">
        <v>263</v>
      </c>
      <c r="G2012" s="23" t="s">
        <v>264</v>
      </c>
      <c r="H2012" s="24">
        <v>46134</v>
      </c>
      <c r="I2012" s="24">
        <v>46134</v>
      </c>
      <c r="J2012" s="23" t="s">
        <v>2018</v>
      </c>
      <c r="K2012" s="23" t="s">
        <v>2018</v>
      </c>
      <c r="L2012" s="23">
        <v>1</v>
      </c>
      <c r="M2012" s="23" t="s">
        <v>78</v>
      </c>
      <c r="N2012" s="23" t="s">
        <v>78</v>
      </c>
      <c r="O2012" s="23">
        <v>1292.96</v>
      </c>
      <c r="P2012" s="23" t="s">
        <v>79</v>
      </c>
      <c r="Q2012" s="23" t="s">
        <v>83</v>
      </c>
      <c r="R2012" s="23">
        <v>11100008</v>
      </c>
      <c r="S2012" s="24">
        <v>46143</v>
      </c>
      <c r="T2012" s="24">
        <v>46075</v>
      </c>
      <c r="U2012" s="24" t="s">
        <v>80</v>
      </c>
      <c r="X2012" s="24">
        <v>46072</v>
      </c>
      <c r="Y2012" s="23">
        <v>1111</v>
      </c>
      <c r="Z2012" s="23">
        <v>11400937</v>
      </c>
      <c r="AA2012" s="23">
        <v>3351</v>
      </c>
      <c r="AB2012" s="24">
        <v>46072</v>
      </c>
    </row>
    <row r="2013" spans="2:28" x14ac:dyDescent="0.2">
      <c r="C2013" s="23">
        <v>1100577552</v>
      </c>
      <c r="E2013" s="23">
        <v>20</v>
      </c>
      <c r="F2013" s="23" t="s">
        <v>3659</v>
      </c>
      <c r="G2013" s="23" t="s">
        <v>3660</v>
      </c>
      <c r="H2013" s="24">
        <v>46134</v>
      </c>
      <c r="I2013" s="24">
        <v>46134</v>
      </c>
      <c r="J2013" s="23" t="s">
        <v>2018</v>
      </c>
      <c r="K2013" s="23" t="s">
        <v>2018</v>
      </c>
      <c r="L2013" s="23">
        <v>1</v>
      </c>
      <c r="M2013" s="23" t="s">
        <v>78</v>
      </c>
      <c r="N2013" s="23" t="s">
        <v>78</v>
      </c>
      <c r="O2013" s="23">
        <v>1044</v>
      </c>
      <c r="P2013" s="23" t="s">
        <v>79</v>
      </c>
      <c r="Q2013" s="23" t="s">
        <v>83</v>
      </c>
      <c r="R2013" s="23">
        <v>11100008</v>
      </c>
      <c r="S2013" s="24">
        <v>46143</v>
      </c>
      <c r="T2013" s="24">
        <v>46075</v>
      </c>
      <c r="U2013" s="24" t="s">
        <v>80</v>
      </c>
      <c r="X2013" s="24">
        <v>46072</v>
      </c>
      <c r="Y2013" s="23">
        <v>1111</v>
      </c>
      <c r="Z2013" s="23">
        <v>11400937</v>
      </c>
      <c r="AA2013" s="23">
        <v>3351</v>
      </c>
      <c r="AB2013" s="24">
        <v>46072</v>
      </c>
    </row>
    <row r="2014" spans="2:28" x14ac:dyDescent="0.2">
      <c r="B2014" s="23" t="s">
        <v>81</v>
      </c>
      <c r="C2014" s="23">
        <v>1100577552</v>
      </c>
      <c r="H2014" s="24">
        <v>46134</v>
      </c>
      <c r="O2014" s="23">
        <v>2336.96</v>
      </c>
      <c r="P2014" s="23" t="s">
        <v>79</v>
      </c>
    </row>
    <row r="2015" spans="2:28" x14ac:dyDescent="0.2">
      <c r="C2015" s="23">
        <v>1100578424</v>
      </c>
      <c r="E2015" s="23">
        <v>10</v>
      </c>
      <c r="F2015" s="23" t="s">
        <v>774</v>
      </c>
      <c r="G2015" s="23" t="s">
        <v>775</v>
      </c>
      <c r="H2015" s="24">
        <v>46134</v>
      </c>
      <c r="I2015" s="24">
        <v>46134</v>
      </c>
      <c r="J2015" s="23" t="s">
        <v>92</v>
      </c>
      <c r="K2015" s="23" t="s">
        <v>92</v>
      </c>
      <c r="L2015" s="23">
        <v>1</v>
      </c>
      <c r="M2015" s="23" t="s">
        <v>78</v>
      </c>
      <c r="N2015" s="23" t="s">
        <v>78</v>
      </c>
      <c r="O2015" s="23">
        <v>2712.85</v>
      </c>
      <c r="P2015" s="23" t="s">
        <v>79</v>
      </c>
      <c r="Q2015" s="23" t="s">
        <v>83</v>
      </c>
      <c r="R2015" s="23">
        <v>11100176</v>
      </c>
      <c r="S2015" s="24">
        <v>46125</v>
      </c>
      <c r="T2015" s="24">
        <v>46081</v>
      </c>
      <c r="U2015" s="24" t="s">
        <v>80</v>
      </c>
      <c r="X2015" s="24">
        <v>46080</v>
      </c>
      <c r="Y2015" s="23">
        <v>1111</v>
      </c>
      <c r="Z2015" s="23">
        <v>11400745</v>
      </c>
      <c r="AA2015" s="23">
        <v>525103</v>
      </c>
      <c r="AB2015" s="24">
        <v>46080</v>
      </c>
    </row>
    <row r="2016" spans="2:28" x14ac:dyDescent="0.2">
      <c r="B2016" s="23" t="s">
        <v>81</v>
      </c>
      <c r="C2016" s="23">
        <v>1100578424</v>
      </c>
      <c r="H2016" s="24">
        <v>46134</v>
      </c>
      <c r="O2016" s="23">
        <v>2712.85</v>
      </c>
      <c r="P2016" s="23" t="s">
        <v>79</v>
      </c>
    </row>
    <row r="2017" spans="2:28" x14ac:dyDescent="0.2">
      <c r="C2017" s="23">
        <v>1100574451</v>
      </c>
      <c r="E2017" s="23">
        <v>20</v>
      </c>
      <c r="F2017" s="23" t="s">
        <v>3661</v>
      </c>
      <c r="G2017" s="23" t="s">
        <v>3662</v>
      </c>
      <c r="H2017" s="24">
        <v>46135</v>
      </c>
      <c r="I2017" s="24">
        <v>46135</v>
      </c>
      <c r="J2017" s="23" t="s">
        <v>3663</v>
      </c>
      <c r="K2017" s="23" t="s">
        <v>3663</v>
      </c>
      <c r="L2017" s="23">
        <v>1</v>
      </c>
      <c r="M2017" s="23" t="s">
        <v>78</v>
      </c>
      <c r="N2017" s="23" t="s">
        <v>78</v>
      </c>
      <c r="O2017" s="23">
        <v>4757</v>
      </c>
      <c r="P2017" s="23" t="s">
        <v>79</v>
      </c>
      <c r="Q2017" s="23" t="s">
        <v>83</v>
      </c>
      <c r="R2017" s="23">
        <v>11100176</v>
      </c>
      <c r="S2017" s="24">
        <v>46135</v>
      </c>
      <c r="T2017" s="24">
        <v>46044</v>
      </c>
      <c r="U2017" s="24">
        <v>46135</v>
      </c>
      <c r="X2017" s="24">
        <v>46044</v>
      </c>
      <c r="Y2017" s="23">
        <v>1111</v>
      </c>
      <c r="Z2017" s="23">
        <v>11400124</v>
      </c>
      <c r="AA2017" s="23">
        <v>395803</v>
      </c>
      <c r="AB2017" s="24">
        <v>47118</v>
      </c>
    </row>
    <row r="2018" spans="2:28" x14ac:dyDescent="0.2">
      <c r="C2018" s="23">
        <v>1100574451</v>
      </c>
      <c r="E2018" s="23">
        <v>30</v>
      </c>
      <c r="F2018" s="23" t="s">
        <v>722</v>
      </c>
      <c r="G2018" s="23" t="s">
        <v>723</v>
      </c>
      <c r="H2018" s="24">
        <v>46135</v>
      </c>
      <c r="I2018" s="24">
        <v>46135</v>
      </c>
      <c r="J2018" s="23" t="s">
        <v>3663</v>
      </c>
      <c r="K2018" s="23" t="s">
        <v>3663</v>
      </c>
      <c r="L2018" s="23">
        <v>1</v>
      </c>
      <c r="M2018" s="23" t="s">
        <v>78</v>
      </c>
      <c r="N2018" s="23" t="s">
        <v>78</v>
      </c>
      <c r="O2018" s="23">
        <v>2871</v>
      </c>
      <c r="P2018" s="23" t="s">
        <v>79</v>
      </c>
      <c r="Q2018" s="23" t="s">
        <v>83</v>
      </c>
      <c r="R2018" s="23">
        <v>11100176</v>
      </c>
      <c r="S2018" s="24">
        <v>46135</v>
      </c>
      <c r="T2018" s="24">
        <v>46044</v>
      </c>
      <c r="U2018" s="24">
        <v>46135</v>
      </c>
      <c r="X2018" s="24">
        <v>46044</v>
      </c>
      <c r="Y2018" s="23">
        <v>1111</v>
      </c>
      <c r="Z2018" s="23">
        <v>11400124</v>
      </c>
      <c r="AA2018" s="23">
        <v>395803</v>
      </c>
      <c r="AB2018" s="24">
        <v>47118</v>
      </c>
    </row>
    <row r="2019" spans="2:28" x14ac:dyDescent="0.2">
      <c r="C2019" s="23">
        <v>1100574451</v>
      </c>
      <c r="E2019" s="23">
        <v>50</v>
      </c>
      <c r="F2019" s="23" t="s">
        <v>84</v>
      </c>
      <c r="G2019" s="23" t="s">
        <v>123</v>
      </c>
      <c r="H2019" s="24">
        <v>46135</v>
      </c>
      <c r="I2019" s="24">
        <v>46135</v>
      </c>
      <c r="J2019" s="23" t="s">
        <v>3663</v>
      </c>
      <c r="K2019" s="23" t="s">
        <v>3663</v>
      </c>
      <c r="L2019" s="23">
        <v>1</v>
      </c>
      <c r="M2019" s="23" t="s">
        <v>78</v>
      </c>
      <c r="N2019" s="23" t="s">
        <v>78</v>
      </c>
      <c r="O2019" s="23">
        <v>0.01</v>
      </c>
      <c r="P2019" s="23" t="s">
        <v>79</v>
      </c>
      <c r="Q2019" s="23" t="s">
        <v>83</v>
      </c>
      <c r="R2019" s="23">
        <v>11100176</v>
      </c>
      <c r="S2019" s="24">
        <v>46135</v>
      </c>
      <c r="T2019" s="24">
        <v>46044</v>
      </c>
      <c r="U2019" s="24">
        <v>46079</v>
      </c>
      <c r="X2019" s="24">
        <v>46044</v>
      </c>
      <c r="Y2019" s="23">
        <v>1111</v>
      </c>
      <c r="Z2019" s="23">
        <v>11400124</v>
      </c>
      <c r="AA2019" s="23">
        <v>395803</v>
      </c>
      <c r="AB2019" s="24">
        <v>47118</v>
      </c>
    </row>
    <row r="2020" spans="2:28" x14ac:dyDescent="0.2">
      <c r="B2020" s="23" t="s">
        <v>81</v>
      </c>
      <c r="C2020" s="23">
        <v>1100574451</v>
      </c>
      <c r="H2020" s="24">
        <v>46135</v>
      </c>
      <c r="O2020" s="23">
        <v>7628.01</v>
      </c>
      <c r="P2020" s="23" t="s">
        <v>79</v>
      </c>
    </row>
    <row r="2021" spans="2:28" x14ac:dyDescent="0.2">
      <c r="C2021" s="23">
        <v>1100575182</v>
      </c>
      <c r="E2021" s="23">
        <v>10</v>
      </c>
      <c r="F2021" s="23" t="s">
        <v>3664</v>
      </c>
      <c r="G2021" s="23" t="s">
        <v>3665</v>
      </c>
      <c r="H2021" s="24">
        <v>46135</v>
      </c>
      <c r="I2021" s="24">
        <v>46135</v>
      </c>
      <c r="J2021" s="23" t="s">
        <v>2923</v>
      </c>
      <c r="K2021" s="23" t="s">
        <v>2923</v>
      </c>
      <c r="L2021" s="23">
        <v>1</v>
      </c>
      <c r="M2021" s="23" t="s">
        <v>78</v>
      </c>
      <c r="N2021" s="23" t="s">
        <v>78</v>
      </c>
      <c r="O2021" s="23">
        <v>1437.39</v>
      </c>
      <c r="P2021" s="23" t="s">
        <v>79</v>
      </c>
      <c r="Q2021" s="23" t="s">
        <v>83</v>
      </c>
      <c r="R2021" s="23">
        <v>11100176</v>
      </c>
      <c r="S2021" s="24">
        <v>46114</v>
      </c>
      <c r="T2021" s="24">
        <v>46050</v>
      </c>
      <c r="U2021" s="24" t="s">
        <v>80</v>
      </c>
      <c r="X2021" s="24">
        <v>46044</v>
      </c>
      <c r="Y2021" s="23">
        <v>1111</v>
      </c>
      <c r="Z2021" s="23">
        <v>11100137</v>
      </c>
      <c r="AA2021" s="23">
        <v>5051</v>
      </c>
      <c r="AB2021" s="24">
        <v>46044</v>
      </c>
    </row>
    <row r="2022" spans="2:28" x14ac:dyDescent="0.2">
      <c r="C2022" s="23">
        <v>1100575182</v>
      </c>
      <c r="E2022" s="23">
        <v>20</v>
      </c>
      <c r="F2022" s="23" t="s">
        <v>209</v>
      </c>
      <c r="G2022" s="23" t="s">
        <v>210</v>
      </c>
      <c r="H2022" s="24">
        <v>46135</v>
      </c>
      <c r="I2022" s="24">
        <v>46135</v>
      </c>
      <c r="J2022" s="23" t="s">
        <v>2923</v>
      </c>
      <c r="K2022" s="23" t="s">
        <v>2923</v>
      </c>
      <c r="L2022" s="23">
        <v>1</v>
      </c>
      <c r="M2022" s="23" t="s">
        <v>78</v>
      </c>
      <c r="N2022" s="23" t="s">
        <v>78</v>
      </c>
      <c r="O2022" s="23">
        <v>0.01</v>
      </c>
      <c r="P2022" s="23" t="s">
        <v>79</v>
      </c>
      <c r="Q2022" s="23" t="s">
        <v>83</v>
      </c>
      <c r="R2022" s="23">
        <v>11100176</v>
      </c>
      <c r="S2022" s="24" t="s">
        <v>80</v>
      </c>
      <c r="T2022" s="24">
        <v>46050</v>
      </c>
      <c r="U2022" s="24" t="s">
        <v>80</v>
      </c>
      <c r="X2022" s="24">
        <v>46044</v>
      </c>
      <c r="Y2022" s="23">
        <v>1111</v>
      </c>
      <c r="Z2022" s="23">
        <v>11100137</v>
      </c>
      <c r="AA2022" s="23">
        <v>5051</v>
      </c>
      <c r="AB2022" s="24">
        <v>46044</v>
      </c>
    </row>
    <row r="2023" spans="2:28" x14ac:dyDescent="0.2">
      <c r="B2023" s="23" t="s">
        <v>81</v>
      </c>
      <c r="C2023" s="23">
        <v>1100575182</v>
      </c>
      <c r="H2023" s="24">
        <v>46135</v>
      </c>
      <c r="O2023" s="23">
        <v>1437.4</v>
      </c>
      <c r="P2023" s="23" t="s">
        <v>79</v>
      </c>
    </row>
    <row r="2024" spans="2:28" x14ac:dyDescent="0.2">
      <c r="C2024" s="23">
        <v>1100575313</v>
      </c>
      <c r="E2024" s="23">
        <v>10</v>
      </c>
      <c r="F2024" s="23" t="s">
        <v>731</v>
      </c>
      <c r="G2024" s="23" t="s">
        <v>1739</v>
      </c>
      <c r="H2024" s="24">
        <v>46135</v>
      </c>
      <c r="I2024" s="24">
        <v>46135</v>
      </c>
      <c r="J2024" s="23" t="s">
        <v>935</v>
      </c>
      <c r="K2024" s="23" t="s">
        <v>935</v>
      </c>
      <c r="L2024" s="23">
        <v>4</v>
      </c>
      <c r="M2024" s="23" t="s">
        <v>78</v>
      </c>
      <c r="N2024" s="23" t="s">
        <v>78</v>
      </c>
      <c r="O2024" s="23">
        <v>605.28</v>
      </c>
      <c r="P2024" s="23" t="s">
        <v>79</v>
      </c>
      <c r="Q2024" s="23" t="s">
        <v>83</v>
      </c>
      <c r="R2024" s="23">
        <v>11100176</v>
      </c>
      <c r="S2024" s="24">
        <v>46135</v>
      </c>
      <c r="T2024" s="24">
        <v>46051</v>
      </c>
      <c r="U2024" s="24">
        <v>46135</v>
      </c>
      <c r="X2024" s="24">
        <v>46036</v>
      </c>
      <c r="Y2024" s="23">
        <v>1111</v>
      </c>
      <c r="Z2024" s="23">
        <v>11100137</v>
      </c>
      <c r="AA2024" s="23">
        <v>505103</v>
      </c>
      <c r="AB2024" s="24">
        <v>46028</v>
      </c>
    </row>
    <row r="2025" spans="2:28" x14ac:dyDescent="0.2">
      <c r="C2025" s="23">
        <v>1100575313</v>
      </c>
      <c r="E2025" s="23">
        <v>20</v>
      </c>
      <c r="F2025" s="23" t="s">
        <v>3666</v>
      </c>
      <c r="G2025" s="23" t="s">
        <v>3667</v>
      </c>
      <c r="H2025" s="24">
        <v>46135</v>
      </c>
      <c r="I2025" s="24">
        <v>46135</v>
      </c>
      <c r="J2025" s="23" t="s">
        <v>935</v>
      </c>
      <c r="K2025" s="23" t="s">
        <v>935</v>
      </c>
      <c r="L2025" s="23">
        <v>2</v>
      </c>
      <c r="M2025" s="23" t="s">
        <v>78</v>
      </c>
      <c r="N2025" s="23" t="s">
        <v>78</v>
      </c>
      <c r="O2025" s="23">
        <v>210.52</v>
      </c>
      <c r="P2025" s="23" t="s">
        <v>79</v>
      </c>
      <c r="Q2025" s="23" t="s">
        <v>83</v>
      </c>
      <c r="R2025" s="23">
        <v>11100176</v>
      </c>
      <c r="S2025" s="24">
        <v>46135</v>
      </c>
      <c r="T2025" s="24">
        <v>46051</v>
      </c>
      <c r="U2025" s="24">
        <v>46135</v>
      </c>
      <c r="X2025" s="24">
        <v>46036</v>
      </c>
      <c r="Y2025" s="23">
        <v>1111</v>
      </c>
      <c r="Z2025" s="23">
        <v>11100137</v>
      </c>
      <c r="AA2025" s="23">
        <v>505103</v>
      </c>
      <c r="AB2025" s="24">
        <v>46028</v>
      </c>
    </row>
    <row r="2026" spans="2:28" x14ac:dyDescent="0.2">
      <c r="C2026" s="23">
        <v>1100575313</v>
      </c>
      <c r="E2026" s="23">
        <v>30</v>
      </c>
      <c r="F2026" s="23" t="s">
        <v>3668</v>
      </c>
      <c r="G2026" s="23" t="s">
        <v>3669</v>
      </c>
      <c r="H2026" s="24">
        <v>46135</v>
      </c>
      <c r="I2026" s="24">
        <v>46135</v>
      </c>
      <c r="J2026" s="23" t="s">
        <v>935</v>
      </c>
      <c r="K2026" s="23" t="s">
        <v>935</v>
      </c>
      <c r="L2026" s="23">
        <v>3</v>
      </c>
      <c r="M2026" s="23" t="s">
        <v>78</v>
      </c>
      <c r="N2026" s="23" t="s">
        <v>78</v>
      </c>
      <c r="O2026" s="23">
        <v>3674.37</v>
      </c>
      <c r="P2026" s="23" t="s">
        <v>79</v>
      </c>
      <c r="Q2026" s="23" t="s">
        <v>83</v>
      </c>
      <c r="R2026" s="23">
        <v>11100176</v>
      </c>
      <c r="S2026" s="24">
        <v>46135</v>
      </c>
      <c r="T2026" s="24">
        <v>46051</v>
      </c>
      <c r="U2026" s="24">
        <v>46135</v>
      </c>
      <c r="X2026" s="24">
        <v>46036</v>
      </c>
      <c r="Y2026" s="23">
        <v>1111</v>
      </c>
      <c r="Z2026" s="23">
        <v>11100137</v>
      </c>
      <c r="AA2026" s="23">
        <v>505103</v>
      </c>
      <c r="AB2026" s="24">
        <v>46028</v>
      </c>
    </row>
    <row r="2027" spans="2:28" x14ac:dyDescent="0.2">
      <c r="C2027" s="23">
        <v>1100575313</v>
      </c>
      <c r="E2027" s="23">
        <v>40</v>
      </c>
      <c r="F2027" s="23" t="s">
        <v>3670</v>
      </c>
      <c r="G2027" s="23" t="s">
        <v>3671</v>
      </c>
      <c r="H2027" s="24">
        <v>46135</v>
      </c>
      <c r="I2027" s="24">
        <v>46135</v>
      </c>
      <c r="J2027" s="23" t="s">
        <v>935</v>
      </c>
      <c r="K2027" s="23" t="s">
        <v>935</v>
      </c>
      <c r="L2027" s="23">
        <v>8</v>
      </c>
      <c r="M2027" s="23" t="s">
        <v>78</v>
      </c>
      <c r="N2027" s="23" t="s">
        <v>78</v>
      </c>
      <c r="O2027" s="23">
        <v>728.08</v>
      </c>
      <c r="P2027" s="23" t="s">
        <v>79</v>
      </c>
      <c r="Q2027" s="23" t="s">
        <v>83</v>
      </c>
      <c r="R2027" s="23">
        <v>11100176</v>
      </c>
      <c r="S2027" s="24">
        <v>46135</v>
      </c>
      <c r="T2027" s="24">
        <v>46051</v>
      </c>
      <c r="U2027" s="24">
        <v>46135</v>
      </c>
      <c r="X2027" s="24">
        <v>46036</v>
      </c>
      <c r="Y2027" s="23">
        <v>1111</v>
      </c>
      <c r="Z2027" s="23">
        <v>11100137</v>
      </c>
      <c r="AA2027" s="23">
        <v>505103</v>
      </c>
      <c r="AB2027" s="24">
        <v>46028</v>
      </c>
    </row>
    <row r="2028" spans="2:28" x14ac:dyDescent="0.2">
      <c r="C2028" s="23">
        <v>1100575313</v>
      </c>
      <c r="E2028" s="23">
        <v>50</v>
      </c>
      <c r="F2028" s="23" t="s">
        <v>3672</v>
      </c>
      <c r="G2028" s="23" t="s">
        <v>3673</v>
      </c>
      <c r="H2028" s="24">
        <v>46135</v>
      </c>
      <c r="I2028" s="24">
        <v>46135</v>
      </c>
      <c r="J2028" s="23" t="s">
        <v>935</v>
      </c>
      <c r="K2028" s="23" t="s">
        <v>935</v>
      </c>
      <c r="L2028" s="23">
        <v>11</v>
      </c>
      <c r="M2028" s="23" t="s">
        <v>78</v>
      </c>
      <c r="N2028" s="23" t="s">
        <v>78</v>
      </c>
      <c r="O2028" s="23">
        <v>1302.6199999999999</v>
      </c>
      <c r="P2028" s="23" t="s">
        <v>79</v>
      </c>
      <c r="Q2028" s="23" t="s">
        <v>83</v>
      </c>
      <c r="R2028" s="23">
        <v>11100176</v>
      </c>
      <c r="S2028" s="24">
        <v>46135</v>
      </c>
      <c r="T2028" s="24">
        <v>46051</v>
      </c>
      <c r="U2028" s="24">
        <v>46135</v>
      </c>
      <c r="X2028" s="24">
        <v>46036</v>
      </c>
      <c r="Y2028" s="23">
        <v>1111</v>
      </c>
      <c r="Z2028" s="23">
        <v>11100137</v>
      </c>
      <c r="AA2028" s="23">
        <v>505103</v>
      </c>
      <c r="AB2028" s="24">
        <v>46028</v>
      </c>
    </row>
    <row r="2029" spans="2:28" x14ac:dyDescent="0.2">
      <c r="C2029" s="23">
        <v>1100575313</v>
      </c>
      <c r="E2029" s="23">
        <v>60</v>
      </c>
      <c r="F2029" s="23" t="s">
        <v>3522</v>
      </c>
      <c r="G2029" s="23" t="s">
        <v>3523</v>
      </c>
      <c r="H2029" s="24">
        <v>46135</v>
      </c>
      <c r="I2029" s="24">
        <v>46135</v>
      </c>
      <c r="J2029" s="23" t="s">
        <v>935</v>
      </c>
      <c r="K2029" s="23" t="s">
        <v>935</v>
      </c>
      <c r="L2029" s="23">
        <v>6</v>
      </c>
      <c r="M2029" s="23" t="s">
        <v>78</v>
      </c>
      <c r="N2029" s="23" t="s">
        <v>78</v>
      </c>
      <c r="O2029" s="23">
        <v>309.24</v>
      </c>
      <c r="P2029" s="23" t="s">
        <v>79</v>
      </c>
      <c r="Q2029" s="23" t="s">
        <v>83</v>
      </c>
      <c r="R2029" s="23">
        <v>11100176</v>
      </c>
      <c r="S2029" s="24">
        <v>46135</v>
      </c>
      <c r="T2029" s="24">
        <v>46051</v>
      </c>
      <c r="U2029" s="24">
        <v>46135</v>
      </c>
      <c r="X2029" s="24">
        <v>46036</v>
      </c>
      <c r="Y2029" s="23">
        <v>1111</v>
      </c>
      <c r="Z2029" s="23">
        <v>11100137</v>
      </c>
      <c r="AA2029" s="23">
        <v>505103</v>
      </c>
      <c r="AB2029" s="24">
        <v>46028</v>
      </c>
    </row>
    <row r="2030" spans="2:28" x14ac:dyDescent="0.2">
      <c r="C2030" s="23">
        <v>1100575313</v>
      </c>
      <c r="E2030" s="23">
        <v>70</v>
      </c>
      <c r="F2030" s="23" t="s">
        <v>769</v>
      </c>
      <c r="G2030" s="23" t="s">
        <v>770</v>
      </c>
      <c r="H2030" s="24">
        <v>46135</v>
      </c>
      <c r="I2030" s="24">
        <v>46135</v>
      </c>
      <c r="J2030" s="23" t="s">
        <v>935</v>
      </c>
      <c r="K2030" s="23" t="s">
        <v>935</v>
      </c>
      <c r="L2030" s="23">
        <v>9</v>
      </c>
      <c r="M2030" s="23" t="s">
        <v>78</v>
      </c>
      <c r="N2030" s="23" t="s">
        <v>78</v>
      </c>
      <c r="O2030" s="23">
        <v>408.6</v>
      </c>
      <c r="P2030" s="23" t="s">
        <v>79</v>
      </c>
      <c r="Q2030" s="23" t="s">
        <v>83</v>
      </c>
      <c r="R2030" s="23">
        <v>11100176</v>
      </c>
      <c r="S2030" s="24">
        <v>46135</v>
      </c>
      <c r="T2030" s="24">
        <v>46051</v>
      </c>
      <c r="U2030" s="24">
        <v>46135</v>
      </c>
      <c r="X2030" s="24">
        <v>46036</v>
      </c>
      <c r="Y2030" s="23">
        <v>1111</v>
      </c>
      <c r="Z2030" s="23">
        <v>11100137</v>
      </c>
      <c r="AA2030" s="23">
        <v>505103</v>
      </c>
      <c r="AB2030" s="24">
        <v>46028</v>
      </c>
    </row>
    <row r="2031" spans="2:28" x14ac:dyDescent="0.2">
      <c r="C2031" s="23">
        <v>1100575313</v>
      </c>
      <c r="E2031" s="23">
        <v>80</v>
      </c>
      <c r="F2031" s="23" t="s">
        <v>3674</v>
      </c>
      <c r="G2031" s="23" t="s">
        <v>3671</v>
      </c>
      <c r="H2031" s="24">
        <v>46135</v>
      </c>
      <c r="I2031" s="24">
        <v>46135</v>
      </c>
      <c r="J2031" s="23" t="s">
        <v>935</v>
      </c>
      <c r="K2031" s="23" t="s">
        <v>935</v>
      </c>
      <c r="L2031" s="23">
        <v>9</v>
      </c>
      <c r="M2031" s="23" t="s">
        <v>78</v>
      </c>
      <c r="N2031" s="23" t="s">
        <v>78</v>
      </c>
      <c r="O2031" s="23">
        <v>562.5</v>
      </c>
      <c r="P2031" s="23" t="s">
        <v>79</v>
      </c>
      <c r="Q2031" s="23" t="s">
        <v>83</v>
      </c>
      <c r="R2031" s="23">
        <v>11100176</v>
      </c>
      <c r="S2031" s="24">
        <v>46135</v>
      </c>
      <c r="T2031" s="24">
        <v>46051</v>
      </c>
      <c r="U2031" s="24">
        <v>46135</v>
      </c>
      <c r="X2031" s="24">
        <v>46036</v>
      </c>
      <c r="Y2031" s="23">
        <v>1111</v>
      </c>
      <c r="Z2031" s="23">
        <v>11100137</v>
      </c>
      <c r="AA2031" s="23">
        <v>505103</v>
      </c>
      <c r="AB2031" s="24">
        <v>46028</v>
      </c>
    </row>
    <row r="2032" spans="2:28" x14ac:dyDescent="0.2">
      <c r="C2032" s="23">
        <v>1100575313</v>
      </c>
      <c r="E2032" s="23">
        <v>90</v>
      </c>
      <c r="F2032" s="23" t="s">
        <v>3675</v>
      </c>
      <c r="G2032" s="23" t="s">
        <v>3676</v>
      </c>
      <c r="H2032" s="24">
        <v>46135</v>
      </c>
      <c r="I2032" s="24">
        <v>46135</v>
      </c>
      <c r="J2032" s="23" t="s">
        <v>935</v>
      </c>
      <c r="K2032" s="23" t="s">
        <v>935</v>
      </c>
      <c r="L2032" s="23">
        <v>2</v>
      </c>
      <c r="M2032" s="23" t="s">
        <v>78</v>
      </c>
      <c r="N2032" s="23" t="s">
        <v>78</v>
      </c>
      <c r="O2032" s="23">
        <v>6495.66</v>
      </c>
      <c r="P2032" s="23" t="s">
        <v>79</v>
      </c>
      <c r="Q2032" s="23" t="s">
        <v>83</v>
      </c>
      <c r="R2032" s="23">
        <v>11100176</v>
      </c>
      <c r="S2032" s="24">
        <v>46135</v>
      </c>
      <c r="T2032" s="24">
        <v>46051</v>
      </c>
      <c r="U2032" s="24">
        <v>46135</v>
      </c>
      <c r="X2032" s="24">
        <v>46036</v>
      </c>
      <c r="Y2032" s="23">
        <v>1111</v>
      </c>
      <c r="Z2032" s="23">
        <v>11100137</v>
      </c>
      <c r="AA2032" s="23">
        <v>505103</v>
      </c>
      <c r="AB2032" s="24">
        <v>46028</v>
      </c>
    </row>
    <row r="2033" spans="2:28" x14ac:dyDescent="0.2">
      <c r="C2033" s="23">
        <v>1100575313</v>
      </c>
      <c r="E2033" s="23">
        <v>100</v>
      </c>
      <c r="F2033" s="23" t="s">
        <v>3677</v>
      </c>
      <c r="G2033" s="23" t="s">
        <v>3678</v>
      </c>
      <c r="H2033" s="24">
        <v>46135</v>
      </c>
      <c r="I2033" s="24">
        <v>46135</v>
      </c>
      <c r="J2033" s="23" t="s">
        <v>935</v>
      </c>
      <c r="K2033" s="23" t="s">
        <v>935</v>
      </c>
      <c r="L2033" s="23">
        <v>3</v>
      </c>
      <c r="M2033" s="23" t="s">
        <v>78</v>
      </c>
      <c r="N2033" s="23" t="s">
        <v>78</v>
      </c>
      <c r="O2033" s="23">
        <v>13.17</v>
      </c>
      <c r="P2033" s="23" t="s">
        <v>79</v>
      </c>
      <c r="Q2033" s="23" t="s">
        <v>83</v>
      </c>
      <c r="R2033" s="23">
        <v>11100176</v>
      </c>
      <c r="S2033" s="24">
        <v>46135</v>
      </c>
      <c r="T2033" s="24">
        <v>46051</v>
      </c>
      <c r="U2033" s="24">
        <v>46135</v>
      </c>
      <c r="X2033" s="24">
        <v>46036</v>
      </c>
      <c r="Y2033" s="23">
        <v>1111</v>
      </c>
      <c r="Z2033" s="23">
        <v>11100137</v>
      </c>
      <c r="AA2033" s="23">
        <v>505103</v>
      </c>
      <c r="AB2033" s="24">
        <v>46028</v>
      </c>
    </row>
    <row r="2034" spans="2:28" x14ac:dyDescent="0.2">
      <c r="C2034" s="23">
        <v>1100575313</v>
      </c>
      <c r="E2034" s="23">
        <v>120</v>
      </c>
      <c r="F2034" s="23" t="s">
        <v>3679</v>
      </c>
      <c r="G2034" s="23" t="s">
        <v>3680</v>
      </c>
      <c r="H2034" s="24">
        <v>46135</v>
      </c>
      <c r="I2034" s="24">
        <v>46135</v>
      </c>
      <c r="J2034" s="23" t="s">
        <v>935</v>
      </c>
      <c r="K2034" s="23" t="s">
        <v>935</v>
      </c>
      <c r="L2034" s="23">
        <v>4</v>
      </c>
      <c r="M2034" s="23" t="s">
        <v>78</v>
      </c>
      <c r="N2034" s="23" t="s">
        <v>78</v>
      </c>
      <c r="O2034" s="23">
        <v>1732.48</v>
      </c>
      <c r="P2034" s="23" t="s">
        <v>79</v>
      </c>
      <c r="Q2034" s="23" t="s">
        <v>83</v>
      </c>
      <c r="R2034" s="23">
        <v>11100176</v>
      </c>
      <c r="S2034" s="24">
        <v>46135</v>
      </c>
      <c r="T2034" s="24">
        <v>46051</v>
      </c>
      <c r="U2034" s="24">
        <v>46135</v>
      </c>
      <c r="X2034" s="24">
        <v>46036</v>
      </c>
      <c r="Y2034" s="23">
        <v>1111</v>
      </c>
      <c r="Z2034" s="23">
        <v>11100137</v>
      </c>
      <c r="AA2034" s="23">
        <v>505103</v>
      </c>
      <c r="AB2034" s="24">
        <v>46028</v>
      </c>
    </row>
    <row r="2035" spans="2:28" x14ac:dyDescent="0.2">
      <c r="C2035" s="23">
        <v>1100575313</v>
      </c>
      <c r="E2035" s="23">
        <v>130</v>
      </c>
      <c r="F2035" s="23" t="s">
        <v>3681</v>
      </c>
      <c r="G2035" s="23" t="s">
        <v>3682</v>
      </c>
      <c r="H2035" s="24">
        <v>46135</v>
      </c>
      <c r="I2035" s="24">
        <v>46135</v>
      </c>
      <c r="J2035" s="23" t="s">
        <v>935</v>
      </c>
      <c r="K2035" s="23" t="s">
        <v>935</v>
      </c>
      <c r="L2035" s="23">
        <v>8</v>
      </c>
      <c r="M2035" s="23" t="s">
        <v>78</v>
      </c>
      <c r="N2035" s="23" t="s">
        <v>78</v>
      </c>
      <c r="O2035" s="23">
        <v>829.84</v>
      </c>
      <c r="P2035" s="23" t="s">
        <v>79</v>
      </c>
      <c r="Q2035" s="23" t="s">
        <v>83</v>
      </c>
      <c r="R2035" s="23">
        <v>11100176</v>
      </c>
      <c r="S2035" s="24">
        <v>46135</v>
      </c>
      <c r="T2035" s="24">
        <v>46051</v>
      </c>
      <c r="U2035" s="24">
        <v>46135</v>
      </c>
      <c r="X2035" s="24">
        <v>46036</v>
      </c>
      <c r="Y2035" s="23">
        <v>1111</v>
      </c>
      <c r="Z2035" s="23">
        <v>11100137</v>
      </c>
      <c r="AA2035" s="23">
        <v>505103</v>
      </c>
      <c r="AB2035" s="24">
        <v>46028</v>
      </c>
    </row>
    <row r="2036" spans="2:28" x14ac:dyDescent="0.2">
      <c r="C2036" s="23">
        <v>1100575313</v>
      </c>
      <c r="E2036" s="23">
        <v>140</v>
      </c>
      <c r="F2036" s="23" t="s">
        <v>3683</v>
      </c>
      <c r="G2036" s="23" t="s">
        <v>3684</v>
      </c>
      <c r="H2036" s="24">
        <v>46135</v>
      </c>
      <c r="I2036" s="24">
        <v>46135</v>
      </c>
      <c r="J2036" s="23" t="s">
        <v>935</v>
      </c>
      <c r="K2036" s="23" t="s">
        <v>935</v>
      </c>
      <c r="L2036" s="23">
        <v>8</v>
      </c>
      <c r="M2036" s="23" t="s">
        <v>78</v>
      </c>
      <c r="N2036" s="23" t="s">
        <v>78</v>
      </c>
      <c r="O2036" s="23">
        <v>91.2</v>
      </c>
      <c r="P2036" s="23" t="s">
        <v>79</v>
      </c>
      <c r="Q2036" s="23" t="s">
        <v>83</v>
      </c>
      <c r="R2036" s="23">
        <v>11100176</v>
      </c>
      <c r="S2036" s="24">
        <v>46135</v>
      </c>
      <c r="T2036" s="24">
        <v>46051</v>
      </c>
      <c r="U2036" s="24">
        <v>46135</v>
      </c>
      <c r="X2036" s="24">
        <v>46036</v>
      </c>
      <c r="Y2036" s="23">
        <v>1111</v>
      </c>
      <c r="Z2036" s="23">
        <v>11100137</v>
      </c>
      <c r="AA2036" s="23">
        <v>505103</v>
      </c>
      <c r="AB2036" s="24">
        <v>46028</v>
      </c>
    </row>
    <row r="2037" spans="2:28" x14ac:dyDescent="0.2">
      <c r="C2037" s="23">
        <v>1100575313</v>
      </c>
      <c r="E2037" s="23">
        <v>150</v>
      </c>
      <c r="F2037" s="23" t="s">
        <v>297</v>
      </c>
      <c r="G2037" s="23" t="s">
        <v>298</v>
      </c>
      <c r="H2037" s="24">
        <v>46135</v>
      </c>
      <c r="I2037" s="24">
        <v>46135</v>
      </c>
      <c r="J2037" s="23" t="s">
        <v>935</v>
      </c>
      <c r="K2037" s="23" t="s">
        <v>935</v>
      </c>
      <c r="L2037" s="23">
        <v>1</v>
      </c>
      <c r="M2037" s="23" t="s">
        <v>78</v>
      </c>
      <c r="N2037" s="23" t="s">
        <v>78</v>
      </c>
      <c r="O2037" s="23">
        <v>0.01</v>
      </c>
      <c r="P2037" s="23" t="s">
        <v>79</v>
      </c>
      <c r="Q2037" s="23" t="s">
        <v>83</v>
      </c>
      <c r="R2037" s="23">
        <v>11100176</v>
      </c>
      <c r="S2037" s="24" t="s">
        <v>80</v>
      </c>
      <c r="T2037" s="24">
        <v>46051</v>
      </c>
      <c r="U2037" s="24">
        <v>46135</v>
      </c>
      <c r="X2037" s="24">
        <v>46036</v>
      </c>
      <c r="Y2037" s="23">
        <v>1111</v>
      </c>
      <c r="Z2037" s="23">
        <v>11100137</v>
      </c>
      <c r="AA2037" s="23">
        <v>505103</v>
      </c>
      <c r="AB2037" s="24">
        <v>46028</v>
      </c>
    </row>
    <row r="2038" spans="2:28" x14ac:dyDescent="0.2">
      <c r="B2038" s="23" t="s">
        <v>81</v>
      </c>
      <c r="C2038" s="23">
        <v>1100575313</v>
      </c>
      <c r="H2038" s="24">
        <v>46135</v>
      </c>
      <c r="O2038" s="23">
        <v>16963.57</v>
      </c>
      <c r="P2038" s="23" t="s">
        <v>79</v>
      </c>
    </row>
    <row r="2039" spans="2:28" x14ac:dyDescent="0.2">
      <c r="C2039" s="23">
        <v>1100576607</v>
      </c>
      <c r="E2039" s="23">
        <v>30</v>
      </c>
      <c r="F2039" s="23" t="s">
        <v>1987</v>
      </c>
      <c r="G2039" s="23" t="s">
        <v>1988</v>
      </c>
      <c r="H2039" s="24">
        <v>46135</v>
      </c>
      <c r="I2039" s="24">
        <v>46135</v>
      </c>
      <c r="J2039" s="23" t="s">
        <v>3685</v>
      </c>
      <c r="K2039" s="23" t="s">
        <v>3685</v>
      </c>
      <c r="L2039" s="23">
        <v>1</v>
      </c>
      <c r="M2039" s="23" t="s">
        <v>566</v>
      </c>
      <c r="N2039" s="23" t="s">
        <v>566</v>
      </c>
      <c r="O2039" s="23">
        <v>2468.2199999999998</v>
      </c>
      <c r="P2039" s="23" t="s">
        <v>79</v>
      </c>
      <c r="Q2039" s="23" t="s">
        <v>83</v>
      </c>
      <c r="R2039" s="23">
        <v>11100176</v>
      </c>
      <c r="S2039" s="24">
        <v>46135</v>
      </c>
      <c r="T2039" s="24">
        <v>46065</v>
      </c>
      <c r="U2039" s="24">
        <v>47116</v>
      </c>
      <c r="X2039" s="24">
        <v>46065</v>
      </c>
      <c r="Y2039" s="23">
        <v>1111</v>
      </c>
      <c r="Z2039" s="23">
        <v>11600007</v>
      </c>
      <c r="AA2039" s="23">
        <v>335103</v>
      </c>
      <c r="AB2039" s="24">
        <v>46064</v>
      </c>
    </row>
    <row r="2040" spans="2:28" x14ac:dyDescent="0.2">
      <c r="B2040" s="23" t="s">
        <v>81</v>
      </c>
      <c r="C2040" s="23">
        <v>1100576607</v>
      </c>
      <c r="H2040" s="24">
        <v>46135</v>
      </c>
      <c r="O2040" s="23">
        <v>2468.2199999999998</v>
      </c>
      <c r="P2040" s="23" t="s">
        <v>79</v>
      </c>
    </row>
    <row r="2041" spans="2:28" x14ac:dyDescent="0.2">
      <c r="C2041" s="23">
        <v>1100577124</v>
      </c>
      <c r="E2041" s="23">
        <v>10</v>
      </c>
      <c r="F2041" s="23" t="s">
        <v>3686</v>
      </c>
      <c r="G2041" s="23" t="s">
        <v>3687</v>
      </c>
      <c r="H2041" s="24">
        <v>46135</v>
      </c>
      <c r="I2041" s="24">
        <v>46135</v>
      </c>
      <c r="J2041" s="23" t="s">
        <v>157</v>
      </c>
      <c r="K2041" s="23" t="s">
        <v>157</v>
      </c>
      <c r="L2041" s="23">
        <v>6</v>
      </c>
      <c r="M2041" s="23" t="s">
        <v>78</v>
      </c>
      <c r="N2041" s="23" t="s">
        <v>78</v>
      </c>
      <c r="O2041" s="23">
        <v>504.12</v>
      </c>
      <c r="P2041" s="23" t="s">
        <v>79</v>
      </c>
      <c r="Q2041" s="23" t="s">
        <v>83</v>
      </c>
      <c r="R2041" s="23">
        <v>11100008</v>
      </c>
      <c r="S2041" s="24">
        <v>46128</v>
      </c>
      <c r="T2041" s="24">
        <v>46071</v>
      </c>
      <c r="U2041" s="24" t="s">
        <v>80</v>
      </c>
      <c r="X2041" s="24">
        <v>46069</v>
      </c>
      <c r="Y2041" s="23">
        <v>1111</v>
      </c>
      <c r="Z2041" s="23">
        <v>11400606</v>
      </c>
      <c r="AA2041" s="23">
        <v>3351</v>
      </c>
      <c r="AB2041" s="24">
        <v>46069</v>
      </c>
    </row>
    <row r="2042" spans="2:28" x14ac:dyDescent="0.2">
      <c r="C2042" s="23">
        <v>1100577124</v>
      </c>
      <c r="E2042" s="23">
        <v>20</v>
      </c>
      <c r="F2042" s="23" t="s">
        <v>82</v>
      </c>
      <c r="G2042" s="23" t="s">
        <v>139</v>
      </c>
      <c r="H2042" s="24">
        <v>46135</v>
      </c>
      <c r="I2042" s="24">
        <v>46135</v>
      </c>
      <c r="J2042" s="23" t="s">
        <v>157</v>
      </c>
      <c r="K2042" s="23" t="s">
        <v>157</v>
      </c>
      <c r="L2042" s="23">
        <v>1</v>
      </c>
      <c r="M2042" s="23" t="s">
        <v>78</v>
      </c>
      <c r="N2042" s="23" t="s">
        <v>78</v>
      </c>
      <c r="O2042" s="23">
        <v>0.01</v>
      </c>
      <c r="P2042" s="23" t="s">
        <v>79</v>
      </c>
      <c r="Q2042" s="23" t="s">
        <v>83</v>
      </c>
      <c r="R2042" s="23">
        <v>11100008</v>
      </c>
      <c r="S2042" s="24" t="s">
        <v>80</v>
      </c>
      <c r="T2042" s="24">
        <v>46071</v>
      </c>
      <c r="U2042" s="24" t="s">
        <v>80</v>
      </c>
      <c r="X2042" s="24">
        <v>46069</v>
      </c>
      <c r="Y2042" s="23">
        <v>1111</v>
      </c>
      <c r="Z2042" s="23">
        <v>11400606</v>
      </c>
      <c r="AA2042" s="23">
        <v>3351</v>
      </c>
      <c r="AB2042" s="24">
        <v>46069</v>
      </c>
    </row>
    <row r="2043" spans="2:28" x14ac:dyDescent="0.2">
      <c r="B2043" s="23" t="s">
        <v>81</v>
      </c>
      <c r="C2043" s="23">
        <v>1100577124</v>
      </c>
      <c r="H2043" s="24">
        <v>46135</v>
      </c>
      <c r="O2043" s="23">
        <v>504.13</v>
      </c>
      <c r="P2043" s="23" t="s">
        <v>79</v>
      </c>
    </row>
    <row r="2044" spans="2:28" x14ac:dyDescent="0.2">
      <c r="C2044" s="23">
        <v>1100577994</v>
      </c>
      <c r="E2044" s="23">
        <v>70</v>
      </c>
      <c r="F2044" s="23" t="s">
        <v>3688</v>
      </c>
      <c r="G2044" s="23" t="s">
        <v>3689</v>
      </c>
      <c r="H2044" s="24">
        <v>46135</v>
      </c>
      <c r="I2044" s="24">
        <v>46135</v>
      </c>
      <c r="J2044" s="23" t="s">
        <v>968</v>
      </c>
      <c r="K2044" s="23" t="s">
        <v>968</v>
      </c>
      <c r="L2044" s="23">
        <v>1</v>
      </c>
      <c r="M2044" s="23" t="s">
        <v>78</v>
      </c>
      <c r="N2044" s="23" t="s">
        <v>78</v>
      </c>
      <c r="O2044" s="23">
        <v>1191.6300000000001</v>
      </c>
      <c r="P2044" s="23" t="s">
        <v>79</v>
      </c>
      <c r="Q2044" s="23" t="s">
        <v>83</v>
      </c>
      <c r="R2044" s="23">
        <v>11100176</v>
      </c>
      <c r="S2044" s="24">
        <v>46135</v>
      </c>
      <c r="T2044" s="24">
        <v>46078</v>
      </c>
      <c r="U2044" s="24">
        <v>47116</v>
      </c>
      <c r="X2044" s="24">
        <v>46076</v>
      </c>
      <c r="Y2044" s="23">
        <v>1111</v>
      </c>
      <c r="Z2044" s="23">
        <v>11400797</v>
      </c>
      <c r="AA2044" s="23">
        <v>335103</v>
      </c>
      <c r="AB2044" s="24">
        <v>46076</v>
      </c>
    </row>
    <row r="2045" spans="2:28" x14ac:dyDescent="0.2">
      <c r="B2045" s="23" t="s">
        <v>81</v>
      </c>
      <c r="C2045" s="23">
        <v>1100577994</v>
      </c>
      <c r="H2045" s="24">
        <v>46135</v>
      </c>
      <c r="O2045" s="23">
        <v>1191.6300000000001</v>
      </c>
      <c r="P2045" s="23" t="s">
        <v>79</v>
      </c>
    </row>
    <row r="2046" spans="2:28" x14ac:dyDescent="0.2">
      <c r="C2046" s="23">
        <v>1100578033</v>
      </c>
      <c r="E2046" s="23">
        <v>10</v>
      </c>
      <c r="F2046" s="23" t="s">
        <v>2000</v>
      </c>
      <c r="G2046" s="23" t="s">
        <v>2001</v>
      </c>
      <c r="H2046" s="24">
        <v>46135</v>
      </c>
      <c r="I2046" s="24">
        <v>46135</v>
      </c>
      <c r="J2046" s="23" t="s">
        <v>561</v>
      </c>
      <c r="K2046" s="23" t="s">
        <v>561</v>
      </c>
      <c r="L2046" s="23">
        <v>3</v>
      </c>
      <c r="M2046" s="23" t="s">
        <v>78</v>
      </c>
      <c r="N2046" s="23" t="s">
        <v>78</v>
      </c>
      <c r="O2046" s="23">
        <v>16.68</v>
      </c>
      <c r="P2046" s="23" t="s">
        <v>79</v>
      </c>
      <c r="Q2046" s="23" t="s">
        <v>83</v>
      </c>
      <c r="R2046" s="23">
        <v>11100176</v>
      </c>
      <c r="S2046" s="24">
        <v>46086</v>
      </c>
      <c r="T2046" s="24">
        <v>46079</v>
      </c>
      <c r="U2046" s="24" t="s">
        <v>80</v>
      </c>
      <c r="X2046" s="24">
        <v>46077</v>
      </c>
      <c r="Y2046" s="23">
        <v>1111</v>
      </c>
      <c r="Z2046" s="23">
        <v>11100137</v>
      </c>
      <c r="AA2046" s="23">
        <v>335103</v>
      </c>
      <c r="AB2046" s="24">
        <v>46077</v>
      </c>
    </row>
    <row r="2047" spans="2:28" x14ac:dyDescent="0.2">
      <c r="C2047" s="23">
        <v>1100578033</v>
      </c>
      <c r="E2047" s="23">
        <v>20</v>
      </c>
      <c r="F2047" s="23" t="s">
        <v>3690</v>
      </c>
      <c r="G2047" s="23" t="s">
        <v>3691</v>
      </c>
      <c r="H2047" s="24">
        <v>46135</v>
      </c>
      <c r="I2047" s="24">
        <v>46135</v>
      </c>
      <c r="J2047" s="23" t="s">
        <v>561</v>
      </c>
      <c r="K2047" s="23" t="s">
        <v>561</v>
      </c>
      <c r="L2047" s="23">
        <v>164</v>
      </c>
      <c r="M2047" s="23" t="s">
        <v>122</v>
      </c>
      <c r="N2047" s="23" t="s">
        <v>122</v>
      </c>
      <c r="O2047" s="23">
        <v>287</v>
      </c>
      <c r="P2047" s="23" t="s">
        <v>79</v>
      </c>
      <c r="Q2047" s="23" t="s">
        <v>83</v>
      </c>
      <c r="R2047" s="23">
        <v>11100176</v>
      </c>
      <c r="S2047" s="24">
        <v>46086</v>
      </c>
      <c r="T2047" s="24">
        <v>46079</v>
      </c>
      <c r="U2047" s="24" t="s">
        <v>80</v>
      </c>
      <c r="X2047" s="24">
        <v>46077</v>
      </c>
      <c r="Y2047" s="23">
        <v>1111</v>
      </c>
      <c r="Z2047" s="23">
        <v>11100137</v>
      </c>
      <c r="AA2047" s="23">
        <v>335103</v>
      </c>
      <c r="AB2047" s="24">
        <v>46077</v>
      </c>
    </row>
    <row r="2048" spans="2:28" x14ac:dyDescent="0.2">
      <c r="C2048" s="23">
        <v>1100578033</v>
      </c>
      <c r="E2048" s="23">
        <v>30</v>
      </c>
      <c r="F2048" s="23" t="s">
        <v>2039</v>
      </c>
      <c r="G2048" s="23" t="s">
        <v>2040</v>
      </c>
      <c r="H2048" s="24">
        <v>46135</v>
      </c>
      <c r="I2048" s="24">
        <v>46135</v>
      </c>
      <c r="J2048" s="23" t="s">
        <v>561</v>
      </c>
      <c r="K2048" s="23" t="s">
        <v>561</v>
      </c>
      <c r="L2048" s="23">
        <v>200</v>
      </c>
      <c r="M2048" s="23" t="s">
        <v>78</v>
      </c>
      <c r="N2048" s="23" t="s">
        <v>78</v>
      </c>
      <c r="O2048" s="23">
        <v>1164</v>
      </c>
      <c r="P2048" s="23" t="s">
        <v>79</v>
      </c>
      <c r="Q2048" s="23" t="s">
        <v>83</v>
      </c>
      <c r="R2048" s="23">
        <v>11100176</v>
      </c>
      <c r="S2048" s="24">
        <v>46086</v>
      </c>
      <c r="T2048" s="24">
        <v>46079</v>
      </c>
      <c r="U2048" s="24" t="s">
        <v>80</v>
      </c>
      <c r="X2048" s="24">
        <v>46077</v>
      </c>
      <c r="Y2048" s="23">
        <v>1111</v>
      </c>
      <c r="Z2048" s="23">
        <v>11100137</v>
      </c>
      <c r="AA2048" s="23">
        <v>335103</v>
      </c>
      <c r="AB2048" s="24">
        <v>46077</v>
      </c>
    </row>
    <row r="2049" spans="2:28" x14ac:dyDescent="0.2">
      <c r="B2049" s="23" t="s">
        <v>81</v>
      </c>
      <c r="C2049" s="23">
        <v>1100578033</v>
      </c>
      <c r="H2049" s="24">
        <v>46135</v>
      </c>
      <c r="O2049" s="23">
        <v>1467.68</v>
      </c>
      <c r="P2049" s="23" t="s">
        <v>79</v>
      </c>
    </row>
    <row r="2050" spans="2:28" x14ac:dyDescent="0.2">
      <c r="C2050" s="23">
        <v>1100578057</v>
      </c>
      <c r="E2050" s="23">
        <v>20</v>
      </c>
      <c r="F2050" s="23" t="s">
        <v>3692</v>
      </c>
      <c r="G2050" s="23" t="s">
        <v>3693</v>
      </c>
      <c r="H2050" s="24">
        <v>46135</v>
      </c>
      <c r="I2050" s="24">
        <v>46135</v>
      </c>
      <c r="J2050" s="23" t="s">
        <v>3694</v>
      </c>
      <c r="K2050" s="23" t="s">
        <v>3694</v>
      </c>
      <c r="L2050" s="23">
        <v>16</v>
      </c>
      <c r="M2050" s="23" t="s">
        <v>78</v>
      </c>
      <c r="N2050" s="23" t="s">
        <v>78</v>
      </c>
      <c r="O2050" s="23">
        <v>12305.6</v>
      </c>
      <c r="P2050" s="23" t="s">
        <v>79</v>
      </c>
      <c r="Q2050" s="23" t="s">
        <v>83</v>
      </c>
      <c r="R2050" s="23">
        <v>11100176</v>
      </c>
      <c r="S2050" s="24">
        <v>46135</v>
      </c>
      <c r="T2050" s="24">
        <v>46079</v>
      </c>
      <c r="U2050" s="24" t="s">
        <v>80</v>
      </c>
      <c r="X2050" s="24">
        <v>46078</v>
      </c>
      <c r="Y2050" s="23">
        <v>1111</v>
      </c>
      <c r="Z2050" s="23">
        <v>11100137</v>
      </c>
      <c r="AA2050" s="23">
        <v>335103</v>
      </c>
      <c r="AB2050" s="24">
        <v>46055</v>
      </c>
    </row>
    <row r="2051" spans="2:28" x14ac:dyDescent="0.2">
      <c r="C2051" s="23">
        <v>1100578057</v>
      </c>
      <c r="E2051" s="23">
        <v>90</v>
      </c>
      <c r="F2051" s="23" t="s">
        <v>1059</v>
      </c>
      <c r="G2051" s="23" t="s">
        <v>1060</v>
      </c>
      <c r="H2051" s="24">
        <v>46135</v>
      </c>
      <c r="I2051" s="24">
        <v>46135</v>
      </c>
      <c r="J2051" s="23" t="s">
        <v>3694</v>
      </c>
      <c r="K2051" s="23" t="s">
        <v>3694</v>
      </c>
      <c r="L2051" s="23">
        <v>2</v>
      </c>
      <c r="M2051" s="23" t="s">
        <v>78</v>
      </c>
      <c r="N2051" s="23" t="s">
        <v>78</v>
      </c>
      <c r="O2051" s="23">
        <v>4637.5</v>
      </c>
      <c r="P2051" s="23" t="s">
        <v>79</v>
      </c>
      <c r="Q2051" s="23" t="s">
        <v>83</v>
      </c>
      <c r="R2051" s="23">
        <v>11100176</v>
      </c>
      <c r="S2051" s="24">
        <v>46135</v>
      </c>
      <c r="T2051" s="24">
        <v>46079</v>
      </c>
      <c r="U2051" s="24" t="s">
        <v>80</v>
      </c>
      <c r="X2051" s="24">
        <v>46078</v>
      </c>
      <c r="Y2051" s="23">
        <v>1111</v>
      </c>
      <c r="Z2051" s="23">
        <v>11100137</v>
      </c>
      <c r="AA2051" s="23">
        <v>335103</v>
      </c>
      <c r="AB2051" s="24">
        <v>46055</v>
      </c>
    </row>
    <row r="2052" spans="2:28" x14ac:dyDescent="0.2">
      <c r="C2052" s="23">
        <v>1100578057</v>
      </c>
      <c r="E2052" s="23">
        <v>100</v>
      </c>
      <c r="F2052" s="23" t="s">
        <v>1981</v>
      </c>
      <c r="G2052" s="23" t="s">
        <v>1982</v>
      </c>
      <c r="H2052" s="24">
        <v>46135</v>
      </c>
      <c r="I2052" s="24">
        <v>46135</v>
      </c>
      <c r="J2052" s="23" t="s">
        <v>3694</v>
      </c>
      <c r="K2052" s="23" t="s">
        <v>3694</v>
      </c>
      <c r="L2052" s="23">
        <v>2</v>
      </c>
      <c r="M2052" s="23" t="s">
        <v>78</v>
      </c>
      <c r="N2052" s="23" t="s">
        <v>78</v>
      </c>
      <c r="O2052" s="23">
        <v>4453.8999999999996</v>
      </c>
      <c r="P2052" s="23" t="s">
        <v>79</v>
      </c>
      <c r="Q2052" s="23" t="s">
        <v>83</v>
      </c>
      <c r="R2052" s="23">
        <v>11100176</v>
      </c>
      <c r="S2052" s="24">
        <v>46135</v>
      </c>
      <c r="T2052" s="24">
        <v>46079</v>
      </c>
      <c r="U2052" s="24" t="s">
        <v>80</v>
      </c>
      <c r="X2052" s="24">
        <v>46078</v>
      </c>
      <c r="Y2052" s="23">
        <v>1111</v>
      </c>
      <c r="Z2052" s="23">
        <v>11100137</v>
      </c>
      <c r="AA2052" s="23">
        <v>335103</v>
      </c>
      <c r="AB2052" s="24">
        <v>46055</v>
      </c>
    </row>
    <row r="2053" spans="2:28" x14ac:dyDescent="0.2">
      <c r="B2053" s="23" t="s">
        <v>81</v>
      </c>
      <c r="C2053" s="23">
        <v>1100578057</v>
      </c>
      <c r="H2053" s="24">
        <v>46135</v>
      </c>
      <c r="O2053" s="23">
        <v>21397</v>
      </c>
      <c r="P2053" s="23" t="s">
        <v>79</v>
      </c>
    </row>
    <row r="2054" spans="2:28" x14ac:dyDescent="0.2">
      <c r="C2054" s="23">
        <v>1100578306</v>
      </c>
      <c r="E2054" s="23">
        <v>10</v>
      </c>
      <c r="F2054" s="23" t="s">
        <v>3695</v>
      </c>
      <c r="G2054" s="23" t="s">
        <v>3696</v>
      </c>
      <c r="H2054" s="24">
        <v>46135</v>
      </c>
      <c r="I2054" s="24">
        <v>46135</v>
      </c>
      <c r="J2054" s="23" t="s">
        <v>2002</v>
      </c>
      <c r="K2054" s="23" t="s">
        <v>2002</v>
      </c>
      <c r="L2054" s="23">
        <v>1</v>
      </c>
      <c r="M2054" s="23" t="s">
        <v>78</v>
      </c>
      <c r="N2054" s="23" t="s">
        <v>78</v>
      </c>
      <c r="O2054" s="23">
        <v>936</v>
      </c>
      <c r="P2054" s="23" t="s">
        <v>79</v>
      </c>
      <c r="Q2054" s="23" t="s">
        <v>83</v>
      </c>
      <c r="R2054" s="23">
        <v>11100176</v>
      </c>
      <c r="S2054" s="24">
        <v>46135</v>
      </c>
      <c r="T2054" s="24">
        <v>46080</v>
      </c>
      <c r="U2054" s="24">
        <v>47116</v>
      </c>
      <c r="X2054" s="24">
        <v>46079</v>
      </c>
      <c r="Y2054" s="23">
        <v>1111</v>
      </c>
      <c r="Z2054" s="23">
        <v>11400811</v>
      </c>
      <c r="AA2054" s="23">
        <v>5051</v>
      </c>
      <c r="AB2054" s="24">
        <v>46078</v>
      </c>
    </row>
    <row r="2055" spans="2:28" x14ac:dyDescent="0.2">
      <c r="B2055" s="23" t="s">
        <v>81</v>
      </c>
      <c r="C2055" s="23">
        <v>1100578306</v>
      </c>
      <c r="H2055" s="24">
        <v>46135</v>
      </c>
      <c r="O2055" s="23">
        <v>936</v>
      </c>
      <c r="P2055" s="23" t="s">
        <v>79</v>
      </c>
    </row>
    <row r="2056" spans="2:28" x14ac:dyDescent="0.2">
      <c r="C2056" s="23">
        <v>1100574391</v>
      </c>
      <c r="E2056" s="23">
        <v>40</v>
      </c>
      <c r="F2056" s="23" t="s">
        <v>3697</v>
      </c>
      <c r="G2056" s="23" t="s">
        <v>3698</v>
      </c>
      <c r="H2056" s="24">
        <v>46136</v>
      </c>
      <c r="I2056" s="24">
        <v>46136</v>
      </c>
      <c r="J2056" s="23" t="s">
        <v>2038</v>
      </c>
      <c r="K2056" s="23" t="s">
        <v>2038</v>
      </c>
      <c r="L2056" s="23">
        <v>2</v>
      </c>
      <c r="M2056" s="23" t="s">
        <v>78</v>
      </c>
      <c r="N2056" s="23" t="s">
        <v>78</v>
      </c>
      <c r="O2056" s="23">
        <v>3324.66</v>
      </c>
      <c r="P2056" s="23" t="s">
        <v>79</v>
      </c>
      <c r="Q2056" s="23" t="s">
        <v>83</v>
      </c>
      <c r="R2056" s="23">
        <v>11100176</v>
      </c>
      <c r="S2056" s="24">
        <v>46136</v>
      </c>
      <c r="T2056" s="24">
        <v>46044</v>
      </c>
      <c r="U2056" s="24">
        <v>47116</v>
      </c>
      <c r="X2056" s="24">
        <v>46036</v>
      </c>
      <c r="Y2056" s="23">
        <v>1111</v>
      </c>
      <c r="Z2056" s="23">
        <v>11400797</v>
      </c>
      <c r="AA2056" s="23">
        <v>315103</v>
      </c>
      <c r="AB2056" s="24">
        <v>46042</v>
      </c>
    </row>
    <row r="2057" spans="2:28" x14ac:dyDescent="0.2">
      <c r="B2057" s="23" t="s">
        <v>81</v>
      </c>
      <c r="C2057" s="23">
        <v>1100574391</v>
      </c>
      <c r="H2057" s="24">
        <v>46136</v>
      </c>
      <c r="O2057" s="23">
        <v>3324.66</v>
      </c>
      <c r="P2057" s="23" t="s">
        <v>79</v>
      </c>
    </row>
    <row r="2058" spans="2:28" x14ac:dyDescent="0.2">
      <c r="C2058" s="23">
        <v>1100574704</v>
      </c>
      <c r="E2058" s="23">
        <v>10</v>
      </c>
      <c r="F2058" s="23" t="s">
        <v>3699</v>
      </c>
      <c r="G2058" s="23" t="s">
        <v>3700</v>
      </c>
      <c r="H2058" s="24">
        <v>46136</v>
      </c>
      <c r="I2058" s="24">
        <v>46136</v>
      </c>
      <c r="J2058" s="23" t="s">
        <v>814</v>
      </c>
      <c r="K2058" s="23" t="s">
        <v>814</v>
      </c>
      <c r="L2058" s="23">
        <v>4</v>
      </c>
      <c r="M2058" s="23" t="s">
        <v>566</v>
      </c>
      <c r="N2058" s="23" t="s">
        <v>566</v>
      </c>
      <c r="O2058" s="23">
        <v>10943.08</v>
      </c>
      <c r="P2058" s="23" t="s">
        <v>79</v>
      </c>
      <c r="Q2058" s="23" t="s">
        <v>83</v>
      </c>
      <c r="R2058" s="23">
        <v>11100176</v>
      </c>
      <c r="S2058" s="24">
        <v>46136</v>
      </c>
      <c r="T2058" s="24">
        <v>46045</v>
      </c>
      <c r="U2058" s="24" t="s">
        <v>80</v>
      </c>
      <c r="X2058" s="24">
        <v>46044</v>
      </c>
      <c r="Y2058" s="23">
        <v>1111</v>
      </c>
      <c r="Z2058" s="23">
        <v>11400704</v>
      </c>
      <c r="AA2058" s="23">
        <v>515103</v>
      </c>
      <c r="AB2058" s="24">
        <v>46044</v>
      </c>
    </row>
    <row r="2059" spans="2:28" x14ac:dyDescent="0.2">
      <c r="B2059" s="23" t="s">
        <v>81</v>
      </c>
      <c r="C2059" s="23">
        <v>1100574704</v>
      </c>
      <c r="H2059" s="24">
        <v>46136</v>
      </c>
      <c r="O2059" s="23">
        <v>10943.08</v>
      </c>
      <c r="P2059" s="23" t="s">
        <v>79</v>
      </c>
    </row>
    <row r="2060" spans="2:28" x14ac:dyDescent="0.2">
      <c r="C2060" s="23">
        <v>1100576282</v>
      </c>
      <c r="E2060" s="23">
        <v>10</v>
      </c>
      <c r="F2060" s="23" t="s">
        <v>774</v>
      </c>
      <c r="G2060" s="23" t="s">
        <v>775</v>
      </c>
      <c r="H2060" s="24">
        <v>46136</v>
      </c>
      <c r="I2060" s="24">
        <v>46136</v>
      </c>
      <c r="J2060" s="23" t="s">
        <v>3701</v>
      </c>
      <c r="K2060" s="23" t="s">
        <v>3701</v>
      </c>
      <c r="L2060" s="23">
        <v>1</v>
      </c>
      <c r="M2060" s="23" t="s">
        <v>78</v>
      </c>
      <c r="N2060" s="23" t="s">
        <v>78</v>
      </c>
      <c r="O2060" s="23">
        <v>2712.85</v>
      </c>
      <c r="P2060" s="23" t="s">
        <v>79</v>
      </c>
      <c r="Q2060" s="23" t="s">
        <v>83</v>
      </c>
      <c r="R2060" s="23">
        <v>11100176</v>
      </c>
      <c r="S2060" s="24">
        <v>46118</v>
      </c>
      <c r="T2060" s="24">
        <v>46062</v>
      </c>
      <c r="U2060" s="24">
        <v>46114</v>
      </c>
      <c r="X2060" s="24">
        <v>46059</v>
      </c>
      <c r="Y2060" s="23">
        <v>1111</v>
      </c>
      <c r="Z2060" s="23">
        <v>11400895</v>
      </c>
      <c r="AA2060" s="23">
        <v>335103</v>
      </c>
      <c r="AB2060" s="24">
        <v>45924</v>
      </c>
    </row>
    <row r="2061" spans="2:28" x14ac:dyDescent="0.2">
      <c r="B2061" s="23" t="s">
        <v>81</v>
      </c>
      <c r="C2061" s="23">
        <v>1100576282</v>
      </c>
      <c r="H2061" s="24">
        <v>46136</v>
      </c>
      <c r="O2061" s="23">
        <v>2712.85</v>
      </c>
      <c r="P2061" s="23" t="s">
        <v>79</v>
      </c>
    </row>
    <row r="2062" spans="2:28" x14ac:dyDescent="0.2">
      <c r="C2062" s="23">
        <v>1100576357</v>
      </c>
      <c r="E2062" s="23">
        <v>10</v>
      </c>
      <c r="F2062" s="23" t="s">
        <v>4253</v>
      </c>
      <c r="G2062" s="23" t="s">
        <v>4254</v>
      </c>
      <c r="H2062" s="24">
        <v>46136</v>
      </c>
      <c r="I2062" s="24">
        <v>46136</v>
      </c>
      <c r="J2062" s="23" t="s">
        <v>921</v>
      </c>
      <c r="K2062" s="23" t="s">
        <v>921</v>
      </c>
      <c r="L2062" s="23">
        <v>1</v>
      </c>
      <c r="M2062" s="23" t="s">
        <v>78</v>
      </c>
      <c r="N2062" s="23" t="s">
        <v>78</v>
      </c>
      <c r="O2062" s="23">
        <v>870</v>
      </c>
      <c r="P2062" s="23" t="s">
        <v>79</v>
      </c>
      <c r="Q2062" s="23" t="s">
        <v>83</v>
      </c>
      <c r="R2062" s="23">
        <v>11100176</v>
      </c>
      <c r="S2062" s="24">
        <v>46105</v>
      </c>
      <c r="T2062" s="24">
        <v>46063</v>
      </c>
      <c r="U2062" s="24">
        <v>46387</v>
      </c>
      <c r="X2062" s="24">
        <v>46062</v>
      </c>
      <c r="Y2062" s="23">
        <v>1111</v>
      </c>
      <c r="Z2062" s="23">
        <v>11400745</v>
      </c>
      <c r="AA2062" s="23">
        <v>3951</v>
      </c>
      <c r="AB2062" s="24">
        <v>46049</v>
      </c>
    </row>
    <row r="2063" spans="2:28" x14ac:dyDescent="0.2">
      <c r="C2063" s="23">
        <v>1100576357</v>
      </c>
      <c r="E2063" s="23">
        <v>40</v>
      </c>
      <c r="F2063" s="23" t="s">
        <v>84</v>
      </c>
      <c r="G2063" s="23" t="s">
        <v>123</v>
      </c>
      <c r="H2063" s="24">
        <v>46136</v>
      </c>
      <c r="I2063" s="24">
        <v>46136</v>
      </c>
      <c r="J2063" s="23" t="s">
        <v>921</v>
      </c>
      <c r="K2063" s="23" t="s">
        <v>921</v>
      </c>
      <c r="L2063" s="23">
        <v>1</v>
      </c>
      <c r="M2063" s="23" t="s">
        <v>78</v>
      </c>
      <c r="N2063" s="23" t="s">
        <v>78</v>
      </c>
      <c r="O2063" s="23">
        <v>0.01</v>
      </c>
      <c r="P2063" s="23" t="s">
        <v>79</v>
      </c>
      <c r="Q2063" s="23" t="s">
        <v>83</v>
      </c>
      <c r="R2063" s="23">
        <v>11100176</v>
      </c>
      <c r="S2063" s="24" t="s">
        <v>80</v>
      </c>
      <c r="T2063" s="24">
        <v>46063</v>
      </c>
      <c r="U2063" s="24">
        <v>46105</v>
      </c>
      <c r="X2063" s="24">
        <v>46062</v>
      </c>
      <c r="Y2063" s="23">
        <v>1111</v>
      </c>
      <c r="Z2063" s="23">
        <v>11400745</v>
      </c>
      <c r="AA2063" s="23">
        <v>3951</v>
      </c>
      <c r="AB2063" s="24">
        <v>46049</v>
      </c>
    </row>
    <row r="2064" spans="2:28" x14ac:dyDescent="0.2">
      <c r="B2064" s="23" t="s">
        <v>81</v>
      </c>
      <c r="C2064" s="23">
        <v>1100576357</v>
      </c>
      <c r="H2064" s="24">
        <v>46136</v>
      </c>
      <c r="O2064" s="23">
        <v>870.01</v>
      </c>
      <c r="P2064" s="23" t="s">
        <v>79</v>
      </c>
    </row>
    <row r="2065" spans="2:28" x14ac:dyDescent="0.2">
      <c r="C2065" s="23">
        <v>1100578024</v>
      </c>
      <c r="E2065" s="23">
        <v>10</v>
      </c>
      <c r="F2065" s="23" t="s">
        <v>774</v>
      </c>
      <c r="G2065" s="23" t="s">
        <v>775</v>
      </c>
      <c r="H2065" s="24">
        <v>46136</v>
      </c>
      <c r="I2065" s="24">
        <v>46136</v>
      </c>
      <c r="J2065" s="23" t="s">
        <v>3702</v>
      </c>
      <c r="K2065" s="23" t="s">
        <v>3702</v>
      </c>
      <c r="L2065" s="23">
        <v>1</v>
      </c>
      <c r="M2065" s="23" t="s">
        <v>78</v>
      </c>
      <c r="N2065" s="23" t="s">
        <v>78</v>
      </c>
      <c r="O2065" s="23">
        <v>3014.28</v>
      </c>
      <c r="P2065" s="23" t="s">
        <v>79</v>
      </c>
      <c r="Q2065" s="23" t="s">
        <v>83</v>
      </c>
      <c r="R2065" s="23">
        <v>11100176</v>
      </c>
      <c r="S2065" s="24">
        <v>46162</v>
      </c>
      <c r="T2065" s="24">
        <v>46079</v>
      </c>
      <c r="U2065" s="24" t="s">
        <v>80</v>
      </c>
      <c r="X2065" s="24">
        <v>46077</v>
      </c>
      <c r="Y2065" s="23">
        <v>1111</v>
      </c>
      <c r="Z2065" s="23">
        <v>11400811</v>
      </c>
      <c r="AA2065" s="23">
        <v>335103</v>
      </c>
      <c r="AB2065" s="24">
        <v>46070</v>
      </c>
    </row>
    <row r="2066" spans="2:28" x14ac:dyDescent="0.2">
      <c r="B2066" s="23" t="s">
        <v>81</v>
      </c>
      <c r="C2066" s="23">
        <v>1100578024</v>
      </c>
      <c r="H2066" s="24">
        <v>46136</v>
      </c>
      <c r="O2066" s="23">
        <v>3014.28</v>
      </c>
      <c r="P2066" s="23" t="s">
        <v>79</v>
      </c>
    </row>
    <row r="2067" spans="2:28" x14ac:dyDescent="0.2">
      <c r="C2067" s="23">
        <v>1100578257</v>
      </c>
      <c r="E2067" s="23">
        <v>10</v>
      </c>
      <c r="F2067" s="23" t="s">
        <v>3703</v>
      </c>
      <c r="G2067" s="23" t="s">
        <v>3704</v>
      </c>
      <c r="H2067" s="24">
        <v>46136</v>
      </c>
      <c r="I2067" s="24">
        <v>46136</v>
      </c>
      <c r="J2067" s="23" t="s">
        <v>815</v>
      </c>
      <c r="K2067" s="23" t="s">
        <v>815</v>
      </c>
      <c r="L2067" s="23">
        <v>1</v>
      </c>
      <c r="M2067" s="23" t="s">
        <v>78</v>
      </c>
      <c r="N2067" s="23" t="s">
        <v>78</v>
      </c>
      <c r="O2067" s="23">
        <v>6259.92</v>
      </c>
      <c r="P2067" s="23" t="s">
        <v>79</v>
      </c>
      <c r="Q2067" s="23" t="s">
        <v>83</v>
      </c>
      <c r="R2067" s="23">
        <v>11100176</v>
      </c>
      <c r="S2067" s="24">
        <v>46136</v>
      </c>
      <c r="T2067" s="24">
        <v>46080</v>
      </c>
      <c r="U2067" s="24" t="s">
        <v>80</v>
      </c>
      <c r="X2067" s="24">
        <v>46076</v>
      </c>
      <c r="Y2067" s="23">
        <v>1111</v>
      </c>
      <c r="Z2067" s="23">
        <v>11400606</v>
      </c>
      <c r="AA2067" s="23">
        <v>335103</v>
      </c>
      <c r="AB2067" s="24">
        <v>46069</v>
      </c>
    </row>
    <row r="2068" spans="2:28" x14ac:dyDescent="0.2">
      <c r="C2068" s="23">
        <v>1100578257</v>
      </c>
      <c r="E2068" s="23">
        <v>20</v>
      </c>
      <c r="F2068" s="23" t="s">
        <v>82</v>
      </c>
      <c r="G2068" s="23" t="s">
        <v>139</v>
      </c>
      <c r="H2068" s="24">
        <v>46136</v>
      </c>
      <c r="I2068" s="24">
        <v>46136</v>
      </c>
      <c r="J2068" s="23" t="s">
        <v>815</v>
      </c>
      <c r="K2068" s="23" t="s">
        <v>815</v>
      </c>
      <c r="L2068" s="23">
        <v>1</v>
      </c>
      <c r="M2068" s="23" t="s">
        <v>78</v>
      </c>
      <c r="N2068" s="23" t="s">
        <v>78</v>
      </c>
      <c r="O2068" s="23">
        <v>0.01</v>
      </c>
      <c r="P2068" s="23" t="s">
        <v>79</v>
      </c>
      <c r="Q2068" s="23" t="s">
        <v>83</v>
      </c>
      <c r="R2068" s="23">
        <v>11100176</v>
      </c>
      <c r="S2068" s="24" t="s">
        <v>80</v>
      </c>
      <c r="T2068" s="24">
        <v>46080</v>
      </c>
      <c r="U2068" s="24" t="s">
        <v>80</v>
      </c>
      <c r="X2068" s="24">
        <v>46076</v>
      </c>
      <c r="Y2068" s="23">
        <v>1111</v>
      </c>
      <c r="Z2068" s="23">
        <v>11400606</v>
      </c>
      <c r="AA2068" s="23">
        <v>335103</v>
      </c>
      <c r="AB2068" s="24">
        <v>46069</v>
      </c>
    </row>
    <row r="2069" spans="2:28" x14ac:dyDescent="0.2">
      <c r="B2069" s="23" t="s">
        <v>81</v>
      </c>
      <c r="C2069" s="23">
        <v>1100578257</v>
      </c>
      <c r="H2069" s="24">
        <v>46136</v>
      </c>
      <c r="O2069" s="23">
        <v>6259.93</v>
      </c>
      <c r="P2069" s="23" t="s">
        <v>79</v>
      </c>
    </row>
    <row r="2070" spans="2:28" x14ac:dyDescent="0.2">
      <c r="C2070" s="23">
        <v>1100578331</v>
      </c>
      <c r="E2070" s="23">
        <v>10</v>
      </c>
      <c r="F2070" s="23" t="s">
        <v>1114</v>
      </c>
      <c r="G2070" s="23" t="s">
        <v>1115</v>
      </c>
      <c r="H2070" s="24">
        <v>46138</v>
      </c>
      <c r="I2070" s="24">
        <v>46138</v>
      </c>
      <c r="J2070" s="23" t="s">
        <v>682</v>
      </c>
      <c r="K2070" s="23" t="s">
        <v>682</v>
      </c>
      <c r="L2070" s="23">
        <v>1</v>
      </c>
      <c r="M2070" s="23" t="s">
        <v>566</v>
      </c>
      <c r="N2070" s="23" t="s">
        <v>566</v>
      </c>
      <c r="O2070" s="23">
        <v>2932.04</v>
      </c>
      <c r="P2070" s="23" t="s">
        <v>79</v>
      </c>
      <c r="Q2070" s="23" t="s">
        <v>83</v>
      </c>
      <c r="R2070" s="23">
        <v>11100176</v>
      </c>
      <c r="S2070" s="24">
        <v>46122</v>
      </c>
      <c r="T2070" s="24">
        <v>46080</v>
      </c>
      <c r="U2070" s="24" t="s">
        <v>80</v>
      </c>
      <c r="X2070" s="24">
        <v>46079</v>
      </c>
      <c r="Y2070" s="23">
        <v>1111</v>
      </c>
      <c r="Z2070" s="23">
        <v>11400704</v>
      </c>
      <c r="AA2070" s="23">
        <v>335103</v>
      </c>
      <c r="AB2070" s="24">
        <v>46079</v>
      </c>
    </row>
    <row r="2071" spans="2:28" x14ac:dyDescent="0.2">
      <c r="B2071" s="23" t="s">
        <v>81</v>
      </c>
      <c r="C2071" s="23">
        <v>1100578331</v>
      </c>
      <c r="H2071" s="24">
        <v>46138</v>
      </c>
      <c r="O2071" s="23">
        <v>2932.04</v>
      </c>
      <c r="P2071" s="23" t="s">
        <v>79</v>
      </c>
    </row>
    <row r="2072" spans="2:28" x14ac:dyDescent="0.2">
      <c r="C2072" s="23">
        <v>1100578404</v>
      </c>
      <c r="E2072" s="23">
        <v>10</v>
      </c>
      <c r="F2072" s="23" t="s">
        <v>3705</v>
      </c>
      <c r="G2072" s="23" t="s">
        <v>3706</v>
      </c>
      <c r="H2072" s="24">
        <v>46138</v>
      </c>
      <c r="I2072" s="24">
        <v>46138</v>
      </c>
      <c r="J2072" s="23" t="s">
        <v>157</v>
      </c>
      <c r="K2072" s="23" t="s">
        <v>157</v>
      </c>
      <c r="L2072" s="23">
        <v>12</v>
      </c>
      <c r="M2072" s="23" t="s">
        <v>78</v>
      </c>
      <c r="N2072" s="23" t="s">
        <v>78</v>
      </c>
      <c r="O2072" s="23">
        <v>12</v>
      </c>
      <c r="P2072" s="23" t="s">
        <v>79</v>
      </c>
      <c r="Q2072" s="23" t="s">
        <v>83</v>
      </c>
      <c r="R2072" s="23">
        <v>11100176</v>
      </c>
      <c r="S2072" s="24">
        <v>46090</v>
      </c>
      <c r="T2072" s="24">
        <v>46081</v>
      </c>
      <c r="U2072" s="24" t="s">
        <v>80</v>
      </c>
      <c r="X2072" s="24">
        <v>46080</v>
      </c>
      <c r="Y2072" s="23">
        <v>1111</v>
      </c>
      <c r="Z2072" s="23">
        <v>11600001</v>
      </c>
      <c r="AA2072" s="23">
        <v>3351</v>
      </c>
      <c r="AB2072" s="24">
        <v>46080</v>
      </c>
    </row>
    <row r="2073" spans="2:28" x14ac:dyDescent="0.2">
      <c r="C2073" s="23">
        <v>1100578404</v>
      </c>
      <c r="E2073" s="23">
        <v>20</v>
      </c>
      <c r="F2073" s="23" t="s">
        <v>3707</v>
      </c>
      <c r="G2073" s="23" t="s">
        <v>3708</v>
      </c>
      <c r="H2073" s="24">
        <v>46138</v>
      </c>
      <c r="I2073" s="24">
        <v>46138</v>
      </c>
      <c r="J2073" s="23" t="s">
        <v>157</v>
      </c>
      <c r="K2073" s="23" t="s">
        <v>157</v>
      </c>
      <c r="L2073" s="23">
        <v>100</v>
      </c>
      <c r="M2073" s="23" t="s">
        <v>78</v>
      </c>
      <c r="N2073" s="23" t="s">
        <v>78</v>
      </c>
      <c r="O2073" s="23">
        <v>7132</v>
      </c>
      <c r="P2073" s="23" t="s">
        <v>79</v>
      </c>
      <c r="Q2073" s="23" t="s">
        <v>83</v>
      </c>
      <c r="R2073" s="23">
        <v>11100176</v>
      </c>
      <c r="S2073" s="24">
        <v>46090</v>
      </c>
      <c r="T2073" s="24">
        <v>46081</v>
      </c>
      <c r="U2073" s="24" t="s">
        <v>80</v>
      </c>
      <c r="X2073" s="24">
        <v>46080</v>
      </c>
      <c r="Y2073" s="23">
        <v>1111</v>
      </c>
      <c r="Z2073" s="23">
        <v>11600001</v>
      </c>
      <c r="AA2073" s="23">
        <v>3351</v>
      </c>
      <c r="AB2073" s="24">
        <v>46080</v>
      </c>
    </row>
    <row r="2074" spans="2:28" x14ac:dyDescent="0.2">
      <c r="B2074" s="23" t="s">
        <v>81</v>
      </c>
      <c r="C2074" s="23">
        <v>1100578404</v>
      </c>
      <c r="H2074" s="24">
        <v>46138</v>
      </c>
      <c r="O2074" s="23">
        <v>7144</v>
      </c>
      <c r="P2074" s="23" t="s">
        <v>79</v>
      </c>
    </row>
    <row r="2075" spans="2:28" x14ac:dyDescent="0.2">
      <c r="C2075" s="23">
        <v>1100571669</v>
      </c>
      <c r="E2075" s="23">
        <v>10</v>
      </c>
      <c r="F2075" s="23" t="s">
        <v>902</v>
      </c>
      <c r="G2075" s="23" t="s">
        <v>903</v>
      </c>
      <c r="H2075" s="24">
        <v>46139</v>
      </c>
      <c r="I2075" s="24">
        <v>46139</v>
      </c>
      <c r="J2075" s="23" t="s">
        <v>561</v>
      </c>
      <c r="K2075" s="23" t="s">
        <v>561</v>
      </c>
      <c r="L2075" s="23">
        <v>2</v>
      </c>
      <c r="M2075" s="23" t="s">
        <v>78</v>
      </c>
      <c r="N2075" s="23" t="s">
        <v>78</v>
      </c>
      <c r="O2075" s="23">
        <v>2367.2600000000002</v>
      </c>
      <c r="P2075" s="23" t="s">
        <v>79</v>
      </c>
      <c r="Q2075" s="23" t="s">
        <v>83</v>
      </c>
      <c r="R2075" s="23">
        <v>11100176</v>
      </c>
      <c r="S2075" s="24">
        <v>46048</v>
      </c>
      <c r="T2075" s="24">
        <v>46008</v>
      </c>
      <c r="U2075" s="24" t="s">
        <v>80</v>
      </c>
      <c r="X2075" s="24">
        <v>46006</v>
      </c>
      <c r="Y2075" s="23">
        <v>1111</v>
      </c>
      <c r="Z2075" s="23">
        <v>11400606</v>
      </c>
      <c r="AA2075" s="23">
        <v>335103</v>
      </c>
      <c r="AB2075" s="24">
        <v>46006</v>
      </c>
    </row>
    <row r="2076" spans="2:28" x14ac:dyDescent="0.2">
      <c r="B2076" s="23" t="s">
        <v>81</v>
      </c>
      <c r="C2076" s="23">
        <v>1100571669</v>
      </c>
      <c r="H2076" s="24">
        <v>46139</v>
      </c>
      <c r="O2076" s="23">
        <v>2367.2600000000002</v>
      </c>
      <c r="P2076" s="23" t="s">
        <v>79</v>
      </c>
    </row>
    <row r="2077" spans="2:28" x14ac:dyDescent="0.2">
      <c r="C2077" s="23">
        <v>1100572725</v>
      </c>
      <c r="E2077" s="23">
        <v>10</v>
      </c>
      <c r="F2077" s="23" t="s">
        <v>771</v>
      </c>
      <c r="G2077" s="23" t="s">
        <v>772</v>
      </c>
      <c r="H2077" s="24">
        <v>46139</v>
      </c>
      <c r="I2077" s="24">
        <v>46139</v>
      </c>
      <c r="J2077" s="23" t="s">
        <v>1802</v>
      </c>
      <c r="K2077" s="23" t="s">
        <v>1802</v>
      </c>
      <c r="L2077" s="23">
        <v>20</v>
      </c>
      <c r="M2077" s="23" t="s">
        <v>566</v>
      </c>
      <c r="N2077" s="23" t="s">
        <v>566</v>
      </c>
      <c r="O2077" s="23">
        <v>1579</v>
      </c>
      <c r="P2077" s="23" t="s">
        <v>79</v>
      </c>
      <c r="Q2077" s="23" t="s">
        <v>83</v>
      </c>
      <c r="R2077" s="23">
        <v>11100176</v>
      </c>
      <c r="S2077" s="24">
        <v>46059</v>
      </c>
      <c r="T2077" s="24">
        <v>46027</v>
      </c>
      <c r="U2077" s="24" t="s">
        <v>80</v>
      </c>
      <c r="X2077" s="24">
        <v>46008</v>
      </c>
      <c r="Y2077" s="23">
        <v>1111</v>
      </c>
      <c r="Z2077" s="23">
        <v>11600003</v>
      </c>
      <c r="AA2077" s="23">
        <v>335103</v>
      </c>
      <c r="AB2077" s="24">
        <v>46009</v>
      </c>
    </row>
    <row r="2078" spans="2:28" x14ac:dyDescent="0.2">
      <c r="B2078" s="23" t="s">
        <v>81</v>
      </c>
      <c r="C2078" s="23">
        <v>1100572725</v>
      </c>
      <c r="H2078" s="24">
        <v>46139</v>
      </c>
      <c r="O2078" s="23">
        <v>1579</v>
      </c>
      <c r="P2078" s="23" t="s">
        <v>79</v>
      </c>
    </row>
    <row r="2079" spans="2:28" x14ac:dyDescent="0.2">
      <c r="C2079" s="23">
        <v>1100574025</v>
      </c>
      <c r="E2079" s="23">
        <v>10</v>
      </c>
      <c r="F2079" s="23" t="s">
        <v>675</v>
      </c>
      <c r="G2079" s="23" t="s">
        <v>2031</v>
      </c>
      <c r="H2079" s="24">
        <v>46139</v>
      </c>
      <c r="I2079" s="24">
        <v>46139</v>
      </c>
      <c r="J2079" s="23" t="s">
        <v>1777</v>
      </c>
      <c r="K2079" s="23" t="s">
        <v>1777</v>
      </c>
      <c r="L2079" s="23">
        <v>10</v>
      </c>
      <c r="M2079" s="23" t="s">
        <v>78</v>
      </c>
      <c r="N2079" s="23" t="s">
        <v>78</v>
      </c>
      <c r="O2079" s="23">
        <v>98.7</v>
      </c>
      <c r="P2079" s="23" t="s">
        <v>79</v>
      </c>
      <c r="Q2079" s="23" t="s">
        <v>83</v>
      </c>
      <c r="R2079" s="23">
        <v>11100176</v>
      </c>
      <c r="S2079" s="24">
        <v>46045</v>
      </c>
      <c r="T2079" s="24">
        <v>46038</v>
      </c>
      <c r="U2079" s="24" t="s">
        <v>80</v>
      </c>
      <c r="X2079" s="24">
        <v>46037</v>
      </c>
      <c r="Y2079" s="23">
        <v>1111</v>
      </c>
      <c r="Z2079" s="23">
        <v>11400811</v>
      </c>
      <c r="AA2079" s="23">
        <v>335103</v>
      </c>
      <c r="AB2079" s="24">
        <v>46032</v>
      </c>
    </row>
    <row r="2080" spans="2:28" x14ac:dyDescent="0.2">
      <c r="C2080" s="23">
        <v>1100574025</v>
      </c>
      <c r="E2080" s="23">
        <v>20</v>
      </c>
      <c r="F2080" s="23" t="s">
        <v>673</v>
      </c>
      <c r="G2080" s="23" t="s">
        <v>674</v>
      </c>
      <c r="H2080" s="24">
        <v>46139</v>
      </c>
      <c r="I2080" s="24">
        <v>46139</v>
      </c>
      <c r="J2080" s="23" t="s">
        <v>1777</v>
      </c>
      <c r="K2080" s="23" t="s">
        <v>1777</v>
      </c>
      <c r="L2080" s="23">
        <v>10</v>
      </c>
      <c r="M2080" s="23" t="s">
        <v>78</v>
      </c>
      <c r="N2080" s="23" t="s">
        <v>78</v>
      </c>
      <c r="O2080" s="23">
        <v>40</v>
      </c>
      <c r="P2080" s="23" t="s">
        <v>79</v>
      </c>
      <c r="Q2080" s="23" t="s">
        <v>83</v>
      </c>
      <c r="R2080" s="23">
        <v>11100176</v>
      </c>
      <c r="S2080" s="24">
        <v>46045</v>
      </c>
      <c r="T2080" s="24">
        <v>46038</v>
      </c>
      <c r="U2080" s="24" t="s">
        <v>80</v>
      </c>
      <c r="X2080" s="24">
        <v>46037</v>
      </c>
      <c r="Y2080" s="23">
        <v>1111</v>
      </c>
      <c r="Z2080" s="23">
        <v>11400811</v>
      </c>
      <c r="AA2080" s="23">
        <v>335103</v>
      </c>
      <c r="AB2080" s="24">
        <v>46032</v>
      </c>
    </row>
    <row r="2081" spans="2:28" x14ac:dyDescent="0.2">
      <c r="C2081" s="23">
        <v>1100574025</v>
      </c>
      <c r="E2081" s="23">
        <v>30</v>
      </c>
      <c r="F2081" s="23" t="s">
        <v>771</v>
      </c>
      <c r="G2081" s="23" t="s">
        <v>772</v>
      </c>
      <c r="H2081" s="24">
        <v>46139</v>
      </c>
      <c r="I2081" s="24">
        <v>46139</v>
      </c>
      <c r="J2081" s="23" t="s">
        <v>1777</v>
      </c>
      <c r="K2081" s="23" t="s">
        <v>1777</v>
      </c>
      <c r="L2081" s="23">
        <v>10</v>
      </c>
      <c r="M2081" s="23" t="s">
        <v>566</v>
      </c>
      <c r="N2081" s="23" t="s">
        <v>566</v>
      </c>
      <c r="O2081" s="23">
        <v>789.5</v>
      </c>
      <c r="P2081" s="23" t="s">
        <v>79</v>
      </c>
      <c r="Q2081" s="23" t="s">
        <v>83</v>
      </c>
      <c r="R2081" s="23">
        <v>11100176</v>
      </c>
      <c r="S2081" s="24">
        <v>46045</v>
      </c>
      <c r="T2081" s="24">
        <v>46038</v>
      </c>
      <c r="U2081" s="24" t="s">
        <v>80</v>
      </c>
      <c r="X2081" s="24">
        <v>46037</v>
      </c>
      <c r="Y2081" s="23">
        <v>1111</v>
      </c>
      <c r="Z2081" s="23">
        <v>11400811</v>
      </c>
      <c r="AA2081" s="23">
        <v>335103</v>
      </c>
      <c r="AB2081" s="24">
        <v>46032</v>
      </c>
    </row>
    <row r="2082" spans="2:28" x14ac:dyDescent="0.2">
      <c r="C2082" s="23">
        <v>1100574025</v>
      </c>
      <c r="E2082" s="23">
        <v>40</v>
      </c>
      <c r="F2082" s="23" t="s">
        <v>82</v>
      </c>
      <c r="G2082" s="23" t="s">
        <v>139</v>
      </c>
      <c r="H2082" s="24">
        <v>46139</v>
      </c>
      <c r="I2082" s="24">
        <v>46139</v>
      </c>
      <c r="J2082" s="23" t="s">
        <v>1777</v>
      </c>
      <c r="K2082" s="23" t="s">
        <v>1777</v>
      </c>
      <c r="L2082" s="23">
        <v>1</v>
      </c>
      <c r="M2082" s="23" t="s">
        <v>78</v>
      </c>
      <c r="N2082" s="23" t="s">
        <v>78</v>
      </c>
      <c r="O2082" s="23">
        <v>0.01</v>
      </c>
      <c r="P2082" s="23" t="s">
        <v>79</v>
      </c>
      <c r="Q2082" s="23" t="s">
        <v>83</v>
      </c>
      <c r="R2082" s="23">
        <v>11100176</v>
      </c>
      <c r="S2082" s="24" t="s">
        <v>80</v>
      </c>
      <c r="T2082" s="24">
        <v>46038</v>
      </c>
      <c r="U2082" s="24" t="s">
        <v>80</v>
      </c>
      <c r="X2082" s="24">
        <v>46037</v>
      </c>
      <c r="Y2082" s="23">
        <v>1111</v>
      </c>
      <c r="Z2082" s="23">
        <v>11400811</v>
      </c>
      <c r="AA2082" s="23">
        <v>335103</v>
      </c>
      <c r="AB2082" s="24">
        <v>46032</v>
      </c>
    </row>
    <row r="2083" spans="2:28" x14ac:dyDescent="0.2">
      <c r="B2083" s="23" t="s">
        <v>81</v>
      </c>
      <c r="C2083" s="23">
        <v>1100574025</v>
      </c>
      <c r="H2083" s="24">
        <v>46139</v>
      </c>
      <c r="O2083" s="23">
        <v>928.21</v>
      </c>
      <c r="P2083" s="23" t="s">
        <v>79</v>
      </c>
    </row>
    <row r="2084" spans="2:28" x14ac:dyDescent="0.2">
      <c r="C2084" s="23">
        <v>1100574099</v>
      </c>
      <c r="E2084" s="23">
        <v>10</v>
      </c>
      <c r="F2084" s="23" t="s">
        <v>3709</v>
      </c>
      <c r="G2084" s="23" t="s">
        <v>3710</v>
      </c>
      <c r="H2084" s="24">
        <v>46139</v>
      </c>
      <c r="I2084" s="24">
        <v>46139</v>
      </c>
      <c r="J2084" s="23" t="s">
        <v>102</v>
      </c>
      <c r="K2084" s="23" t="s">
        <v>102</v>
      </c>
      <c r="L2084" s="23">
        <v>1</v>
      </c>
      <c r="M2084" s="23" t="s">
        <v>78</v>
      </c>
      <c r="N2084" s="23" t="s">
        <v>78</v>
      </c>
      <c r="O2084" s="23">
        <v>897</v>
      </c>
      <c r="P2084" s="23" t="s">
        <v>79</v>
      </c>
      <c r="Q2084" s="23" t="s">
        <v>83</v>
      </c>
      <c r="R2084" s="23">
        <v>11100176</v>
      </c>
      <c r="S2084" s="24">
        <v>46049</v>
      </c>
      <c r="T2084" s="24">
        <v>46038</v>
      </c>
      <c r="U2084" s="24" t="s">
        <v>80</v>
      </c>
      <c r="X2084" s="24">
        <v>46037</v>
      </c>
      <c r="Y2084" s="23">
        <v>1111</v>
      </c>
      <c r="Z2084" s="23">
        <v>11600003</v>
      </c>
      <c r="AA2084" s="23">
        <v>515103</v>
      </c>
      <c r="AB2084" s="24">
        <v>46038</v>
      </c>
    </row>
    <row r="2085" spans="2:28" x14ac:dyDescent="0.2">
      <c r="C2085" s="23">
        <v>1100574099</v>
      </c>
      <c r="E2085" s="23">
        <v>20</v>
      </c>
      <c r="F2085" s="23" t="s">
        <v>82</v>
      </c>
      <c r="G2085" s="23" t="s">
        <v>139</v>
      </c>
      <c r="H2085" s="24">
        <v>46139</v>
      </c>
      <c r="I2085" s="24">
        <v>46139</v>
      </c>
      <c r="J2085" s="23" t="s">
        <v>102</v>
      </c>
      <c r="K2085" s="23" t="s">
        <v>102</v>
      </c>
      <c r="L2085" s="23">
        <v>1</v>
      </c>
      <c r="M2085" s="23" t="s">
        <v>78</v>
      </c>
      <c r="N2085" s="23" t="s">
        <v>78</v>
      </c>
      <c r="O2085" s="23">
        <v>0.01</v>
      </c>
      <c r="P2085" s="23" t="s">
        <v>79</v>
      </c>
      <c r="Q2085" s="23" t="s">
        <v>83</v>
      </c>
      <c r="R2085" s="23">
        <v>11100176</v>
      </c>
      <c r="S2085" s="24">
        <v>46049</v>
      </c>
      <c r="T2085" s="24">
        <v>46038</v>
      </c>
      <c r="U2085" s="24" t="s">
        <v>80</v>
      </c>
      <c r="X2085" s="24">
        <v>46037</v>
      </c>
      <c r="Y2085" s="23">
        <v>1111</v>
      </c>
      <c r="Z2085" s="23">
        <v>11600003</v>
      </c>
      <c r="AA2085" s="23">
        <v>515103</v>
      </c>
      <c r="AB2085" s="24">
        <v>46038</v>
      </c>
    </row>
    <row r="2086" spans="2:28" x14ac:dyDescent="0.2">
      <c r="B2086" s="23" t="s">
        <v>81</v>
      </c>
      <c r="C2086" s="23">
        <v>1100574099</v>
      </c>
      <c r="H2086" s="24">
        <v>46139</v>
      </c>
      <c r="O2086" s="23">
        <v>897.01</v>
      </c>
      <c r="P2086" s="23" t="s">
        <v>79</v>
      </c>
    </row>
    <row r="2087" spans="2:28" x14ac:dyDescent="0.2">
      <c r="C2087" s="23">
        <v>1100575565</v>
      </c>
      <c r="E2087" s="23">
        <v>10</v>
      </c>
      <c r="F2087" s="23" t="s">
        <v>3711</v>
      </c>
      <c r="G2087" s="23" t="s">
        <v>3712</v>
      </c>
      <c r="H2087" s="24">
        <v>46139</v>
      </c>
      <c r="I2087" s="24">
        <v>46139</v>
      </c>
      <c r="J2087" s="23" t="s">
        <v>282</v>
      </c>
      <c r="K2087" s="23" t="s">
        <v>282</v>
      </c>
      <c r="L2087" s="23">
        <v>1</v>
      </c>
      <c r="M2087" s="23" t="s">
        <v>78</v>
      </c>
      <c r="N2087" s="23" t="s">
        <v>78</v>
      </c>
      <c r="O2087" s="23">
        <v>1429.6</v>
      </c>
      <c r="P2087" s="23" t="s">
        <v>79</v>
      </c>
      <c r="Q2087" s="23" t="s">
        <v>83</v>
      </c>
      <c r="R2087" s="23">
        <v>11100176</v>
      </c>
      <c r="S2087" s="24">
        <v>46157</v>
      </c>
      <c r="T2087" s="24">
        <v>46052</v>
      </c>
      <c r="U2087" s="24" t="s">
        <v>80</v>
      </c>
      <c r="X2087" s="24">
        <v>46052</v>
      </c>
      <c r="Y2087" s="23">
        <v>1111</v>
      </c>
      <c r="Z2087" s="23">
        <v>11400811</v>
      </c>
      <c r="AA2087" s="23">
        <v>5051</v>
      </c>
      <c r="AB2087" s="24">
        <v>46051</v>
      </c>
    </row>
    <row r="2088" spans="2:28" x14ac:dyDescent="0.2">
      <c r="C2088" s="23">
        <v>1100575565</v>
      </c>
      <c r="E2088" s="23">
        <v>20</v>
      </c>
      <c r="F2088" s="23" t="s">
        <v>82</v>
      </c>
      <c r="G2088" s="23" t="s">
        <v>139</v>
      </c>
      <c r="H2088" s="24">
        <v>46139</v>
      </c>
      <c r="I2088" s="24">
        <v>46139</v>
      </c>
      <c r="J2088" s="23" t="s">
        <v>282</v>
      </c>
      <c r="K2088" s="23" t="s">
        <v>282</v>
      </c>
      <c r="L2088" s="23">
        <v>1</v>
      </c>
      <c r="M2088" s="23" t="s">
        <v>78</v>
      </c>
      <c r="N2088" s="23" t="s">
        <v>78</v>
      </c>
      <c r="O2088" s="23">
        <v>0.01</v>
      </c>
      <c r="P2088" s="23" t="s">
        <v>79</v>
      </c>
      <c r="Q2088" s="23" t="s">
        <v>83</v>
      </c>
      <c r="R2088" s="23">
        <v>11100176</v>
      </c>
      <c r="S2088" s="24" t="s">
        <v>80</v>
      </c>
      <c r="T2088" s="24">
        <v>46052</v>
      </c>
      <c r="U2088" s="24" t="s">
        <v>80</v>
      </c>
      <c r="X2088" s="24">
        <v>46052</v>
      </c>
      <c r="Y2088" s="23">
        <v>1111</v>
      </c>
      <c r="Z2088" s="23">
        <v>11400811</v>
      </c>
      <c r="AA2088" s="23">
        <v>5051</v>
      </c>
      <c r="AB2088" s="24">
        <v>46051</v>
      </c>
    </row>
    <row r="2089" spans="2:28" x14ac:dyDescent="0.2">
      <c r="B2089" s="23" t="s">
        <v>81</v>
      </c>
      <c r="C2089" s="23">
        <v>1100575565</v>
      </c>
      <c r="H2089" s="24">
        <v>46139</v>
      </c>
      <c r="O2089" s="23">
        <v>1429.61</v>
      </c>
      <c r="P2089" s="23" t="s">
        <v>79</v>
      </c>
    </row>
    <row r="2090" spans="2:28" x14ac:dyDescent="0.2">
      <c r="C2090" s="23">
        <v>1100575643</v>
      </c>
      <c r="E2090" s="23">
        <v>10</v>
      </c>
      <c r="F2090" s="23" t="s">
        <v>3713</v>
      </c>
      <c r="G2090" s="23" t="s">
        <v>3714</v>
      </c>
      <c r="H2090" s="24">
        <v>46139</v>
      </c>
      <c r="I2090" s="24">
        <v>46139</v>
      </c>
      <c r="J2090" s="23" t="s">
        <v>3715</v>
      </c>
      <c r="K2090" s="23" t="s">
        <v>3715</v>
      </c>
      <c r="L2090" s="23">
        <v>2</v>
      </c>
      <c r="M2090" s="23" t="s">
        <v>78</v>
      </c>
      <c r="N2090" s="23" t="s">
        <v>78</v>
      </c>
      <c r="O2090" s="23">
        <v>3416.16</v>
      </c>
      <c r="P2090" s="23" t="s">
        <v>79</v>
      </c>
      <c r="Q2090" s="23" t="s">
        <v>83</v>
      </c>
      <c r="R2090" s="23">
        <v>11100176</v>
      </c>
      <c r="S2090" s="24">
        <v>46111</v>
      </c>
      <c r="T2090" s="24">
        <v>46055</v>
      </c>
      <c r="U2090" s="24" t="s">
        <v>80</v>
      </c>
      <c r="X2090" s="24">
        <v>46049</v>
      </c>
      <c r="Y2090" s="23">
        <v>1111</v>
      </c>
      <c r="Z2090" s="23">
        <v>11600001</v>
      </c>
      <c r="AA2090" s="23">
        <v>5051</v>
      </c>
      <c r="AB2090" s="24">
        <v>46055</v>
      </c>
    </row>
    <row r="2091" spans="2:28" x14ac:dyDescent="0.2">
      <c r="C2091" s="23">
        <v>1100575643</v>
      </c>
      <c r="E2091" s="23">
        <v>20</v>
      </c>
      <c r="F2091" s="23" t="s">
        <v>82</v>
      </c>
      <c r="G2091" s="23" t="s">
        <v>139</v>
      </c>
      <c r="H2091" s="24">
        <v>46139</v>
      </c>
      <c r="I2091" s="24">
        <v>46139</v>
      </c>
      <c r="J2091" s="23" t="s">
        <v>3715</v>
      </c>
      <c r="K2091" s="23" t="s">
        <v>3715</v>
      </c>
      <c r="L2091" s="23">
        <v>1</v>
      </c>
      <c r="M2091" s="23" t="s">
        <v>78</v>
      </c>
      <c r="N2091" s="23" t="s">
        <v>78</v>
      </c>
      <c r="O2091" s="23">
        <v>0.01</v>
      </c>
      <c r="P2091" s="23" t="s">
        <v>79</v>
      </c>
      <c r="Q2091" s="23" t="s">
        <v>83</v>
      </c>
      <c r="R2091" s="23">
        <v>11100176</v>
      </c>
      <c r="S2091" s="24" t="s">
        <v>80</v>
      </c>
      <c r="T2091" s="24">
        <v>46055</v>
      </c>
      <c r="U2091" s="24" t="s">
        <v>80</v>
      </c>
      <c r="X2091" s="24">
        <v>46049</v>
      </c>
      <c r="Y2091" s="23">
        <v>1111</v>
      </c>
      <c r="Z2091" s="23">
        <v>11600001</v>
      </c>
      <c r="AA2091" s="23">
        <v>5051</v>
      </c>
      <c r="AB2091" s="24">
        <v>46055</v>
      </c>
    </row>
    <row r="2092" spans="2:28" x14ac:dyDescent="0.2">
      <c r="B2092" s="23" t="s">
        <v>81</v>
      </c>
      <c r="C2092" s="23">
        <v>1100575643</v>
      </c>
      <c r="H2092" s="24">
        <v>46139</v>
      </c>
      <c r="O2092" s="23">
        <v>3416.17</v>
      </c>
      <c r="P2092" s="23" t="s">
        <v>79</v>
      </c>
    </row>
    <row r="2093" spans="2:28" x14ac:dyDescent="0.2">
      <c r="C2093" s="23">
        <v>1100576255</v>
      </c>
      <c r="E2093" s="23">
        <v>10</v>
      </c>
      <c r="F2093" s="23" t="s">
        <v>720</v>
      </c>
      <c r="G2093" s="23" t="s">
        <v>1837</v>
      </c>
      <c r="H2093" s="24">
        <v>46139</v>
      </c>
      <c r="I2093" s="24">
        <v>46139</v>
      </c>
      <c r="J2093" s="23" t="s">
        <v>1184</v>
      </c>
      <c r="K2093" s="23" t="s">
        <v>1184</v>
      </c>
      <c r="L2093" s="23">
        <v>1</v>
      </c>
      <c r="M2093" s="23" t="s">
        <v>78</v>
      </c>
      <c r="N2093" s="23" t="s">
        <v>78</v>
      </c>
      <c r="O2093" s="23">
        <v>118.42</v>
      </c>
      <c r="P2093" s="23" t="s">
        <v>79</v>
      </c>
      <c r="Q2093" s="23" t="s">
        <v>83</v>
      </c>
      <c r="R2093" s="23">
        <v>11100176</v>
      </c>
      <c r="S2093" s="24">
        <v>46094</v>
      </c>
      <c r="T2093" s="24">
        <v>46062</v>
      </c>
      <c r="U2093" s="24" t="s">
        <v>80</v>
      </c>
      <c r="X2093" s="24">
        <v>46048</v>
      </c>
      <c r="Y2093" s="23">
        <v>1111</v>
      </c>
      <c r="Z2093" s="23">
        <v>11600003</v>
      </c>
      <c r="AA2093" s="23">
        <v>505103</v>
      </c>
      <c r="AB2093" s="24">
        <v>46049</v>
      </c>
    </row>
    <row r="2094" spans="2:28" x14ac:dyDescent="0.2">
      <c r="C2094" s="23">
        <v>1100576255</v>
      </c>
      <c r="E2094" s="23">
        <v>20</v>
      </c>
      <c r="F2094" s="23" t="s">
        <v>743</v>
      </c>
      <c r="G2094" s="23" t="s">
        <v>1946</v>
      </c>
      <c r="H2094" s="24">
        <v>46139</v>
      </c>
      <c r="I2094" s="24">
        <v>46139</v>
      </c>
      <c r="J2094" s="23" t="s">
        <v>1184</v>
      </c>
      <c r="K2094" s="23" t="s">
        <v>1184</v>
      </c>
      <c r="L2094" s="23">
        <v>1</v>
      </c>
      <c r="M2094" s="23" t="s">
        <v>78</v>
      </c>
      <c r="N2094" s="23" t="s">
        <v>78</v>
      </c>
      <c r="O2094" s="23">
        <v>1664.49</v>
      </c>
      <c r="P2094" s="23" t="s">
        <v>79</v>
      </c>
      <c r="Q2094" s="23" t="s">
        <v>83</v>
      </c>
      <c r="R2094" s="23">
        <v>11100176</v>
      </c>
      <c r="S2094" s="24">
        <v>46094</v>
      </c>
      <c r="T2094" s="24">
        <v>46062</v>
      </c>
      <c r="U2094" s="24" t="s">
        <v>80</v>
      </c>
      <c r="X2094" s="24">
        <v>46048</v>
      </c>
      <c r="Y2094" s="23">
        <v>1111</v>
      </c>
      <c r="Z2094" s="23">
        <v>11600003</v>
      </c>
      <c r="AA2094" s="23">
        <v>505103</v>
      </c>
      <c r="AB2094" s="24">
        <v>46049</v>
      </c>
    </row>
    <row r="2095" spans="2:28" x14ac:dyDescent="0.2">
      <c r="C2095" s="23">
        <v>1100576255</v>
      </c>
      <c r="E2095" s="23">
        <v>30</v>
      </c>
      <c r="F2095" s="23" t="s">
        <v>209</v>
      </c>
      <c r="G2095" s="23" t="s">
        <v>210</v>
      </c>
      <c r="H2095" s="24">
        <v>46139</v>
      </c>
      <c r="I2095" s="24">
        <v>46139</v>
      </c>
      <c r="J2095" s="23" t="s">
        <v>1184</v>
      </c>
      <c r="K2095" s="23" t="s">
        <v>1184</v>
      </c>
      <c r="L2095" s="23">
        <v>1</v>
      </c>
      <c r="M2095" s="23" t="s">
        <v>78</v>
      </c>
      <c r="N2095" s="23" t="s">
        <v>78</v>
      </c>
      <c r="O2095" s="23">
        <v>0.01</v>
      </c>
      <c r="P2095" s="23" t="s">
        <v>79</v>
      </c>
      <c r="Q2095" s="23" t="s">
        <v>83</v>
      </c>
      <c r="R2095" s="23">
        <v>11100176</v>
      </c>
      <c r="S2095" s="24">
        <v>46094</v>
      </c>
      <c r="T2095" s="24">
        <v>46062</v>
      </c>
      <c r="U2095" s="24" t="s">
        <v>80</v>
      </c>
      <c r="X2095" s="24">
        <v>46048</v>
      </c>
      <c r="Y2095" s="23">
        <v>1111</v>
      </c>
      <c r="Z2095" s="23">
        <v>11600003</v>
      </c>
      <c r="AA2095" s="23">
        <v>505103</v>
      </c>
      <c r="AB2095" s="24">
        <v>46049</v>
      </c>
    </row>
    <row r="2096" spans="2:28" x14ac:dyDescent="0.2">
      <c r="B2096" s="23" t="s">
        <v>81</v>
      </c>
      <c r="C2096" s="23">
        <v>1100576255</v>
      </c>
      <c r="H2096" s="24">
        <v>46139</v>
      </c>
      <c r="O2096" s="23">
        <v>1782.92</v>
      </c>
      <c r="P2096" s="23" t="s">
        <v>79</v>
      </c>
    </row>
    <row r="2097" spans="2:28" x14ac:dyDescent="0.2">
      <c r="C2097" s="23">
        <v>1100576340</v>
      </c>
      <c r="E2097" s="23">
        <v>10</v>
      </c>
      <c r="F2097" s="23" t="s">
        <v>3716</v>
      </c>
      <c r="G2097" s="23" t="s">
        <v>3717</v>
      </c>
      <c r="H2097" s="24">
        <v>46139</v>
      </c>
      <c r="I2097" s="24">
        <v>46139</v>
      </c>
      <c r="J2097" s="23" t="s">
        <v>2699</v>
      </c>
      <c r="K2097" s="23" t="s">
        <v>2699</v>
      </c>
      <c r="L2097" s="23">
        <v>10</v>
      </c>
      <c r="M2097" s="23" t="s">
        <v>78</v>
      </c>
      <c r="N2097" s="23" t="s">
        <v>78</v>
      </c>
      <c r="O2097" s="23">
        <v>4382.5</v>
      </c>
      <c r="P2097" s="23" t="s">
        <v>79</v>
      </c>
      <c r="Q2097" s="23" t="s">
        <v>83</v>
      </c>
      <c r="R2097" s="23">
        <v>11100176</v>
      </c>
      <c r="S2097" s="24">
        <v>46139</v>
      </c>
      <c r="T2097" s="24">
        <v>46062</v>
      </c>
      <c r="U2097" s="24" t="s">
        <v>80</v>
      </c>
      <c r="X2097" s="24">
        <v>46062</v>
      </c>
      <c r="Y2097" s="23">
        <v>1111</v>
      </c>
      <c r="Z2097" s="23">
        <v>11400937</v>
      </c>
      <c r="AA2097" s="23">
        <v>3951</v>
      </c>
      <c r="AB2097" s="24">
        <v>46058</v>
      </c>
    </row>
    <row r="2098" spans="2:28" x14ac:dyDescent="0.2">
      <c r="C2098" s="23">
        <v>1100576340</v>
      </c>
      <c r="E2098" s="23">
        <v>20</v>
      </c>
      <c r="F2098" s="23" t="s">
        <v>3718</v>
      </c>
      <c r="G2098" s="23" t="s">
        <v>3719</v>
      </c>
      <c r="H2098" s="24">
        <v>46139</v>
      </c>
      <c r="I2098" s="24">
        <v>46139</v>
      </c>
      <c r="J2098" s="23" t="s">
        <v>2699</v>
      </c>
      <c r="K2098" s="23" t="s">
        <v>2699</v>
      </c>
      <c r="L2098" s="23">
        <v>4</v>
      </c>
      <c r="M2098" s="23" t="s">
        <v>78</v>
      </c>
      <c r="N2098" s="23" t="s">
        <v>78</v>
      </c>
      <c r="O2098" s="23">
        <v>20979.48</v>
      </c>
      <c r="P2098" s="23" t="s">
        <v>79</v>
      </c>
      <c r="Q2098" s="23" t="s">
        <v>83</v>
      </c>
      <c r="R2098" s="23">
        <v>11100176</v>
      </c>
      <c r="S2098" s="24">
        <v>46139</v>
      </c>
      <c r="T2098" s="24">
        <v>46062</v>
      </c>
      <c r="U2098" s="24" t="s">
        <v>80</v>
      </c>
      <c r="X2098" s="24">
        <v>46062</v>
      </c>
      <c r="Y2098" s="23">
        <v>1111</v>
      </c>
      <c r="Z2098" s="23">
        <v>11400937</v>
      </c>
      <c r="AA2098" s="23">
        <v>3951</v>
      </c>
      <c r="AB2098" s="24">
        <v>46058</v>
      </c>
    </row>
    <row r="2099" spans="2:28" x14ac:dyDescent="0.2">
      <c r="C2099" s="23">
        <v>1100576340</v>
      </c>
      <c r="E2099" s="23">
        <v>30</v>
      </c>
      <c r="F2099" s="23" t="s">
        <v>3251</v>
      </c>
      <c r="G2099" s="23" t="s">
        <v>3252</v>
      </c>
      <c r="H2099" s="24">
        <v>46139</v>
      </c>
      <c r="I2099" s="24">
        <v>46139</v>
      </c>
      <c r="J2099" s="23" t="s">
        <v>2699</v>
      </c>
      <c r="K2099" s="23" t="s">
        <v>2699</v>
      </c>
      <c r="L2099" s="23">
        <v>2</v>
      </c>
      <c r="M2099" s="23" t="s">
        <v>78</v>
      </c>
      <c r="N2099" s="23" t="s">
        <v>78</v>
      </c>
      <c r="O2099" s="23">
        <v>2960</v>
      </c>
      <c r="P2099" s="23" t="s">
        <v>79</v>
      </c>
      <c r="Q2099" s="23" t="s">
        <v>83</v>
      </c>
      <c r="R2099" s="23">
        <v>11100176</v>
      </c>
      <c r="S2099" s="24">
        <v>46097</v>
      </c>
      <c r="T2099" s="24">
        <v>46062</v>
      </c>
      <c r="U2099" s="24" t="s">
        <v>80</v>
      </c>
      <c r="X2099" s="24">
        <v>46062</v>
      </c>
      <c r="Y2099" s="23">
        <v>1111</v>
      </c>
      <c r="Z2099" s="23">
        <v>11400937</v>
      </c>
      <c r="AA2099" s="23">
        <v>3951</v>
      </c>
      <c r="AB2099" s="24">
        <v>46058</v>
      </c>
    </row>
    <row r="2100" spans="2:28" x14ac:dyDescent="0.2">
      <c r="C2100" s="23">
        <v>1100576340</v>
      </c>
      <c r="E2100" s="23">
        <v>40</v>
      </c>
      <c r="F2100" s="23" t="s">
        <v>3720</v>
      </c>
      <c r="G2100" s="23" t="s">
        <v>3721</v>
      </c>
      <c r="H2100" s="24">
        <v>46139</v>
      </c>
      <c r="I2100" s="24">
        <v>46139</v>
      </c>
      <c r="J2100" s="23" t="s">
        <v>2699</v>
      </c>
      <c r="K2100" s="23" t="s">
        <v>2699</v>
      </c>
      <c r="L2100" s="23">
        <v>2</v>
      </c>
      <c r="M2100" s="23" t="s">
        <v>78</v>
      </c>
      <c r="N2100" s="23" t="s">
        <v>78</v>
      </c>
      <c r="O2100" s="23">
        <v>4172.3999999999996</v>
      </c>
      <c r="P2100" s="23" t="s">
        <v>79</v>
      </c>
      <c r="Q2100" s="23" t="s">
        <v>83</v>
      </c>
      <c r="R2100" s="23">
        <v>11100176</v>
      </c>
      <c r="S2100" s="24">
        <v>46139</v>
      </c>
      <c r="T2100" s="24">
        <v>46062</v>
      </c>
      <c r="U2100" s="24" t="s">
        <v>80</v>
      </c>
      <c r="X2100" s="24">
        <v>46062</v>
      </c>
      <c r="Y2100" s="23">
        <v>1111</v>
      </c>
      <c r="Z2100" s="23">
        <v>11400937</v>
      </c>
      <c r="AA2100" s="23">
        <v>3951</v>
      </c>
      <c r="AB2100" s="24">
        <v>46058</v>
      </c>
    </row>
    <row r="2101" spans="2:28" x14ac:dyDescent="0.2">
      <c r="C2101" s="23">
        <v>1100576340</v>
      </c>
      <c r="E2101" s="23">
        <v>50</v>
      </c>
      <c r="F2101" s="23" t="s">
        <v>3722</v>
      </c>
      <c r="G2101" s="23" t="s">
        <v>3723</v>
      </c>
      <c r="H2101" s="24">
        <v>46139</v>
      </c>
      <c r="I2101" s="24">
        <v>46139</v>
      </c>
      <c r="J2101" s="23" t="s">
        <v>2699</v>
      </c>
      <c r="K2101" s="23" t="s">
        <v>2699</v>
      </c>
      <c r="L2101" s="23">
        <v>1</v>
      </c>
      <c r="M2101" s="23" t="s">
        <v>78</v>
      </c>
      <c r="N2101" s="23" t="s">
        <v>78</v>
      </c>
      <c r="O2101" s="23">
        <v>1570</v>
      </c>
      <c r="P2101" s="23" t="s">
        <v>79</v>
      </c>
      <c r="Q2101" s="23" t="s">
        <v>83</v>
      </c>
      <c r="R2101" s="23">
        <v>11100176</v>
      </c>
      <c r="S2101" s="24">
        <v>46097</v>
      </c>
      <c r="T2101" s="24">
        <v>46062</v>
      </c>
      <c r="U2101" s="24" t="s">
        <v>80</v>
      </c>
      <c r="X2101" s="24">
        <v>46062</v>
      </c>
      <c r="Y2101" s="23">
        <v>1111</v>
      </c>
      <c r="Z2101" s="23">
        <v>11400937</v>
      </c>
      <c r="AA2101" s="23">
        <v>3951</v>
      </c>
      <c r="AB2101" s="24">
        <v>46058</v>
      </c>
    </row>
    <row r="2102" spans="2:28" x14ac:dyDescent="0.2">
      <c r="C2102" s="23">
        <v>1100576340</v>
      </c>
      <c r="E2102" s="23">
        <v>60</v>
      </c>
      <c r="F2102" s="23" t="s">
        <v>82</v>
      </c>
      <c r="G2102" s="23" t="s">
        <v>139</v>
      </c>
      <c r="H2102" s="24">
        <v>46139</v>
      </c>
      <c r="I2102" s="24">
        <v>46139</v>
      </c>
      <c r="J2102" s="23" t="s">
        <v>2699</v>
      </c>
      <c r="K2102" s="23" t="s">
        <v>2699</v>
      </c>
      <c r="L2102" s="23">
        <v>1</v>
      </c>
      <c r="M2102" s="23" t="s">
        <v>78</v>
      </c>
      <c r="N2102" s="23" t="s">
        <v>78</v>
      </c>
      <c r="O2102" s="23">
        <v>0.01</v>
      </c>
      <c r="P2102" s="23" t="s">
        <v>79</v>
      </c>
      <c r="Q2102" s="23" t="s">
        <v>83</v>
      </c>
      <c r="R2102" s="23">
        <v>11100176</v>
      </c>
      <c r="S2102" s="24" t="s">
        <v>80</v>
      </c>
      <c r="T2102" s="24">
        <v>46062</v>
      </c>
      <c r="U2102" s="24" t="s">
        <v>80</v>
      </c>
      <c r="X2102" s="24">
        <v>46062</v>
      </c>
      <c r="Y2102" s="23">
        <v>1111</v>
      </c>
      <c r="Z2102" s="23">
        <v>11400937</v>
      </c>
      <c r="AA2102" s="23">
        <v>3951</v>
      </c>
      <c r="AB2102" s="24">
        <v>46058</v>
      </c>
    </row>
    <row r="2103" spans="2:28" x14ac:dyDescent="0.2">
      <c r="B2103" s="23" t="s">
        <v>81</v>
      </c>
      <c r="C2103" s="23">
        <v>1100576340</v>
      </c>
      <c r="H2103" s="24">
        <v>46139</v>
      </c>
      <c r="O2103" s="23">
        <v>34064.39</v>
      </c>
      <c r="P2103" s="23" t="s">
        <v>79</v>
      </c>
    </row>
    <row r="2104" spans="2:28" x14ac:dyDescent="0.2">
      <c r="C2104" s="23">
        <v>1100576735</v>
      </c>
      <c r="E2104" s="23">
        <v>10</v>
      </c>
      <c r="F2104" s="23" t="s">
        <v>1164</v>
      </c>
      <c r="G2104" s="23" t="s">
        <v>1165</v>
      </c>
      <c r="H2104" s="24">
        <v>46139</v>
      </c>
      <c r="I2104" s="24">
        <v>46139</v>
      </c>
      <c r="J2104" s="23" t="s">
        <v>1757</v>
      </c>
      <c r="K2104" s="23" t="s">
        <v>1757</v>
      </c>
      <c r="L2104" s="23">
        <v>1</v>
      </c>
      <c r="M2104" s="23" t="s">
        <v>78</v>
      </c>
      <c r="N2104" s="23" t="s">
        <v>78</v>
      </c>
      <c r="O2104" s="23">
        <v>1435.32</v>
      </c>
      <c r="P2104" s="23" t="s">
        <v>79</v>
      </c>
      <c r="Q2104" s="23" t="s">
        <v>83</v>
      </c>
      <c r="R2104" s="23">
        <v>11100176</v>
      </c>
      <c r="S2104" s="24">
        <v>46107</v>
      </c>
      <c r="T2104" s="24">
        <v>46066</v>
      </c>
      <c r="U2104" s="24" t="s">
        <v>80</v>
      </c>
      <c r="X2104" s="24">
        <v>46065</v>
      </c>
      <c r="Y2104" s="23">
        <v>1111</v>
      </c>
      <c r="Z2104" s="23">
        <v>11400811</v>
      </c>
      <c r="AA2104" s="23">
        <v>315103</v>
      </c>
      <c r="AB2104" s="24">
        <v>46065</v>
      </c>
    </row>
    <row r="2105" spans="2:28" x14ac:dyDescent="0.2">
      <c r="C2105" s="23">
        <v>1100576735</v>
      </c>
      <c r="E2105" s="23">
        <v>20</v>
      </c>
      <c r="F2105" s="23" t="s">
        <v>82</v>
      </c>
      <c r="G2105" s="23" t="s">
        <v>139</v>
      </c>
      <c r="H2105" s="24">
        <v>46139</v>
      </c>
      <c r="I2105" s="24">
        <v>46139</v>
      </c>
      <c r="J2105" s="23" t="s">
        <v>1757</v>
      </c>
      <c r="K2105" s="23" t="s">
        <v>1757</v>
      </c>
      <c r="L2105" s="23">
        <v>1</v>
      </c>
      <c r="M2105" s="23" t="s">
        <v>78</v>
      </c>
      <c r="N2105" s="23" t="s">
        <v>78</v>
      </c>
      <c r="O2105" s="23">
        <v>0.01</v>
      </c>
      <c r="P2105" s="23" t="s">
        <v>79</v>
      </c>
      <c r="Q2105" s="23" t="s">
        <v>83</v>
      </c>
      <c r="R2105" s="23">
        <v>11100176</v>
      </c>
      <c r="S2105" s="24" t="s">
        <v>80</v>
      </c>
      <c r="T2105" s="24">
        <v>46066</v>
      </c>
      <c r="U2105" s="24" t="s">
        <v>80</v>
      </c>
      <c r="X2105" s="24">
        <v>46065</v>
      </c>
      <c r="Y2105" s="23">
        <v>1111</v>
      </c>
      <c r="Z2105" s="23">
        <v>11400811</v>
      </c>
      <c r="AA2105" s="23">
        <v>315103</v>
      </c>
      <c r="AB2105" s="24">
        <v>46065</v>
      </c>
    </row>
    <row r="2106" spans="2:28" x14ac:dyDescent="0.2">
      <c r="B2106" s="23" t="s">
        <v>81</v>
      </c>
      <c r="C2106" s="23">
        <v>1100576735</v>
      </c>
      <c r="H2106" s="24">
        <v>46139</v>
      </c>
      <c r="O2106" s="23">
        <v>1435.33</v>
      </c>
      <c r="P2106" s="23" t="s">
        <v>79</v>
      </c>
    </row>
    <row r="2107" spans="2:28" x14ac:dyDescent="0.2">
      <c r="C2107" s="23">
        <v>1100577165</v>
      </c>
      <c r="E2107" s="23">
        <v>10</v>
      </c>
      <c r="F2107" s="23" t="s">
        <v>896</v>
      </c>
      <c r="G2107" s="23" t="s">
        <v>2269</v>
      </c>
      <c r="H2107" s="24">
        <v>46139</v>
      </c>
      <c r="I2107" s="24">
        <v>46139</v>
      </c>
      <c r="J2107" s="23" t="s">
        <v>3724</v>
      </c>
      <c r="K2107" s="23" t="s">
        <v>3724</v>
      </c>
      <c r="L2107" s="23">
        <v>2</v>
      </c>
      <c r="M2107" s="23" t="s">
        <v>78</v>
      </c>
      <c r="N2107" s="23" t="s">
        <v>78</v>
      </c>
      <c r="O2107" s="23">
        <v>302.64</v>
      </c>
      <c r="P2107" s="23" t="s">
        <v>79</v>
      </c>
      <c r="Q2107" s="23" t="s">
        <v>83</v>
      </c>
      <c r="R2107" s="23">
        <v>11100176</v>
      </c>
      <c r="S2107" s="24">
        <v>46099</v>
      </c>
      <c r="T2107" s="24">
        <v>46071</v>
      </c>
      <c r="U2107" s="24" t="s">
        <v>80</v>
      </c>
      <c r="X2107" s="24">
        <v>46070</v>
      </c>
      <c r="Y2107" s="23">
        <v>1111</v>
      </c>
      <c r="Z2107" s="23">
        <v>11400895</v>
      </c>
      <c r="AA2107" s="23">
        <v>515103</v>
      </c>
      <c r="AB2107" s="24">
        <v>46070</v>
      </c>
    </row>
    <row r="2108" spans="2:28" x14ac:dyDescent="0.2">
      <c r="C2108" s="23">
        <v>1100577165</v>
      </c>
      <c r="E2108" s="23">
        <v>20</v>
      </c>
      <c r="F2108" s="23" t="s">
        <v>3670</v>
      </c>
      <c r="G2108" s="23" t="s">
        <v>3725</v>
      </c>
      <c r="H2108" s="24">
        <v>46139</v>
      </c>
      <c r="I2108" s="24">
        <v>46139</v>
      </c>
      <c r="J2108" s="23" t="s">
        <v>3724</v>
      </c>
      <c r="K2108" s="23" t="s">
        <v>3724</v>
      </c>
      <c r="L2108" s="23">
        <v>2</v>
      </c>
      <c r="M2108" s="23" t="s">
        <v>78</v>
      </c>
      <c r="N2108" s="23" t="s">
        <v>78</v>
      </c>
      <c r="O2108" s="23">
        <v>182.02</v>
      </c>
      <c r="P2108" s="23" t="s">
        <v>79</v>
      </c>
      <c r="Q2108" s="23" t="s">
        <v>83</v>
      </c>
      <c r="R2108" s="23">
        <v>11100176</v>
      </c>
      <c r="S2108" s="24">
        <v>46099</v>
      </c>
      <c r="T2108" s="24">
        <v>46071</v>
      </c>
      <c r="U2108" s="24" t="s">
        <v>80</v>
      </c>
      <c r="X2108" s="24">
        <v>46070</v>
      </c>
      <c r="Y2108" s="23">
        <v>1111</v>
      </c>
      <c r="Z2108" s="23">
        <v>11400895</v>
      </c>
      <c r="AA2108" s="23">
        <v>515103</v>
      </c>
      <c r="AB2108" s="24">
        <v>46070</v>
      </c>
    </row>
    <row r="2109" spans="2:28" x14ac:dyDescent="0.2">
      <c r="C2109" s="23">
        <v>1100577165</v>
      </c>
      <c r="E2109" s="23">
        <v>30</v>
      </c>
      <c r="F2109" s="23" t="s">
        <v>897</v>
      </c>
      <c r="G2109" s="23" t="s">
        <v>1827</v>
      </c>
      <c r="H2109" s="24">
        <v>46139</v>
      </c>
      <c r="I2109" s="24">
        <v>46139</v>
      </c>
      <c r="J2109" s="23" t="s">
        <v>3724</v>
      </c>
      <c r="K2109" s="23" t="s">
        <v>3724</v>
      </c>
      <c r="L2109" s="23">
        <v>2</v>
      </c>
      <c r="M2109" s="23" t="s">
        <v>78</v>
      </c>
      <c r="N2109" s="23" t="s">
        <v>78</v>
      </c>
      <c r="O2109" s="23">
        <v>236.84</v>
      </c>
      <c r="P2109" s="23" t="s">
        <v>79</v>
      </c>
      <c r="Q2109" s="23" t="s">
        <v>83</v>
      </c>
      <c r="R2109" s="23">
        <v>11100176</v>
      </c>
      <c r="S2109" s="24">
        <v>46099</v>
      </c>
      <c r="T2109" s="24">
        <v>46071</v>
      </c>
      <c r="U2109" s="24" t="s">
        <v>80</v>
      </c>
      <c r="X2109" s="24">
        <v>46070</v>
      </c>
      <c r="Y2109" s="23">
        <v>1111</v>
      </c>
      <c r="Z2109" s="23">
        <v>11400895</v>
      </c>
      <c r="AA2109" s="23">
        <v>515103</v>
      </c>
      <c r="AB2109" s="24">
        <v>46070</v>
      </c>
    </row>
    <row r="2110" spans="2:28" x14ac:dyDescent="0.2">
      <c r="C2110" s="23">
        <v>1100577165</v>
      </c>
      <c r="E2110" s="23">
        <v>40</v>
      </c>
      <c r="F2110" s="23" t="s">
        <v>82</v>
      </c>
      <c r="G2110" s="23" t="s">
        <v>139</v>
      </c>
      <c r="H2110" s="24">
        <v>46139</v>
      </c>
      <c r="I2110" s="24">
        <v>46139</v>
      </c>
      <c r="J2110" s="23" t="s">
        <v>3724</v>
      </c>
      <c r="K2110" s="23" t="s">
        <v>3724</v>
      </c>
      <c r="L2110" s="23">
        <v>1</v>
      </c>
      <c r="M2110" s="23" t="s">
        <v>78</v>
      </c>
      <c r="N2110" s="23" t="s">
        <v>78</v>
      </c>
      <c r="O2110" s="23">
        <v>0.01</v>
      </c>
      <c r="P2110" s="23" t="s">
        <v>79</v>
      </c>
      <c r="Q2110" s="23" t="s">
        <v>83</v>
      </c>
      <c r="R2110" s="23">
        <v>11100176</v>
      </c>
      <c r="S2110" s="24" t="s">
        <v>80</v>
      </c>
      <c r="T2110" s="24">
        <v>46071</v>
      </c>
      <c r="U2110" s="24" t="s">
        <v>80</v>
      </c>
      <c r="X2110" s="24">
        <v>46070</v>
      </c>
      <c r="Y2110" s="23">
        <v>1111</v>
      </c>
      <c r="Z2110" s="23">
        <v>11400895</v>
      </c>
      <c r="AA2110" s="23">
        <v>515103</v>
      </c>
      <c r="AB2110" s="24">
        <v>46070</v>
      </c>
    </row>
    <row r="2111" spans="2:28" x14ac:dyDescent="0.2">
      <c r="B2111" s="23" t="s">
        <v>81</v>
      </c>
      <c r="C2111" s="23">
        <v>1100577165</v>
      </c>
      <c r="H2111" s="24">
        <v>46139</v>
      </c>
      <c r="O2111" s="23">
        <v>721.51</v>
      </c>
      <c r="P2111" s="23" t="s">
        <v>79</v>
      </c>
    </row>
    <row r="2112" spans="2:28" x14ac:dyDescent="0.2">
      <c r="C2112" s="23">
        <v>1100577422</v>
      </c>
      <c r="E2112" s="23">
        <v>10</v>
      </c>
      <c r="F2112" s="23" t="s">
        <v>3311</v>
      </c>
      <c r="G2112" s="23" t="s">
        <v>3312</v>
      </c>
      <c r="H2112" s="24">
        <v>46139</v>
      </c>
      <c r="I2112" s="24">
        <v>46139</v>
      </c>
      <c r="J2112" s="23" t="s">
        <v>168</v>
      </c>
      <c r="K2112" s="23" t="s">
        <v>168</v>
      </c>
      <c r="L2112" s="23">
        <v>2</v>
      </c>
      <c r="M2112" s="23" t="s">
        <v>78</v>
      </c>
      <c r="N2112" s="23" t="s">
        <v>78</v>
      </c>
      <c r="O2112" s="23">
        <v>168.86</v>
      </c>
      <c r="P2112" s="23" t="s">
        <v>79</v>
      </c>
      <c r="Q2112" s="23" t="s">
        <v>83</v>
      </c>
      <c r="R2112" s="23">
        <v>11100008</v>
      </c>
      <c r="S2112" s="24">
        <v>46157</v>
      </c>
      <c r="T2112" s="24">
        <v>46073</v>
      </c>
      <c r="U2112" s="24">
        <v>47116</v>
      </c>
      <c r="X2112" s="24">
        <v>46073</v>
      </c>
      <c r="Y2112" s="23">
        <v>1111</v>
      </c>
      <c r="Z2112" s="23">
        <v>11400789</v>
      </c>
      <c r="AA2112" s="23">
        <v>525103</v>
      </c>
      <c r="AB2112" s="24">
        <v>46071</v>
      </c>
    </row>
    <row r="2113" spans="2:28" x14ac:dyDescent="0.2">
      <c r="B2113" s="23" t="s">
        <v>81</v>
      </c>
      <c r="C2113" s="23">
        <v>1100577422</v>
      </c>
      <c r="H2113" s="24">
        <v>46139</v>
      </c>
      <c r="O2113" s="23">
        <v>168.86</v>
      </c>
      <c r="P2113" s="23" t="s">
        <v>79</v>
      </c>
    </row>
    <row r="2114" spans="2:28" x14ac:dyDescent="0.2">
      <c r="C2114" s="23">
        <v>1100577664</v>
      </c>
      <c r="E2114" s="23">
        <v>10</v>
      </c>
      <c r="F2114" s="23" t="s">
        <v>3495</v>
      </c>
      <c r="G2114" s="23" t="s">
        <v>3496</v>
      </c>
      <c r="H2114" s="24">
        <v>46139</v>
      </c>
      <c r="I2114" s="24">
        <v>46139</v>
      </c>
      <c r="J2114" s="23" t="s">
        <v>1777</v>
      </c>
      <c r="K2114" s="23" t="s">
        <v>1777</v>
      </c>
      <c r="L2114" s="23">
        <v>1</v>
      </c>
      <c r="M2114" s="23" t="s">
        <v>78</v>
      </c>
      <c r="N2114" s="23" t="s">
        <v>78</v>
      </c>
      <c r="O2114" s="23">
        <v>2009.88</v>
      </c>
      <c r="P2114" s="23" t="s">
        <v>79</v>
      </c>
      <c r="Q2114" s="23" t="s">
        <v>83</v>
      </c>
      <c r="R2114" s="23">
        <v>11100176</v>
      </c>
      <c r="S2114" s="24">
        <v>46111</v>
      </c>
      <c r="T2114" s="24">
        <v>46076</v>
      </c>
      <c r="U2114" s="24" t="s">
        <v>80</v>
      </c>
      <c r="X2114" s="24">
        <v>46076</v>
      </c>
      <c r="Y2114" s="23">
        <v>1111</v>
      </c>
      <c r="Z2114" s="23">
        <v>11400789</v>
      </c>
      <c r="AA2114" s="23">
        <v>315103</v>
      </c>
      <c r="AB2114" s="24">
        <v>46073</v>
      </c>
    </row>
    <row r="2115" spans="2:28" x14ac:dyDescent="0.2">
      <c r="B2115" s="23" t="s">
        <v>81</v>
      </c>
      <c r="C2115" s="23">
        <v>1100577664</v>
      </c>
      <c r="H2115" s="24">
        <v>46139</v>
      </c>
      <c r="O2115" s="23">
        <v>2009.88</v>
      </c>
      <c r="P2115" s="23" t="s">
        <v>79</v>
      </c>
    </row>
    <row r="2116" spans="2:28" x14ac:dyDescent="0.2">
      <c r="C2116" s="23">
        <v>1100578162</v>
      </c>
      <c r="E2116" s="23">
        <v>10</v>
      </c>
      <c r="F2116" s="23" t="s">
        <v>2710</v>
      </c>
      <c r="G2116" s="23" t="s">
        <v>2711</v>
      </c>
      <c r="H2116" s="24">
        <v>46139</v>
      </c>
      <c r="I2116" s="24">
        <v>46139</v>
      </c>
      <c r="J2116" s="23" t="s">
        <v>242</v>
      </c>
      <c r="K2116" s="23" t="s">
        <v>242</v>
      </c>
      <c r="L2116" s="23">
        <v>1</v>
      </c>
      <c r="M2116" s="23" t="s">
        <v>78</v>
      </c>
      <c r="N2116" s="23" t="s">
        <v>78</v>
      </c>
      <c r="O2116" s="23">
        <v>7947.84</v>
      </c>
      <c r="P2116" s="23" t="s">
        <v>79</v>
      </c>
      <c r="Q2116" s="23" t="s">
        <v>83</v>
      </c>
      <c r="R2116" s="23">
        <v>11100176</v>
      </c>
      <c r="S2116" s="24">
        <v>46128</v>
      </c>
      <c r="T2116" s="24">
        <v>46079</v>
      </c>
      <c r="U2116" s="24" t="s">
        <v>80</v>
      </c>
      <c r="X2116" s="24">
        <v>46078</v>
      </c>
      <c r="Y2116" s="23">
        <v>1111</v>
      </c>
      <c r="Z2116" s="23">
        <v>11400811</v>
      </c>
      <c r="AA2116" s="23">
        <v>505103</v>
      </c>
      <c r="AB2116" s="24">
        <v>46078</v>
      </c>
    </row>
    <row r="2117" spans="2:28" x14ac:dyDescent="0.2">
      <c r="C2117" s="23">
        <v>1100578162</v>
      </c>
      <c r="E2117" s="23">
        <v>20</v>
      </c>
      <c r="F2117" s="23" t="s">
        <v>82</v>
      </c>
      <c r="G2117" s="23" t="s">
        <v>139</v>
      </c>
      <c r="H2117" s="24">
        <v>46139</v>
      </c>
      <c r="I2117" s="24">
        <v>46139</v>
      </c>
      <c r="J2117" s="23" t="s">
        <v>242</v>
      </c>
      <c r="K2117" s="23" t="s">
        <v>242</v>
      </c>
      <c r="L2117" s="23">
        <v>1</v>
      </c>
      <c r="M2117" s="23" t="s">
        <v>78</v>
      </c>
      <c r="N2117" s="23" t="s">
        <v>78</v>
      </c>
      <c r="O2117" s="23">
        <v>0.01</v>
      </c>
      <c r="P2117" s="23" t="s">
        <v>79</v>
      </c>
      <c r="Q2117" s="23" t="s">
        <v>83</v>
      </c>
      <c r="R2117" s="23">
        <v>11100176</v>
      </c>
      <c r="S2117" s="24" t="s">
        <v>80</v>
      </c>
      <c r="T2117" s="24">
        <v>46079</v>
      </c>
      <c r="U2117" s="24" t="s">
        <v>80</v>
      </c>
      <c r="X2117" s="24">
        <v>46078</v>
      </c>
      <c r="Y2117" s="23">
        <v>1111</v>
      </c>
      <c r="Z2117" s="23">
        <v>11400811</v>
      </c>
      <c r="AA2117" s="23">
        <v>505103</v>
      </c>
      <c r="AB2117" s="24">
        <v>46078</v>
      </c>
    </row>
    <row r="2118" spans="2:28" x14ac:dyDescent="0.2">
      <c r="B2118" s="23" t="s">
        <v>81</v>
      </c>
      <c r="C2118" s="23">
        <v>1100578162</v>
      </c>
      <c r="H2118" s="24">
        <v>46139</v>
      </c>
      <c r="O2118" s="23">
        <v>7947.85</v>
      </c>
      <c r="P2118" s="23" t="s">
        <v>79</v>
      </c>
    </row>
    <row r="2119" spans="2:28" x14ac:dyDescent="0.2">
      <c r="C2119" s="23">
        <v>1100578342</v>
      </c>
      <c r="E2119" s="23">
        <v>10</v>
      </c>
      <c r="F2119" s="23" t="s">
        <v>811</v>
      </c>
      <c r="G2119" s="23" t="s">
        <v>812</v>
      </c>
      <c r="H2119" s="24">
        <v>46139</v>
      </c>
      <c r="I2119" s="24">
        <v>46139</v>
      </c>
      <c r="J2119" s="23" t="s">
        <v>214</v>
      </c>
      <c r="K2119" s="23" t="s">
        <v>214</v>
      </c>
      <c r="L2119" s="23">
        <v>2</v>
      </c>
      <c r="M2119" s="23" t="s">
        <v>78</v>
      </c>
      <c r="N2119" s="23" t="s">
        <v>78</v>
      </c>
      <c r="O2119" s="23">
        <v>2054.84</v>
      </c>
      <c r="P2119" s="23" t="s">
        <v>79</v>
      </c>
      <c r="Q2119" s="23" t="s">
        <v>83</v>
      </c>
      <c r="R2119" s="23">
        <v>11100176</v>
      </c>
      <c r="S2119" s="24">
        <v>46139</v>
      </c>
      <c r="T2119" s="24">
        <v>46081</v>
      </c>
      <c r="U2119" s="24" t="s">
        <v>80</v>
      </c>
      <c r="X2119" s="24">
        <v>46079</v>
      </c>
      <c r="Y2119" s="23">
        <v>1111</v>
      </c>
      <c r="Z2119" s="23">
        <v>11400797</v>
      </c>
      <c r="AA2119" s="23">
        <v>335103</v>
      </c>
      <c r="AB2119" s="24">
        <v>46080</v>
      </c>
    </row>
    <row r="2120" spans="2:28" x14ac:dyDescent="0.2">
      <c r="C2120" s="23">
        <v>1100578342</v>
      </c>
      <c r="E2120" s="23">
        <v>20</v>
      </c>
      <c r="F2120" s="23" t="s">
        <v>82</v>
      </c>
      <c r="G2120" s="23" t="s">
        <v>139</v>
      </c>
      <c r="H2120" s="24">
        <v>46139</v>
      </c>
      <c r="I2120" s="24">
        <v>46139</v>
      </c>
      <c r="J2120" s="23" t="s">
        <v>214</v>
      </c>
      <c r="K2120" s="23" t="s">
        <v>214</v>
      </c>
      <c r="L2120" s="23">
        <v>1</v>
      </c>
      <c r="M2120" s="23" t="s">
        <v>78</v>
      </c>
      <c r="N2120" s="23" t="s">
        <v>78</v>
      </c>
      <c r="O2120" s="23">
        <v>0.01</v>
      </c>
      <c r="P2120" s="23" t="s">
        <v>79</v>
      </c>
      <c r="Q2120" s="23" t="s">
        <v>83</v>
      </c>
      <c r="R2120" s="23">
        <v>11100176</v>
      </c>
      <c r="S2120" s="24" t="s">
        <v>80</v>
      </c>
      <c r="T2120" s="24">
        <v>46081</v>
      </c>
      <c r="U2120" s="24" t="s">
        <v>80</v>
      </c>
      <c r="X2120" s="24">
        <v>46079</v>
      </c>
      <c r="Y2120" s="23">
        <v>1111</v>
      </c>
      <c r="Z2120" s="23">
        <v>11400797</v>
      </c>
      <c r="AA2120" s="23">
        <v>335103</v>
      </c>
      <c r="AB2120" s="24">
        <v>46080</v>
      </c>
    </row>
    <row r="2121" spans="2:28" x14ac:dyDescent="0.2">
      <c r="B2121" s="23" t="s">
        <v>81</v>
      </c>
      <c r="C2121" s="23">
        <v>1100578342</v>
      </c>
      <c r="H2121" s="24">
        <v>46139</v>
      </c>
      <c r="O2121" s="23">
        <v>2054.85</v>
      </c>
      <c r="P2121" s="23" t="s">
        <v>79</v>
      </c>
    </row>
    <row r="2122" spans="2:28" x14ac:dyDescent="0.2">
      <c r="C2122" s="23">
        <v>1100578346</v>
      </c>
      <c r="E2122" s="23">
        <v>10</v>
      </c>
      <c r="F2122" s="23" t="s">
        <v>3726</v>
      </c>
      <c r="G2122" s="23" t="s">
        <v>3727</v>
      </c>
      <c r="H2122" s="24">
        <v>46139</v>
      </c>
      <c r="I2122" s="24">
        <v>46139</v>
      </c>
      <c r="J2122" s="23" t="s">
        <v>157</v>
      </c>
      <c r="K2122" s="23" t="s">
        <v>157</v>
      </c>
      <c r="L2122" s="23">
        <v>22</v>
      </c>
      <c r="M2122" s="23" t="s">
        <v>78</v>
      </c>
      <c r="N2122" s="23" t="s">
        <v>78</v>
      </c>
      <c r="O2122" s="23">
        <v>1120.46</v>
      </c>
      <c r="P2122" s="23" t="s">
        <v>79</v>
      </c>
      <c r="Q2122" s="23" t="s">
        <v>83</v>
      </c>
      <c r="R2122" s="23">
        <v>11100176</v>
      </c>
      <c r="S2122" s="24">
        <v>46087</v>
      </c>
      <c r="T2122" s="24">
        <v>46081</v>
      </c>
      <c r="U2122" s="24" t="s">
        <v>80</v>
      </c>
      <c r="X2122" s="24">
        <v>46080</v>
      </c>
      <c r="Y2122" s="23">
        <v>1111</v>
      </c>
      <c r="Z2122" s="23">
        <v>11400797</v>
      </c>
      <c r="AA2122" s="23">
        <v>3351</v>
      </c>
      <c r="AB2122" s="24">
        <v>46080</v>
      </c>
    </row>
    <row r="2123" spans="2:28" x14ac:dyDescent="0.2">
      <c r="C2123" s="23">
        <v>1100578346</v>
      </c>
      <c r="E2123" s="23">
        <v>20</v>
      </c>
      <c r="F2123" s="23" t="s">
        <v>3728</v>
      </c>
      <c r="G2123" s="23" t="s">
        <v>3729</v>
      </c>
      <c r="H2123" s="24">
        <v>46139</v>
      </c>
      <c r="I2123" s="24">
        <v>46139</v>
      </c>
      <c r="J2123" s="23" t="s">
        <v>157</v>
      </c>
      <c r="K2123" s="23" t="s">
        <v>157</v>
      </c>
      <c r="L2123" s="23">
        <v>22</v>
      </c>
      <c r="M2123" s="23" t="s">
        <v>78</v>
      </c>
      <c r="N2123" s="23" t="s">
        <v>78</v>
      </c>
      <c r="O2123" s="23">
        <v>1399.42</v>
      </c>
      <c r="P2123" s="23" t="s">
        <v>79</v>
      </c>
      <c r="Q2123" s="23" t="s">
        <v>83</v>
      </c>
      <c r="R2123" s="23">
        <v>11100176</v>
      </c>
      <c r="S2123" s="24">
        <v>46087</v>
      </c>
      <c r="T2123" s="24">
        <v>46081</v>
      </c>
      <c r="U2123" s="24" t="s">
        <v>80</v>
      </c>
      <c r="X2123" s="24">
        <v>46080</v>
      </c>
      <c r="Y2123" s="23">
        <v>1111</v>
      </c>
      <c r="Z2123" s="23">
        <v>11400797</v>
      </c>
      <c r="AA2123" s="23">
        <v>3351</v>
      </c>
      <c r="AB2123" s="24">
        <v>46080</v>
      </c>
    </row>
    <row r="2124" spans="2:28" x14ac:dyDescent="0.2">
      <c r="C2124" s="23">
        <v>1100578346</v>
      </c>
      <c r="E2124" s="23">
        <v>30</v>
      </c>
      <c r="F2124" s="23" t="s">
        <v>3730</v>
      </c>
      <c r="G2124" s="23" t="s">
        <v>3731</v>
      </c>
      <c r="H2124" s="24">
        <v>46139</v>
      </c>
      <c r="I2124" s="24">
        <v>46139</v>
      </c>
      <c r="J2124" s="23" t="s">
        <v>157</v>
      </c>
      <c r="K2124" s="23" t="s">
        <v>157</v>
      </c>
      <c r="L2124" s="23">
        <v>2</v>
      </c>
      <c r="M2124" s="23" t="s">
        <v>78</v>
      </c>
      <c r="N2124" s="23" t="s">
        <v>78</v>
      </c>
      <c r="O2124" s="23">
        <v>470.36</v>
      </c>
      <c r="P2124" s="23" t="s">
        <v>79</v>
      </c>
      <c r="Q2124" s="23" t="s">
        <v>83</v>
      </c>
      <c r="R2124" s="23">
        <v>11100176</v>
      </c>
      <c r="S2124" s="24">
        <v>46087</v>
      </c>
      <c r="T2124" s="24">
        <v>46081</v>
      </c>
      <c r="U2124" s="24" t="s">
        <v>80</v>
      </c>
      <c r="X2124" s="24">
        <v>46080</v>
      </c>
      <c r="Y2124" s="23">
        <v>1111</v>
      </c>
      <c r="Z2124" s="23">
        <v>11400797</v>
      </c>
      <c r="AA2124" s="23">
        <v>3351</v>
      </c>
      <c r="AB2124" s="24">
        <v>46080</v>
      </c>
    </row>
    <row r="2125" spans="2:28" x14ac:dyDescent="0.2">
      <c r="C2125" s="23">
        <v>1100578346</v>
      </c>
      <c r="E2125" s="23">
        <v>40</v>
      </c>
      <c r="F2125" s="23" t="s">
        <v>3732</v>
      </c>
      <c r="G2125" s="23" t="s">
        <v>3733</v>
      </c>
      <c r="H2125" s="24">
        <v>46139</v>
      </c>
      <c r="I2125" s="24">
        <v>46139</v>
      </c>
      <c r="J2125" s="23" t="s">
        <v>157</v>
      </c>
      <c r="K2125" s="23" t="s">
        <v>157</v>
      </c>
      <c r="L2125" s="23">
        <v>8</v>
      </c>
      <c r="M2125" s="23" t="s">
        <v>78</v>
      </c>
      <c r="N2125" s="23" t="s">
        <v>78</v>
      </c>
      <c r="O2125" s="23">
        <v>867.44</v>
      </c>
      <c r="P2125" s="23" t="s">
        <v>79</v>
      </c>
      <c r="Q2125" s="23" t="s">
        <v>83</v>
      </c>
      <c r="R2125" s="23">
        <v>11100176</v>
      </c>
      <c r="S2125" s="24">
        <v>46087</v>
      </c>
      <c r="T2125" s="24">
        <v>46081</v>
      </c>
      <c r="U2125" s="24" t="s">
        <v>80</v>
      </c>
      <c r="X2125" s="24">
        <v>46080</v>
      </c>
      <c r="Y2125" s="23">
        <v>1111</v>
      </c>
      <c r="Z2125" s="23">
        <v>11400797</v>
      </c>
      <c r="AA2125" s="23">
        <v>3351</v>
      </c>
      <c r="AB2125" s="24">
        <v>46080</v>
      </c>
    </row>
    <row r="2126" spans="2:28" x14ac:dyDescent="0.2">
      <c r="B2126" s="23" t="s">
        <v>81</v>
      </c>
      <c r="C2126" s="23">
        <v>1100578346</v>
      </c>
      <c r="H2126" s="24">
        <v>46139</v>
      </c>
      <c r="O2126" s="23">
        <v>3857.68</v>
      </c>
      <c r="P2126" s="23" t="s">
        <v>79</v>
      </c>
    </row>
    <row r="2127" spans="2:28" x14ac:dyDescent="0.2">
      <c r="C2127" s="23">
        <v>1100570872</v>
      </c>
      <c r="E2127" s="23">
        <v>10</v>
      </c>
      <c r="F2127" s="23" t="s">
        <v>1809</v>
      </c>
      <c r="G2127" s="23" t="s">
        <v>1810</v>
      </c>
      <c r="H2127" s="24">
        <v>46140</v>
      </c>
      <c r="I2127" s="24">
        <v>46140</v>
      </c>
      <c r="J2127" s="23" t="s">
        <v>1811</v>
      </c>
      <c r="K2127" s="23" t="s">
        <v>1811</v>
      </c>
      <c r="L2127" s="23">
        <v>10</v>
      </c>
      <c r="M2127" s="23" t="s">
        <v>78</v>
      </c>
      <c r="N2127" s="23" t="s">
        <v>78</v>
      </c>
      <c r="O2127" s="23">
        <v>1140.4000000000001</v>
      </c>
      <c r="P2127" s="23" t="s">
        <v>79</v>
      </c>
      <c r="Q2127" s="23" t="s">
        <v>83</v>
      </c>
      <c r="R2127" s="23">
        <v>11100176</v>
      </c>
      <c r="S2127" s="24">
        <v>46031</v>
      </c>
      <c r="T2127" s="24">
        <v>46000</v>
      </c>
      <c r="U2127" s="24" t="s">
        <v>80</v>
      </c>
      <c r="X2127" s="24">
        <v>45995</v>
      </c>
      <c r="Y2127" s="23">
        <v>1111</v>
      </c>
      <c r="Z2127" s="23">
        <v>11400937</v>
      </c>
      <c r="AA2127" s="23">
        <v>515103</v>
      </c>
      <c r="AB2127" s="24">
        <v>45996</v>
      </c>
    </row>
    <row r="2128" spans="2:28" x14ac:dyDescent="0.2">
      <c r="C2128" s="23">
        <v>1100570872</v>
      </c>
      <c r="E2128" s="23">
        <v>20</v>
      </c>
      <c r="F2128" s="23" t="s">
        <v>1812</v>
      </c>
      <c r="G2128" s="23" t="s">
        <v>1813</v>
      </c>
      <c r="H2128" s="24">
        <v>46140</v>
      </c>
      <c r="I2128" s="24">
        <v>46140</v>
      </c>
      <c r="J2128" s="23" t="s">
        <v>1811</v>
      </c>
      <c r="K2128" s="23" t="s">
        <v>1811</v>
      </c>
      <c r="L2128" s="23">
        <v>2</v>
      </c>
      <c r="M2128" s="23" t="s">
        <v>78</v>
      </c>
      <c r="N2128" s="23" t="s">
        <v>78</v>
      </c>
      <c r="O2128" s="23">
        <v>925.44</v>
      </c>
      <c r="P2128" s="23" t="s">
        <v>79</v>
      </c>
      <c r="Q2128" s="23" t="s">
        <v>83</v>
      </c>
      <c r="R2128" s="23">
        <v>11100176</v>
      </c>
      <c r="S2128" s="24">
        <v>46031</v>
      </c>
      <c r="T2128" s="24">
        <v>46000</v>
      </c>
      <c r="U2128" s="24" t="s">
        <v>80</v>
      </c>
      <c r="X2128" s="24">
        <v>45995</v>
      </c>
      <c r="Y2128" s="23">
        <v>1111</v>
      </c>
      <c r="Z2128" s="23">
        <v>11400937</v>
      </c>
      <c r="AA2128" s="23">
        <v>515103</v>
      </c>
      <c r="AB2128" s="24">
        <v>45996</v>
      </c>
    </row>
    <row r="2129" spans="2:28" x14ac:dyDescent="0.2">
      <c r="C2129" s="23">
        <v>1100570872</v>
      </c>
      <c r="E2129" s="23">
        <v>30</v>
      </c>
      <c r="F2129" s="23" t="s">
        <v>771</v>
      </c>
      <c r="G2129" s="23" t="s">
        <v>772</v>
      </c>
      <c r="H2129" s="24">
        <v>46140</v>
      </c>
      <c r="I2129" s="24">
        <v>46140</v>
      </c>
      <c r="J2129" s="23" t="s">
        <v>1811</v>
      </c>
      <c r="K2129" s="23" t="s">
        <v>1811</v>
      </c>
      <c r="L2129" s="23">
        <v>10</v>
      </c>
      <c r="M2129" s="23" t="s">
        <v>566</v>
      </c>
      <c r="N2129" s="23" t="s">
        <v>566</v>
      </c>
      <c r="O2129" s="23">
        <v>789.5</v>
      </c>
      <c r="P2129" s="23" t="s">
        <v>79</v>
      </c>
      <c r="Q2129" s="23" t="s">
        <v>83</v>
      </c>
      <c r="R2129" s="23">
        <v>11100176</v>
      </c>
      <c r="S2129" s="24">
        <v>46031</v>
      </c>
      <c r="T2129" s="24">
        <v>46000</v>
      </c>
      <c r="U2129" s="24" t="s">
        <v>80</v>
      </c>
      <c r="X2129" s="24">
        <v>45995</v>
      </c>
      <c r="Y2129" s="23">
        <v>1111</v>
      </c>
      <c r="Z2129" s="23">
        <v>11400937</v>
      </c>
      <c r="AA2129" s="23">
        <v>515103</v>
      </c>
      <c r="AB2129" s="24">
        <v>45996</v>
      </c>
    </row>
    <row r="2130" spans="2:28" x14ac:dyDescent="0.2">
      <c r="C2130" s="23">
        <v>1100570872</v>
      </c>
      <c r="E2130" s="23">
        <v>40</v>
      </c>
      <c r="F2130" s="23" t="s">
        <v>82</v>
      </c>
      <c r="G2130" s="23" t="s">
        <v>139</v>
      </c>
      <c r="H2130" s="24">
        <v>46140</v>
      </c>
      <c r="I2130" s="24">
        <v>46140</v>
      </c>
      <c r="J2130" s="23" t="s">
        <v>1811</v>
      </c>
      <c r="K2130" s="23" t="s">
        <v>1811</v>
      </c>
      <c r="L2130" s="23">
        <v>1</v>
      </c>
      <c r="M2130" s="23" t="s">
        <v>78</v>
      </c>
      <c r="N2130" s="23" t="s">
        <v>78</v>
      </c>
      <c r="O2130" s="23">
        <v>0.01</v>
      </c>
      <c r="P2130" s="23" t="s">
        <v>79</v>
      </c>
      <c r="Q2130" s="23" t="s">
        <v>83</v>
      </c>
      <c r="R2130" s="23">
        <v>11100176</v>
      </c>
      <c r="S2130" s="24" t="s">
        <v>80</v>
      </c>
      <c r="T2130" s="24">
        <v>46000</v>
      </c>
      <c r="U2130" s="24" t="s">
        <v>80</v>
      </c>
      <c r="X2130" s="24">
        <v>45995</v>
      </c>
      <c r="Y2130" s="23">
        <v>1111</v>
      </c>
      <c r="Z2130" s="23">
        <v>11400937</v>
      </c>
      <c r="AA2130" s="23">
        <v>515103</v>
      </c>
      <c r="AB2130" s="24">
        <v>45996</v>
      </c>
    </row>
    <row r="2131" spans="2:28" x14ac:dyDescent="0.2">
      <c r="B2131" s="23" t="s">
        <v>81</v>
      </c>
      <c r="C2131" s="23">
        <v>1100570872</v>
      </c>
      <c r="H2131" s="24">
        <v>46140</v>
      </c>
      <c r="O2131" s="23">
        <v>2855.35</v>
      </c>
      <c r="P2131" s="23" t="s">
        <v>79</v>
      </c>
    </row>
    <row r="2132" spans="2:28" x14ac:dyDescent="0.2">
      <c r="C2132" s="23">
        <v>1100571394</v>
      </c>
      <c r="E2132" s="23">
        <v>10</v>
      </c>
      <c r="F2132" s="23" t="s">
        <v>1778</v>
      </c>
      <c r="G2132" s="23" t="s">
        <v>1779</v>
      </c>
      <c r="H2132" s="24">
        <v>46140</v>
      </c>
      <c r="I2132" s="24">
        <v>46140</v>
      </c>
      <c r="J2132" s="23" t="s">
        <v>1254</v>
      </c>
      <c r="K2132" s="23" t="s">
        <v>1254</v>
      </c>
      <c r="L2132" s="23">
        <v>1</v>
      </c>
      <c r="M2132" s="23" t="s">
        <v>78</v>
      </c>
      <c r="N2132" s="23" t="s">
        <v>78</v>
      </c>
      <c r="O2132" s="23">
        <v>5641.49</v>
      </c>
      <c r="P2132" s="23" t="s">
        <v>79</v>
      </c>
      <c r="Q2132" s="23" t="s">
        <v>83</v>
      </c>
      <c r="R2132" s="23">
        <v>11100176</v>
      </c>
      <c r="S2132" s="24">
        <v>46052</v>
      </c>
      <c r="T2132" s="24">
        <v>46006</v>
      </c>
      <c r="U2132" s="24" t="s">
        <v>80</v>
      </c>
      <c r="X2132" s="24">
        <v>46000</v>
      </c>
      <c r="Y2132" s="23">
        <v>1111</v>
      </c>
      <c r="Z2132" s="23">
        <v>11400937</v>
      </c>
      <c r="AA2132" s="23">
        <v>335103</v>
      </c>
      <c r="AB2132" s="24">
        <v>46000</v>
      </c>
    </row>
    <row r="2133" spans="2:28" x14ac:dyDescent="0.2">
      <c r="C2133" s="23">
        <v>1100571394</v>
      </c>
      <c r="E2133" s="23">
        <v>20</v>
      </c>
      <c r="F2133" s="23" t="s">
        <v>82</v>
      </c>
      <c r="G2133" s="23" t="s">
        <v>139</v>
      </c>
      <c r="H2133" s="24">
        <v>46140</v>
      </c>
      <c r="I2133" s="24">
        <v>46140</v>
      </c>
      <c r="J2133" s="23" t="s">
        <v>1254</v>
      </c>
      <c r="K2133" s="23" t="s">
        <v>1254</v>
      </c>
      <c r="L2133" s="23">
        <v>1</v>
      </c>
      <c r="M2133" s="23" t="s">
        <v>78</v>
      </c>
      <c r="N2133" s="23" t="s">
        <v>78</v>
      </c>
      <c r="O2133" s="23">
        <v>0.01</v>
      </c>
      <c r="P2133" s="23" t="s">
        <v>79</v>
      </c>
      <c r="Q2133" s="23" t="s">
        <v>83</v>
      </c>
      <c r="R2133" s="23">
        <v>11100176</v>
      </c>
      <c r="S2133" s="24" t="s">
        <v>80</v>
      </c>
      <c r="T2133" s="24">
        <v>46006</v>
      </c>
      <c r="U2133" s="24" t="s">
        <v>80</v>
      </c>
      <c r="X2133" s="24">
        <v>46000</v>
      </c>
      <c r="Y2133" s="23">
        <v>1111</v>
      </c>
      <c r="Z2133" s="23">
        <v>11400937</v>
      </c>
      <c r="AA2133" s="23">
        <v>335103</v>
      </c>
      <c r="AB2133" s="24">
        <v>46000</v>
      </c>
    </row>
    <row r="2134" spans="2:28" x14ac:dyDescent="0.2">
      <c r="B2134" s="23" t="s">
        <v>81</v>
      </c>
      <c r="C2134" s="23">
        <v>1100571394</v>
      </c>
      <c r="H2134" s="24">
        <v>46140</v>
      </c>
      <c r="O2134" s="23">
        <v>5641.5</v>
      </c>
      <c r="P2134" s="23" t="s">
        <v>79</v>
      </c>
    </row>
    <row r="2135" spans="2:28" x14ac:dyDescent="0.2">
      <c r="C2135" s="23">
        <v>1100574141</v>
      </c>
      <c r="E2135" s="23">
        <v>10</v>
      </c>
      <c r="F2135" s="23" t="s">
        <v>3734</v>
      </c>
      <c r="G2135" s="23" t="s">
        <v>3735</v>
      </c>
      <c r="H2135" s="24">
        <v>46140</v>
      </c>
      <c r="I2135" s="24">
        <v>46140</v>
      </c>
      <c r="J2135" s="23" t="s">
        <v>100</v>
      </c>
      <c r="K2135" s="23" t="s">
        <v>100</v>
      </c>
      <c r="L2135" s="23">
        <v>1</v>
      </c>
      <c r="M2135" s="23" t="s">
        <v>78</v>
      </c>
      <c r="N2135" s="23" t="s">
        <v>78</v>
      </c>
      <c r="O2135" s="23">
        <v>53638</v>
      </c>
      <c r="P2135" s="23" t="s">
        <v>79</v>
      </c>
      <c r="Q2135" s="23" t="s">
        <v>83</v>
      </c>
      <c r="R2135" s="23">
        <v>11100008</v>
      </c>
      <c r="S2135" s="24">
        <v>46070</v>
      </c>
      <c r="T2135" s="24">
        <v>46042</v>
      </c>
      <c r="U2135" s="24" t="s">
        <v>80</v>
      </c>
      <c r="X2135" s="24">
        <v>46036</v>
      </c>
      <c r="Y2135" s="23">
        <v>1111</v>
      </c>
      <c r="Z2135" s="23">
        <v>11400124</v>
      </c>
      <c r="AA2135" s="23">
        <v>3958</v>
      </c>
      <c r="AB2135" s="24">
        <v>47118</v>
      </c>
    </row>
    <row r="2136" spans="2:28" x14ac:dyDescent="0.2">
      <c r="C2136" s="23">
        <v>1100574141</v>
      </c>
      <c r="E2136" s="23">
        <v>20</v>
      </c>
      <c r="F2136" s="23" t="s">
        <v>84</v>
      </c>
      <c r="G2136" s="23" t="s">
        <v>123</v>
      </c>
      <c r="H2136" s="24">
        <v>46140</v>
      </c>
      <c r="I2136" s="24">
        <v>46140</v>
      </c>
      <c r="J2136" s="23" t="s">
        <v>100</v>
      </c>
      <c r="K2136" s="23" t="s">
        <v>100</v>
      </c>
      <c r="L2136" s="23">
        <v>1</v>
      </c>
      <c r="M2136" s="23" t="s">
        <v>78</v>
      </c>
      <c r="N2136" s="23" t="s">
        <v>78</v>
      </c>
      <c r="O2136" s="23">
        <v>0.01</v>
      </c>
      <c r="P2136" s="23" t="s">
        <v>79</v>
      </c>
      <c r="Q2136" s="23" t="s">
        <v>83</v>
      </c>
      <c r="R2136" s="23">
        <v>11100008</v>
      </c>
      <c r="S2136" s="24">
        <v>46070</v>
      </c>
      <c r="T2136" s="24">
        <v>46042</v>
      </c>
      <c r="U2136" s="24" t="s">
        <v>80</v>
      </c>
      <c r="X2136" s="24">
        <v>46036</v>
      </c>
      <c r="Y2136" s="23">
        <v>1111</v>
      </c>
      <c r="Z2136" s="23">
        <v>11400124</v>
      </c>
      <c r="AA2136" s="23">
        <v>3958</v>
      </c>
      <c r="AB2136" s="24">
        <v>47118</v>
      </c>
    </row>
    <row r="2137" spans="2:28" x14ac:dyDescent="0.2">
      <c r="C2137" s="23">
        <v>1100574141</v>
      </c>
      <c r="E2137" s="23">
        <v>30</v>
      </c>
      <c r="F2137" s="23" t="s">
        <v>82</v>
      </c>
      <c r="G2137" s="23" t="s">
        <v>139</v>
      </c>
      <c r="H2137" s="24">
        <v>46140</v>
      </c>
      <c r="I2137" s="24">
        <v>46140</v>
      </c>
      <c r="J2137" s="23" t="s">
        <v>100</v>
      </c>
      <c r="K2137" s="23" t="s">
        <v>100</v>
      </c>
      <c r="L2137" s="23">
        <v>1</v>
      </c>
      <c r="M2137" s="23" t="s">
        <v>78</v>
      </c>
      <c r="N2137" s="23" t="s">
        <v>78</v>
      </c>
      <c r="O2137" s="23">
        <v>0.01</v>
      </c>
      <c r="P2137" s="23" t="s">
        <v>79</v>
      </c>
      <c r="Q2137" s="23" t="s">
        <v>83</v>
      </c>
      <c r="R2137" s="23">
        <v>11100008</v>
      </c>
      <c r="S2137" s="24">
        <v>46070</v>
      </c>
      <c r="T2137" s="24">
        <v>46042</v>
      </c>
      <c r="U2137" s="24" t="s">
        <v>80</v>
      </c>
      <c r="X2137" s="24">
        <v>46036</v>
      </c>
      <c r="Y2137" s="23">
        <v>1111</v>
      </c>
      <c r="Z2137" s="23">
        <v>11400124</v>
      </c>
      <c r="AA2137" s="23">
        <v>3958</v>
      </c>
      <c r="AB2137" s="24">
        <v>47118</v>
      </c>
    </row>
    <row r="2138" spans="2:28" x14ac:dyDescent="0.2">
      <c r="B2138" s="23" t="s">
        <v>81</v>
      </c>
      <c r="C2138" s="23">
        <v>1100574141</v>
      </c>
      <c r="H2138" s="24">
        <v>46140</v>
      </c>
      <c r="O2138" s="23">
        <v>53638.02</v>
      </c>
      <c r="P2138" s="23" t="s">
        <v>79</v>
      </c>
    </row>
    <row r="2139" spans="2:28" x14ac:dyDescent="0.2">
      <c r="C2139" s="23">
        <v>1100576973</v>
      </c>
      <c r="E2139" s="23">
        <v>10</v>
      </c>
      <c r="F2139" s="23" t="s">
        <v>3736</v>
      </c>
      <c r="G2139" s="23" t="s">
        <v>3737</v>
      </c>
      <c r="H2139" s="24">
        <v>46140</v>
      </c>
      <c r="I2139" s="24">
        <v>46140</v>
      </c>
      <c r="J2139" s="23" t="s">
        <v>581</v>
      </c>
      <c r="K2139" s="23" t="s">
        <v>581</v>
      </c>
      <c r="L2139" s="23">
        <v>1</v>
      </c>
      <c r="M2139" s="23" t="s">
        <v>78</v>
      </c>
      <c r="N2139" s="23" t="s">
        <v>78</v>
      </c>
      <c r="O2139" s="23">
        <v>3039</v>
      </c>
      <c r="P2139" s="23" t="s">
        <v>79</v>
      </c>
      <c r="Q2139" s="23" t="s">
        <v>83</v>
      </c>
      <c r="R2139" s="23">
        <v>11100176</v>
      </c>
      <c r="S2139" s="24">
        <v>46140</v>
      </c>
      <c r="T2139" s="24">
        <v>46070</v>
      </c>
      <c r="U2139" s="24" t="s">
        <v>80</v>
      </c>
      <c r="X2139" s="24">
        <v>46068</v>
      </c>
      <c r="Y2139" s="23">
        <v>1111</v>
      </c>
      <c r="Z2139" s="23">
        <v>11600001</v>
      </c>
      <c r="AA2139" s="23">
        <v>335103</v>
      </c>
      <c r="AB2139" s="24">
        <v>46050</v>
      </c>
    </row>
    <row r="2140" spans="2:28" x14ac:dyDescent="0.2">
      <c r="C2140" s="23">
        <v>1100576973</v>
      </c>
      <c r="E2140" s="23">
        <v>20</v>
      </c>
      <c r="F2140" s="23" t="s">
        <v>209</v>
      </c>
      <c r="G2140" s="23" t="s">
        <v>210</v>
      </c>
      <c r="H2140" s="24">
        <v>46140</v>
      </c>
      <c r="I2140" s="24">
        <v>46140</v>
      </c>
      <c r="J2140" s="23" t="s">
        <v>581</v>
      </c>
      <c r="K2140" s="23" t="s">
        <v>581</v>
      </c>
      <c r="L2140" s="23">
        <v>1</v>
      </c>
      <c r="M2140" s="23" t="s">
        <v>78</v>
      </c>
      <c r="N2140" s="23" t="s">
        <v>78</v>
      </c>
      <c r="O2140" s="23">
        <v>0.01</v>
      </c>
      <c r="P2140" s="23" t="s">
        <v>79</v>
      </c>
      <c r="Q2140" s="23" t="s">
        <v>83</v>
      </c>
      <c r="R2140" s="23">
        <v>11100176</v>
      </c>
      <c r="S2140" s="24">
        <v>46140</v>
      </c>
      <c r="T2140" s="24">
        <v>46070</v>
      </c>
      <c r="U2140" s="24" t="s">
        <v>80</v>
      </c>
      <c r="X2140" s="24">
        <v>46068</v>
      </c>
      <c r="Y2140" s="23">
        <v>1111</v>
      </c>
      <c r="Z2140" s="23">
        <v>11600001</v>
      </c>
      <c r="AA2140" s="23">
        <v>335103</v>
      </c>
      <c r="AB2140" s="24">
        <v>46050</v>
      </c>
    </row>
    <row r="2141" spans="2:28" x14ac:dyDescent="0.2">
      <c r="B2141" s="23" t="s">
        <v>81</v>
      </c>
      <c r="C2141" s="23">
        <v>1100576973</v>
      </c>
      <c r="H2141" s="24">
        <v>46140</v>
      </c>
      <c r="O2141" s="23">
        <v>3039.01</v>
      </c>
      <c r="P2141" s="23" t="s">
        <v>79</v>
      </c>
    </row>
    <row r="2142" spans="2:28" x14ac:dyDescent="0.2">
      <c r="C2142" s="23">
        <v>1100577001</v>
      </c>
      <c r="E2142" s="23">
        <v>10</v>
      </c>
      <c r="F2142" s="23" t="s">
        <v>1114</v>
      </c>
      <c r="G2142" s="23" t="s">
        <v>1115</v>
      </c>
      <c r="H2142" s="24">
        <v>46140</v>
      </c>
      <c r="I2142" s="24">
        <v>46140</v>
      </c>
      <c r="J2142" s="23" t="s">
        <v>682</v>
      </c>
      <c r="K2142" s="23" t="s">
        <v>682</v>
      </c>
      <c r="L2142" s="23">
        <v>1</v>
      </c>
      <c r="M2142" s="23" t="s">
        <v>566</v>
      </c>
      <c r="N2142" s="23" t="s">
        <v>566</v>
      </c>
      <c r="O2142" s="23">
        <v>2932.04</v>
      </c>
      <c r="P2142" s="23" t="s">
        <v>79</v>
      </c>
      <c r="Q2142" s="23" t="s">
        <v>83</v>
      </c>
      <c r="R2142" s="23">
        <v>11100176</v>
      </c>
      <c r="S2142" s="24">
        <v>46140</v>
      </c>
      <c r="T2142" s="24">
        <v>46070</v>
      </c>
      <c r="U2142" s="24" t="s">
        <v>80</v>
      </c>
      <c r="X2142" s="24">
        <v>46066</v>
      </c>
      <c r="Y2142" s="23">
        <v>1111</v>
      </c>
      <c r="Z2142" s="23">
        <v>11400811</v>
      </c>
      <c r="AA2142" s="23">
        <v>335103</v>
      </c>
      <c r="AB2142" s="24">
        <v>46066</v>
      </c>
    </row>
    <row r="2143" spans="2:28" x14ac:dyDescent="0.2">
      <c r="C2143" s="23">
        <v>1100577001</v>
      </c>
      <c r="E2143" s="23">
        <v>20</v>
      </c>
      <c r="F2143" s="23" t="s">
        <v>3738</v>
      </c>
      <c r="G2143" s="23" t="s">
        <v>3739</v>
      </c>
      <c r="H2143" s="24">
        <v>46140</v>
      </c>
      <c r="I2143" s="24">
        <v>46140</v>
      </c>
      <c r="J2143" s="23" t="s">
        <v>682</v>
      </c>
      <c r="K2143" s="23" t="s">
        <v>682</v>
      </c>
      <c r="L2143" s="23">
        <v>1</v>
      </c>
      <c r="M2143" s="23" t="s">
        <v>566</v>
      </c>
      <c r="N2143" s="23" t="s">
        <v>566</v>
      </c>
      <c r="O2143" s="23">
        <v>2932.04</v>
      </c>
      <c r="P2143" s="23" t="s">
        <v>79</v>
      </c>
      <c r="Q2143" s="23" t="s">
        <v>83</v>
      </c>
      <c r="R2143" s="23">
        <v>11100176</v>
      </c>
      <c r="S2143" s="24">
        <v>46140</v>
      </c>
      <c r="T2143" s="24">
        <v>46070</v>
      </c>
      <c r="U2143" s="24" t="s">
        <v>80</v>
      </c>
      <c r="X2143" s="24">
        <v>46066</v>
      </c>
      <c r="Y2143" s="23">
        <v>1111</v>
      </c>
      <c r="Z2143" s="23">
        <v>11400811</v>
      </c>
      <c r="AA2143" s="23">
        <v>335103</v>
      </c>
      <c r="AB2143" s="24">
        <v>46066</v>
      </c>
    </row>
    <row r="2144" spans="2:28" x14ac:dyDescent="0.2">
      <c r="B2144" s="23" t="s">
        <v>81</v>
      </c>
      <c r="C2144" s="23">
        <v>1100577001</v>
      </c>
      <c r="H2144" s="24">
        <v>46140</v>
      </c>
      <c r="O2144" s="23">
        <v>5864.08</v>
      </c>
      <c r="P2144" s="23" t="s">
        <v>79</v>
      </c>
    </row>
    <row r="2145" spans="2:28" x14ac:dyDescent="0.2">
      <c r="C2145" s="23">
        <v>1100578534</v>
      </c>
      <c r="E2145" s="23">
        <v>10</v>
      </c>
      <c r="F2145" s="23" t="s">
        <v>3740</v>
      </c>
      <c r="G2145" s="23" t="s">
        <v>3741</v>
      </c>
      <c r="H2145" s="24">
        <v>46140</v>
      </c>
      <c r="I2145" s="24">
        <v>46140</v>
      </c>
      <c r="J2145" s="23" t="s">
        <v>3742</v>
      </c>
      <c r="K2145" s="23" t="s">
        <v>3742</v>
      </c>
      <c r="L2145" s="23">
        <v>8</v>
      </c>
      <c r="M2145" s="23" t="s">
        <v>78</v>
      </c>
      <c r="N2145" s="23" t="s">
        <v>78</v>
      </c>
      <c r="O2145" s="23">
        <v>2827.52</v>
      </c>
      <c r="P2145" s="23" t="s">
        <v>79</v>
      </c>
      <c r="Q2145" s="23" t="s">
        <v>83</v>
      </c>
      <c r="R2145" s="23">
        <v>11100176</v>
      </c>
      <c r="S2145" s="24">
        <v>46140</v>
      </c>
      <c r="T2145" s="24">
        <v>46084</v>
      </c>
      <c r="U2145" s="24" t="s">
        <v>80</v>
      </c>
      <c r="X2145" s="24">
        <v>46083</v>
      </c>
      <c r="Y2145" s="23">
        <v>1111</v>
      </c>
      <c r="Z2145" s="23">
        <v>11400811</v>
      </c>
      <c r="AA2145" s="23">
        <v>3351</v>
      </c>
      <c r="AB2145" s="24">
        <v>46078</v>
      </c>
    </row>
    <row r="2146" spans="2:28" x14ac:dyDescent="0.2">
      <c r="C2146" s="23">
        <v>1100578534</v>
      </c>
      <c r="E2146" s="23">
        <v>20</v>
      </c>
      <c r="F2146" s="23" t="s">
        <v>82</v>
      </c>
      <c r="G2146" s="23" t="s">
        <v>139</v>
      </c>
      <c r="H2146" s="24">
        <v>46140</v>
      </c>
      <c r="I2146" s="24">
        <v>46140</v>
      </c>
      <c r="J2146" s="23" t="s">
        <v>3742</v>
      </c>
      <c r="K2146" s="23" t="s">
        <v>3742</v>
      </c>
      <c r="L2146" s="23">
        <v>1</v>
      </c>
      <c r="M2146" s="23" t="s">
        <v>78</v>
      </c>
      <c r="N2146" s="23" t="s">
        <v>78</v>
      </c>
      <c r="O2146" s="23">
        <v>0.01</v>
      </c>
      <c r="P2146" s="23" t="s">
        <v>79</v>
      </c>
      <c r="Q2146" s="23" t="s">
        <v>83</v>
      </c>
      <c r="R2146" s="23">
        <v>11100176</v>
      </c>
      <c r="S2146" s="24" t="s">
        <v>80</v>
      </c>
      <c r="T2146" s="24">
        <v>46084</v>
      </c>
      <c r="U2146" s="24" t="s">
        <v>80</v>
      </c>
      <c r="X2146" s="24">
        <v>46083</v>
      </c>
      <c r="Y2146" s="23">
        <v>1111</v>
      </c>
      <c r="Z2146" s="23">
        <v>11400811</v>
      </c>
      <c r="AA2146" s="23">
        <v>3351</v>
      </c>
      <c r="AB2146" s="24">
        <v>46078</v>
      </c>
    </row>
    <row r="2147" spans="2:28" x14ac:dyDescent="0.2">
      <c r="B2147" s="23" t="s">
        <v>81</v>
      </c>
      <c r="C2147" s="23">
        <v>1100578534</v>
      </c>
      <c r="H2147" s="24">
        <v>46140</v>
      </c>
      <c r="O2147" s="23">
        <v>2827.53</v>
      </c>
      <c r="P2147" s="23" t="s">
        <v>79</v>
      </c>
    </row>
    <row r="2148" spans="2:28" x14ac:dyDescent="0.2">
      <c r="C2148" s="23">
        <v>1100578703</v>
      </c>
      <c r="E2148" s="23">
        <v>10</v>
      </c>
      <c r="F2148" s="23" t="s">
        <v>774</v>
      </c>
      <c r="G2148" s="23" t="s">
        <v>775</v>
      </c>
      <c r="H2148" s="24">
        <v>46140</v>
      </c>
      <c r="I2148" s="24">
        <v>46140</v>
      </c>
      <c r="J2148" s="23" t="s">
        <v>4010</v>
      </c>
      <c r="K2148" s="23" t="s">
        <v>4010</v>
      </c>
      <c r="L2148" s="23">
        <v>1</v>
      </c>
      <c r="M2148" s="23" t="s">
        <v>78</v>
      </c>
      <c r="N2148" s="23" t="s">
        <v>78</v>
      </c>
      <c r="O2148" s="23">
        <v>3014.28</v>
      </c>
      <c r="P2148" s="23" t="s">
        <v>79</v>
      </c>
      <c r="Q2148" s="23" t="s">
        <v>83</v>
      </c>
      <c r="R2148" s="23">
        <v>11100176</v>
      </c>
      <c r="S2148" s="24">
        <v>46093</v>
      </c>
      <c r="T2148" s="24">
        <v>46086</v>
      </c>
      <c r="U2148" s="24" t="s">
        <v>80</v>
      </c>
      <c r="X2148" s="24">
        <v>46085</v>
      </c>
      <c r="Y2148" s="23">
        <v>1111</v>
      </c>
      <c r="Z2148" s="23">
        <v>11400895</v>
      </c>
      <c r="AA2148" s="23">
        <v>335103</v>
      </c>
      <c r="AB2148" s="24">
        <v>46083</v>
      </c>
    </row>
    <row r="2149" spans="2:28" x14ac:dyDescent="0.2">
      <c r="C2149" s="23">
        <v>1100578703</v>
      </c>
      <c r="E2149" s="23">
        <v>20</v>
      </c>
      <c r="F2149" s="23" t="s">
        <v>82</v>
      </c>
      <c r="G2149" s="23" t="s">
        <v>139</v>
      </c>
      <c r="H2149" s="24">
        <v>46140</v>
      </c>
      <c r="I2149" s="24">
        <v>46140</v>
      </c>
      <c r="J2149" s="23" t="s">
        <v>4010</v>
      </c>
      <c r="K2149" s="23" t="s">
        <v>4010</v>
      </c>
      <c r="L2149" s="23">
        <v>1</v>
      </c>
      <c r="M2149" s="23" t="s">
        <v>78</v>
      </c>
      <c r="N2149" s="23" t="s">
        <v>78</v>
      </c>
      <c r="O2149" s="23">
        <v>0.01</v>
      </c>
      <c r="P2149" s="23" t="s">
        <v>79</v>
      </c>
      <c r="Q2149" s="23" t="s">
        <v>83</v>
      </c>
      <c r="R2149" s="23">
        <v>11100176</v>
      </c>
      <c r="S2149" s="24" t="s">
        <v>80</v>
      </c>
      <c r="T2149" s="24">
        <v>46086</v>
      </c>
      <c r="U2149" s="24" t="s">
        <v>80</v>
      </c>
      <c r="X2149" s="24">
        <v>46085</v>
      </c>
      <c r="Y2149" s="23">
        <v>1111</v>
      </c>
      <c r="Z2149" s="23">
        <v>11400895</v>
      </c>
      <c r="AA2149" s="23">
        <v>335103</v>
      </c>
      <c r="AB2149" s="24">
        <v>46083</v>
      </c>
    </row>
    <row r="2150" spans="2:28" x14ac:dyDescent="0.2">
      <c r="B2150" s="23" t="s">
        <v>81</v>
      </c>
      <c r="C2150" s="23">
        <v>1100578703</v>
      </c>
      <c r="H2150" s="24">
        <v>46140</v>
      </c>
      <c r="O2150" s="23">
        <v>3014.29</v>
      </c>
      <c r="P2150" s="23" t="s">
        <v>79</v>
      </c>
    </row>
    <row r="2151" spans="2:28" x14ac:dyDescent="0.2">
      <c r="C2151" s="23">
        <v>1100569889</v>
      </c>
      <c r="E2151" s="23">
        <v>20</v>
      </c>
      <c r="F2151" s="23" t="s">
        <v>3743</v>
      </c>
      <c r="G2151" s="23" t="s">
        <v>3744</v>
      </c>
      <c r="H2151" s="24">
        <v>46141</v>
      </c>
      <c r="I2151" s="24">
        <v>46141</v>
      </c>
      <c r="J2151" s="23" t="s">
        <v>698</v>
      </c>
      <c r="K2151" s="23" t="s">
        <v>698</v>
      </c>
      <c r="L2151" s="23">
        <v>1</v>
      </c>
      <c r="M2151" s="23" t="s">
        <v>78</v>
      </c>
      <c r="N2151" s="23" t="s">
        <v>78</v>
      </c>
      <c r="O2151" s="23">
        <v>1444.09</v>
      </c>
      <c r="P2151" s="23" t="s">
        <v>79</v>
      </c>
      <c r="Q2151" s="23" t="s">
        <v>83</v>
      </c>
      <c r="R2151" s="23">
        <v>11100018</v>
      </c>
      <c r="S2151" s="24">
        <v>46059</v>
      </c>
      <c r="T2151" s="24">
        <v>45986</v>
      </c>
      <c r="U2151" s="24">
        <v>46752</v>
      </c>
      <c r="X2151" s="24">
        <v>45985</v>
      </c>
      <c r="Y2151" s="23">
        <v>1111</v>
      </c>
      <c r="Z2151" s="23">
        <v>11600003</v>
      </c>
      <c r="AA2151" s="23">
        <v>335103</v>
      </c>
      <c r="AB2151" s="24">
        <v>45985</v>
      </c>
    </row>
    <row r="2152" spans="2:28" x14ac:dyDescent="0.2">
      <c r="C2152" s="23">
        <v>1100569889</v>
      </c>
      <c r="E2152" s="23">
        <v>50</v>
      </c>
      <c r="F2152" s="23" t="s">
        <v>84</v>
      </c>
      <c r="G2152" s="23" t="s">
        <v>123</v>
      </c>
      <c r="H2152" s="24">
        <v>46141</v>
      </c>
      <c r="I2152" s="24">
        <v>46141</v>
      </c>
      <c r="J2152" s="23" t="s">
        <v>698</v>
      </c>
      <c r="K2152" s="23" t="s">
        <v>698</v>
      </c>
      <c r="L2152" s="23">
        <v>1</v>
      </c>
      <c r="M2152" s="23" t="s">
        <v>78</v>
      </c>
      <c r="N2152" s="23" t="s">
        <v>78</v>
      </c>
      <c r="O2152" s="23">
        <v>0.01</v>
      </c>
      <c r="P2152" s="23" t="s">
        <v>79</v>
      </c>
      <c r="Q2152" s="23" t="s">
        <v>83</v>
      </c>
      <c r="R2152" s="23">
        <v>11100018</v>
      </c>
      <c r="S2152" s="24">
        <v>46059</v>
      </c>
      <c r="T2152" s="24">
        <v>45986</v>
      </c>
      <c r="U2152" s="24">
        <v>45992</v>
      </c>
      <c r="X2152" s="24">
        <v>45985</v>
      </c>
      <c r="Y2152" s="23">
        <v>1111</v>
      </c>
      <c r="Z2152" s="23">
        <v>11600003</v>
      </c>
      <c r="AA2152" s="23">
        <v>335103</v>
      </c>
      <c r="AB2152" s="24">
        <v>45985</v>
      </c>
    </row>
    <row r="2153" spans="2:28" x14ac:dyDescent="0.2">
      <c r="B2153" s="23" t="s">
        <v>81</v>
      </c>
      <c r="C2153" s="23">
        <v>1100569889</v>
      </c>
      <c r="H2153" s="24">
        <v>46141</v>
      </c>
      <c r="O2153" s="23">
        <v>1444.1</v>
      </c>
      <c r="P2153" s="23" t="s">
        <v>79</v>
      </c>
    </row>
    <row r="2154" spans="2:28" x14ac:dyDescent="0.2">
      <c r="C2154" s="23">
        <v>1100577155</v>
      </c>
      <c r="E2154" s="23">
        <v>10</v>
      </c>
      <c r="F2154" s="23" t="s">
        <v>87</v>
      </c>
      <c r="G2154" s="23" t="s">
        <v>3745</v>
      </c>
      <c r="H2154" s="24">
        <v>46141</v>
      </c>
      <c r="I2154" s="24">
        <v>46155</v>
      </c>
      <c r="J2154" s="23" t="s">
        <v>724</v>
      </c>
      <c r="K2154" s="23" t="s">
        <v>724</v>
      </c>
      <c r="L2154" s="23">
        <v>2</v>
      </c>
      <c r="M2154" s="23" t="s">
        <v>78</v>
      </c>
      <c r="N2154" s="23" t="s">
        <v>78</v>
      </c>
      <c r="O2154" s="23">
        <v>3795.26</v>
      </c>
      <c r="P2154" s="23" t="s">
        <v>79</v>
      </c>
      <c r="Q2154" s="23" t="s">
        <v>83</v>
      </c>
      <c r="R2154" s="23">
        <v>11100176</v>
      </c>
      <c r="S2154" s="24">
        <v>46155</v>
      </c>
      <c r="T2154" s="24">
        <v>46071</v>
      </c>
      <c r="U2154" s="24" t="s">
        <v>80</v>
      </c>
      <c r="X2154" s="24">
        <v>46066</v>
      </c>
      <c r="Y2154" s="23">
        <v>1111</v>
      </c>
      <c r="Z2154" s="23">
        <v>11400895</v>
      </c>
      <c r="AA2154" s="23">
        <v>335103</v>
      </c>
      <c r="AB2154" s="24">
        <v>46066</v>
      </c>
    </row>
    <row r="2155" spans="2:28" x14ac:dyDescent="0.2">
      <c r="C2155" s="23">
        <v>1100577155</v>
      </c>
      <c r="E2155" s="23">
        <v>20</v>
      </c>
      <c r="F2155" s="23" t="s">
        <v>3746</v>
      </c>
      <c r="G2155" s="23" t="s">
        <v>3747</v>
      </c>
      <c r="H2155" s="24">
        <v>46141</v>
      </c>
      <c r="I2155" s="24">
        <v>46141</v>
      </c>
      <c r="J2155" s="23" t="s">
        <v>724</v>
      </c>
      <c r="K2155" s="23" t="s">
        <v>724</v>
      </c>
      <c r="L2155" s="23">
        <v>1</v>
      </c>
      <c r="M2155" s="23" t="s">
        <v>78</v>
      </c>
      <c r="N2155" s="23" t="s">
        <v>78</v>
      </c>
      <c r="O2155" s="23">
        <v>2843.89</v>
      </c>
      <c r="P2155" s="23" t="s">
        <v>79</v>
      </c>
      <c r="Q2155" s="23" t="s">
        <v>83</v>
      </c>
      <c r="R2155" s="23">
        <v>11100176</v>
      </c>
      <c r="S2155" s="24">
        <v>46141</v>
      </c>
      <c r="T2155" s="24">
        <v>46071</v>
      </c>
      <c r="U2155" s="24" t="s">
        <v>80</v>
      </c>
      <c r="X2155" s="24">
        <v>46066</v>
      </c>
      <c r="Y2155" s="23">
        <v>1111</v>
      </c>
      <c r="Z2155" s="23">
        <v>11400895</v>
      </c>
      <c r="AA2155" s="23">
        <v>335103</v>
      </c>
      <c r="AB2155" s="24">
        <v>46066</v>
      </c>
    </row>
    <row r="2156" spans="2:28" x14ac:dyDescent="0.2">
      <c r="C2156" s="23">
        <v>1100577155</v>
      </c>
      <c r="E2156" s="23">
        <v>30</v>
      </c>
      <c r="F2156" s="23" t="s">
        <v>3748</v>
      </c>
      <c r="G2156" s="23" t="s">
        <v>3749</v>
      </c>
      <c r="H2156" s="24">
        <v>46141</v>
      </c>
      <c r="I2156" s="24">
        <v>46141</v>
      </c>
      <c r="J2156" s="23" t="s">
        <v>724</v>
      </c>
      <c r="K2156" s="23" t="s">
        <v>724</v>
      </c>
      <c r="L2156" s="23">
        <v>1</v>
      </c>
      <c r="M2156" s="23" t="s">
        <v>78</v>
      </c>
      <c r="N2156" s="23" t="s">
        <v>78</v>
      </c>
      <c r="O2156" s="23">
        <v>2001.11</v>
      </c>
      <c r="P2156" s="23" t="s">
        <v>79</v>
      </c>
      <c r="Q2156" s="23" t="s">
        <v>83</v>
      </c>
      <c r="R2156" s="23">
        <v>11100176</v>
      </c>
      <c r="S2156" s="24">
        <v>46117</v>
      </c>
      <c r="T2156" s="24">
        <v>46071</v>
      </c>
      <c r="U2156" s="24" t="s">
        <v>80</v>
      </c>
      <c r="X2156" s="24">
        <v>46066</v>
      </c>
      <c r="Y2156" s="23">
        <v>1111</v>
      </c>
      <c r="Z2156" s="23">
        <v>11400895</v>
      </c>
      <c r="AA2156" s="23">
        <v>335103</v>
      </c>
      <c r="AB2156" s="24">
        <v>46066</v>
      </c>
    </row>
    <row r="2157" spans="2:28" x14ac:dyDescent="0.2">
      <c r="C2157" s="23">
        <v>1100577155</v>
      </c>
      <c r="E2157" s="23">
        <v>40</v>
      </c>
      <c r="F2157" s="23" t="s">
        <v>84</v>
      </c>
      <c r="G2157" s="23" t="s">
        <v>123</v>
      </c>
      <c r="H2157" s="24">
        <v>46141</v>
      </c>
      <c r="I2157" s="24">
        <v>46141</v>
      </c>
      <c r="J2157" s="23" t="s">
        <v>724</v>
      </c>
      <c r="K2157" s="23" t="s">
        <v>724</v>
      </c>
      <c r="L2157" s="23">
        <v>1</v>
      </c>
      <c r="M2157" s="23" t="s">
        <v>78</v>
      </c>
      <c r="N2157" s="23" t="s">
        <v>78</v>
      </c>
      <c r="O2157" s="23">
        <v>0.01</v>
      </c>
      <c r="P2157" s="23" t="s">
        <v>79</v>
      </c>
      <c r="Q2157" s="23" t="s">
        <v>83</v>
      </c>
      <c r="R2157" s="23">
        <v>11100176</v>
      </c>
      <c r="S2157" s="24" t="s">
        <v>80</v>
      </c>
      <c r="T2157" s="24">
        <v>46071</v>
      </c>
      <c r="U2157" s="24" t="s">
        <v>80</v>
      </c>
      <c r="X2157" s="24">
        <v>46066</v>
      </c>
      <c r="Y2157" s="23">
        <v>1111</v>
      </c>
      <c r="Z2157" s="23">
        <v>11400895</v>
      </c>
      <c r="AA2157" s="23">
        <v>335103</v>
      </c>
      <c r="AB2157" s="24">
        <v>46066</v>
      </c>
    </row>
    <row r="2158" spans="2:28" x14ac:dyDescent="0.2">
      <c r="C2158" s="23">
        <v>1100577155</v>
      </c>
      <c r="E2158" s="23">
        <v>50</v>
      </c>
      <c r="F2158" s="23" t="s">
        <v>82</v>
      </c>
      <c r="G2158" s="23" t="s">
        <v>139</v>
      </c>
      <c r="H2158" s="24">
        <v>46141</v>
      </c>
      <c r="I2158" s="24">
        <v>46141</v>
      </c>
      <c r="J2158" s="23" t="s">
        <v>724</v>
      </c>
      <c r="K2158" s="23" t="s">
        <v>724</v>
      </c>
      <c r="L2158" s="23">
        <v>1</v>
      </c>
      <c r="M2158" s="23" t="s">
        <v>78</v>
      </c>
      <c r="N2158" s="23" t="s">
        <v>78</v>
      </c>
      <c r="O2158" s="23">
        <v>0.01</v>
      </c>
      <c r="P2158" s="23" t="s">
        <v>79</v>
      </c>
      <c r="Q2158" s="23" t="s">
        <v>83</v>
      </c>
      <c r="R2158" s="23">
        <v>11100176</v>
      </c>
      <c r="S2158" s="24" t="s">
        <v>80</v>
      </c>
      <c r="T2158" s="24">
        <v>46071</v>
      </c>
      <c r="U2158" s="24" t="s">
        <v>80</v>
      </c>
      <c r="X2158" s="24">
        <v>46066</v>
      </c>
      <c r="Y2158" s="23">
        <v>1111</v>
      </c>
      <c r="Z2158" s="23">
        <v>11400895</v>
      </c>
      <c r="AA2158" s="23">
        <v>335103</v>
      </c>
      <c r="AB2158" s="24">
        <v>46066</v>
      </c>
    </row>
    <row r="2159" spans="2:28" x14ac:dyDescent="0.2">
      <c r="B2159" s="23" t="s">
        <v>81</v>
      </c>
      <c r="C2159" s="23">
        <v>1100577155</v>
      </c>
      <c r="H2159" s="24">
        <v>46141</v>
      </c>
      <c r="O2159" s="23">
        <v>8640.2800000000007</v>
      </c>
      <c r="P2159" s="23" t="s">
        <v>79</v>
      </c>
    </row>
    <row r="2160" spans="2:28" x14ac:dyDescent="0.2">
      <c r="C2160" s="23">
        <v>1100577333</v>
      </c>
      <c r="E2160" s="23">
        <v>10</v>
      </c>
      <c r="F2160" s="23" t="s">
        <v>3750</v>
      </c>
      <c r="G2160" s="23" t="s">
        <v>3751</v>
      </c>
      <c r="H2160" s="24">
        <v>46141</v>
      </c>
      <c r="I2160" s="24">
        <v>46141</v>
      </c>
      <c r="J2160" s="23" t="s">
        <v>741</v>
      </c>
      <c r="K2160" s="23" t="s">
        <v>741</v>
      </c>
      <c r="L2160" s="23">
        <v>2</v>
      </c>
      <c r="M2160" s="23" t="s">
        <v>78</v>
      </c>
      <c r="N2160" s="23" t="s">
        <v>78</v>
      </c>
      <c r="O2160" s="23">
        <v>6991.28</v>
      </c>
      <c r="P2160" s="23" t="s">
        <v>79</v>
      </c>
      <c r="Q2160" s="23" t="s">
        <v>83</v>
      </c>
      <c r="R2160" s="23">
        <v>11100008</v>
      </c>
      <c r="S2160" s="24">
        <v>46156</v>
      </c>
      <c r="T2160" s="24">
        <v>46073</v>
      </c>
      <c r="U2160" s="24">
        <v>46141</v>
      </c>
      <c r="X2160" s="24">
        <v>46070</v>
      </c>
      <c r="Y2160" s="23">
        <v>1111</v>
      </c>
      <c r="Z2160" s="23">
        <v>11600001</v>
      </c>
      <c r="AA2160" s="23">
        <v>335103</v>
      </c>
      <c r="AB2160" s="24">
        <v>46071</v>
      </c>
    </row>
    <row r="2161" spans="2:28" x14ac:dyDescent="0.2">
      <c r="C2161" s="23">
        <v>1100577333</v>
      </c>
      <c r="E2161" s="23">
        <v>20</v>
      </c>
      <c r="F2161" s="23" t="s">
        <v>82</v>
      </c>
      <c r="G2161" s="23" t="s">
        <v>139</v>
      </c>
      <c r="H2161" s="24">
        <v>46141</v>
      </c>
      <c r="I2161" s="24">
        <v>46141</v>
      </c>
      <c r="J2161" s="23" t="s">
        <v>741</v>
      </c>
      <c r="K2161" s="23" t="s">
        <v>741</v>
      </c>
      <c r="L2161" s="23">
        <v>1</v>
      </c>
      <c r="M2161" s="23" t="s">
        <v>78</v>
      </c>
      <c r="N2161" s="23" t="s">
        <v>78</v>
      </c>
      <c r="O2161" s="23">
        <v>0.01</v>
      </c>
      <c r="P2161" s="23" t="s">
        <v>79</v>
      </c>
      <c r="Q2161" s="23" t="s">
        <v>83</v>
      </c>
      <c r="R2161" s="23">
        <v>11100008</v>
      </c>
      <c r="S2161" s="24">
        <v>46156</v>
      </c>
      <c r="T2161" s="24">
        <v>46073</v>
      </c>
      <c r="U2161" s="24">
        <v>46141</v>
      </c>
      <c r="X2161" s="24">
        <v>46070</v>
      </c>
      <c r="Y2161" s="23">
        <v>1111</v>
      </c>
      <c r="Z2161" s="23">
        <v>11600001</v>
      </c>
      <c r="AA2161" s="23">
        <v>335103</v>
      </c>
      <c r="AB2161" s="24">
        <v>46071</v>
      </c>
    </row>
    <row r="2162" spans="2:28" x14ac:dyDescent="0.2">
      <c r="B2162" s="23" t="s">
        <v>81</v>
      </c>
      <c r="C2162" s="23">
        <v>1100577333</v>
      </c>
      <c r="H2162" s="24">
        <v>46141</v>
      </c>
      <c r="O2162" s="23">
        <v>6991.29</v>
      </c>
      <c r="P2162" s="23" t="s">
        <v>79</v>
      </c>
    </row>
    <row r="2163" spans="2:28" x14ac:dyDescent="0.2">
      <c r="C2163" s="23">
        <v>1100577616</v>
      </c>
      <c r="E2163" s="23">
        <v>10</v>
      </c>
      <c r="F2163" s="23" t="s">
        <v>3752</v>
      </c>
      <c r="G2163" s="23" t="s">
        <v>3753</v>
      </c>
      <c r="H2163" s="24">
        <v>46141</v>
      </c>
      <c r="I2163" s="24">
        <v>46141</v>
      </c>
      <c r="J2163" s="23" t="s">
        <v>886</v>
      </c>
      <c r="K2163" s="23" t="s">
        <v>886</v>
      </c>
      <c r="L2163" s="23">
        <v>1</v>
      </c>
      <c r="M2163" s="23" t="s">
        <v>78</v>
      </c>
      <c r="N2163" s="23" t="s">
        <v>78</v>
      </c>
      <c r="O2163" s="23">
        <v>2584.0100000000002</v>
      </c>
      <c r="P2163" s="23" t="s">
        <v>79</v>
      </c>
      <c r="Q2163" s="23" t="s">
        <v>83</v>
      </c>
      <c r="R2163" s="23">
        <v>11100008</v>
      </c>
      <c r="S2163" s="24">
        <v>46174</v>
      </c>
      <c r="T2163" s="24">
        <v>46076</v>
      </c>
      <c r="U2163" s="24" t="s">
        <v>80</v>
      </c>
      <c r="X2163" s="24">
        <v>46072</v>
      </c>
      <c r="Y2163" s="23">
        <v>1111</v>
      </c>
      <c r="Z2163" s="23">
        <v>11600001</v>
      </c>
      <c r="AA2163" s="23">
        <v>505103</v>
      </c>
      <c r="AB2163" s="24">
        <v>46073</v>
      </c>
    </row>
    <row r="2164" spans="2:28" x14ac:dyDescent="0.2">
      <c r="C2164" s="23">
        <v>1100577616</v>
      </c>
      <c r="E2164" s="23">
        <v>20</v>
      </c>
      <c r="F2164" s="23" t="s">
        <v>3754</v>
      </c>
      <c r="G2164" s="23" t="s">
        <v>3755</v>
      </c>
      <c r="H2164" s="24">
        <v>46141</v>
      </c>
      <c r="I2164" s="24">
        <v>46141</v>
      </c>
      <c r="J2164" s="23" t="s">
        <v>886</v>
      </c>
      <c r="K2164" s="23" t="s">
        <v>886</v>
      </c>
      <c r="L2164" s="23">
        <v>1</v>
      </c>
      <c r="M2164" s="23" t="s">
        <v>78</v>
      </c>
      <c r="N2164" s="23" t="s">
        <v>78</v>
      </c>
      <c r="O2164" s="23">
        <v>1302.6400000000001</v>
      </c>
      <c r="P2164" s="23" t="s">
        <v>79</v>
      </c>
      <c r="Q2164" s="23" t="s">
        <v>83</v>
      </c>
      <c r="R2164" s="23">
        <v>11100008</v>
      </c>
      <c r="S2164" s="24">
        <v>46174</v>
      </c>
      <c r="T2164" s="24">
        <v>46076</v>
      </c>
      <c r="U2164" s="24" t="s">
        <v>80</v>
      </c>
      <c r="X2164" s="24">
        <v>46072</v>
      </c>
      <c r="Y2164" s="23">
        <v>1111</v>
      </c>
      <c r="Z2164" s="23">
        <v>11600001</v>
      </c>
      <c r="AA2164" s="23">
        <v>505103</v>
      </c>
      <c r="AB2164" s="24">
        <v>46073</v>
      </c>
    </row>
    <row r="2165" spans="2:28" x14ac:dyDescent="0.2">
      <c r="C2165" s="23">
        <v>1100577616</v>
      </c>
      <c r="E2165" s="23">
        <v>30</v>
      </c>
      <c r="F2165" s="23" t="s">
        <v>82</v>
      </c>
      <c r="G2165" s="23" t="s">
        <v>139</v>
      </c>
      <c r="H2165" s="24">
        <v>46141</v>
      </c>
      <c r="I2165" s="24">
        <v>46141</v>
      </c>
      <c r="J2165" s="23" t="s">
        <v>886</v>
      </c>
      <c r="K2165" s="23" t="s">
        <v>886</v>
      </c>
      <c r="L2165" s="23">
        <v>1</v>
      </c>
      <c r="M2165" s="23" t="s">
        <v>78</v>
      </c>
      <c r="N2165" s="23" t="s">
        <v>78</v>
      </c>
      <c r="O2165" s="23">
        <v>0.01</v>
      </c>
      <c r="P2165" s="23" t="s">
        <v>79</v>
      </c>
      <c r="Q2165" s="23" t="s">
        <v>83</v>
      </c>
      <c r="R2165" s="23">
        <v>11100008</v>
      </c>
      <c r="S2165" s="24">
        <v>46174</v>
      </c>
      <c r="T2165" s="24">
        <v>46076</v>
      </c>
      <c r="U2165" s="24" t="s">
        <v>80</v>
      </c>
      <c r="X2165" s="24">
        <v>46072</v>
      </c>
      <c r="Y2165" s="23">
        <v>1111</v>
      </c>
      <c r="Z2165" s="23">
        <v>11600001</v>
      </c>
      <c r="AA2165" s="23">
        <v>505103</v>
      </c>
      <c r="AB2165" s="24">
        <v>46073</v>
      </c>
    </row>
    <row r="2166" spans="2:28" x14ac:dyDescent="0.2">
      <c r="B2166" s="23" t="s">
        <v>81</v>
      </c>
      <c r="C2166" s="23">
        <v>1100577616</v>
      </c>
      <c r="H2166" s="24">
        <v>46141</v>
      </c>
      <c r="O2166" s="23">
        <v>3886.66</v>
      </c>
      <c r="P2166" s="23" t="s">
        <v>79</v>
      </c>
    </row>
    <row r="2167" spans="2:28" x14ac:dyDescent="0.2">
      <c r="C2167" s="23">
        <v>1100572677</v>
      </c>
      <c r="E2167" s="23">
        <v>10</v>
      </c>
      <c r="F2167" s="23" t="s">
        <v>2120</v>
      </c>
      <c r="G2167" s="23" t="s">
        <v>2121</v>
      </c>
      <c r="H2167" s="24">
        <v>46142</v>
      </c>
      <c r="I2167" s="24">
        <v>46142</v>
      </c>
      <c r="J2167" s="23" t="s">
        <v>1095</v>
      </c>
      <c r="K2167" s="23" t="s">
        <v>1095</v>
      </c>
      <c r="L2167" s="23">
        <v>1</v>
      </c>
      <c r="M2167" s="23" t="s">
        <v>78</v>
      </c>
      <c r="N2167" s="23" t="s">
        <v>78</v>
      </c>
      <c r="O2167" s="23">
        <v>5550.48</v>
      </c>
      <c r="P2167" s="23" t="s">
        <v>79</v>
      </c>
      <c r="Q2167" s="23" t="s">
        <v>83</v>
      </c>
      <c r="R2167" s="23">
        <v>11100176</v>
      </c>
      <c r="S2167" s="24">
        <v>46094</v>
      </c>
      <c r="T2167" s="24">
        <v>46024</v>
      </c>
      <c r="U2167" s="24" t="s">
        <v>80</v>
      </c>
      <c r="X2167" s="24">
        <v>46022</v>
      </c>
      <c r="Y2167" s="23">
        <v>1111</v>
      </c>
      <c r="Z2167" s="23">
        <v>11100137</v>
      </c>
      <c r="AA2167" s="23">
        <v>335103</v>
      </c>
      <c r="AB2167" s="24">
        <v>46022</v>
      </c>
    </row>
    <row r="2168" spans="2:28" x14ac:dyDescent="0.2">
      <c r="B2168" s="23" t="s">
        <v>81</v>
      </c>
      <c r="C2168" s="23">
        <v>1100572677</v>
      </c>
      <c r="H2168" s="24">
        <v>46142</v>
      </c>
      <c r="O2168" s="23">
        <v>5550.48</v>
      </c>
      <c r="P2168" s="23" t="s">
        <v>79</v>
      </c>
    </row>
    <row r="2169" spans="2:28" x14ac:dyDescent="0.2">
      <c r="C2169" s="23">
        <v>1100573498</v>
      </c>
      <c r="E2169" s="23">
        <v>10</v>
      </c>
      <c r="F2169" s="23" t="s">
        <v>1117</v>
      </c>
      <c r="G2169" s="23" t="s">
        <v>1118</v>
      </c>
      <c r="H2169" s="24">
        <v>46142</v>
      </c>
      <c r="I2169" s="24">
        <v>46142</v>
      </c>
      <c r="J2169" s="23" t="s">
        <v>3756</v>
      </c>
      <c r="K2169" s="23" t="s">
        <v>3756</v>
      </c>
      <c r="L2169" s="23">
        <v>1</v>
      </c>
      <c r="M2169" s="23" t="s">
        <v>78</v>
      </c>
      <c r="N2169" s="23" t="s">
        <v>78</v>
      </c>
      <c r="O2169" s="23">
        <v>1350</v>
      </c>
      <c r="P2169" s="23" t="s">
        <v>79</v>
      </c>
      <c r="Q2169" s="23" t="s">
        <v>83</v>
      </c>
      <c r="R2169" s="23">
        <v>11100176</v>
      </c>
      <c r="S2169" s="24">
        <v>46101</v>
      </c>
      <c r="T2169" s="24">
        <v>46034</v>
      </c>
      <c r="U2169" s="24">
        <v>47116</v>
      </c>
      <c r="X2169" s="24">
        <v>46003</v>
      </c>
      <c r="Y2169" s="23">
        <v>1111</v>
      </c>
      <c r="Z2169" s="23">
        <v>11600003</v>
      </c>
      <c r="AA2169" s="23">
        <v>5051</v>
      </c>
      <c r="AB2169" s="24">
        <v>45996</v>
      </c>
    </row>
    <row r="2170" spans="2:28" x14ac:dyDescent="0.2">
      <c r="C2170" s="23">
        <v>1100573498</v>
      </c>
      <c r="E2170" s="23">
        <v>20</v>
      </c>
      <c r="F2170" s="23" t="s">
        <v>94</v>
      </c>
      <c r="G2170" s="23" t="s">
        <v>95</v>
      </c>
      <c r="H2170" s="24">
        <v>46142</v>
      </c>
      <c r="I2170" s="24">
        <v>46142</v>
      </c>
      <c r="J2170" s="23" t="s">
        <v>3756</v>
      </c>
      <c r="K2170" s="23" t="s">
        <v>3756</v>
      </c>
      <c r="L2170" s="23">
        <v>1</v>
      </c>
      <c r="M2170" s="23" t="s">
        <v>78</v>
      </c>
      <c r="N2170" s="23" t="s">
        <v>78</v>
      </c>
      <c r="O2170" s="23">
        <v>50.24</v>
      </c>
      <c r="P2170" s="23" t="s">
        <v>79</v>
      </c>
      <c r="Q2170" s="23" t="s">
        <v>83</v>
      </c>
      <c r="R2170" s="23">
        <v>11100176</v>
      </c>
      <c r="S2170" s="24">
        <v>46101</v>
      </c>
      <c r="T2170" s="24">
        <v>46034</v>
      </c>
      <c r="U2170" s="24">
        <v>47116</v>
      </c>
      <c r="X2170" s="24">
        <v>46003</v>
      </c>
      <c r="Y2170" s="23">
        <v>1111</v>
      </c>
      <c r="Z2170" s="23">
        <v>11600003</v>
      </c>
      <c r="AA2170" s="23">
        <v>5051</v>
      </c>
      <c r="AB2170" s="24">
        <v>45996</v>
      </c>
    </row>
    <row r="2171" spans="2:28" x14ac:dyDescent="0.2">
      <c r="B2171" s="23" t="s">
        <v>81</v>
      </c>
      <c r="C2171" s="23">
        <v>1100573498</v>
      </c>
      <c r="H2171" s="24">
        <v>46142</v>
      </c>
      <c r="O2171" s="23">
        <v>1400.24</v>
      </c>
      <c r="P2171" s="23" t="s">
        <v>79</v>
      </c>
    </row>
    <row r="2172" spans="2:28" x14ac:dyDescent="0.2">
      <c r="C2172" s="23">
        <v>1100574652</v>
      </c>
      <c r="E2172" s="23">
        <v>10</v>
      </c>
      <c r="F2172" s="23" t="s">
        <v>952</v>
      </c>
      <c r="G2172" s="23" t="s">
        <v>953</v>
      </c>
      <c r="H2172" s="24">
        <v>46142</v>
      </c>
      <c r="I2172" s="24">
        <v>46142</v>
      </c>
      <c r="J2172" s="23" t="s">
        <v>3757</v>
      </c>
      <c r="K2172" s="23" t="s">
        <v>3757</v>
      </c>
      <c r="L2172" s="23">
        <v>6</v>
      </c>
      <c r="M2172" s="23" t="s">
        <v>78</v>
      </c>
      <c r="N2172" s="23" t="s">
        <v>78</v>
      </c>
      <c r="O2172" s="23">
        <v>1697.4</v>
      </c>
      <c r="P2172" s="23" t="s">
        <v>79</v>
      </c>
      <c r="Q2172" s="23" t="s">
        <v>83</v>
      </c>
      <c r="R2172" s="23">
        <v>11100176</v>
      </c>
      <c r="S2172" s="24">
        <v>46059</v>
      </c>
      <c r="T2172" s="24">
        <v>46045</v>
      </c>
      <c r="U2172" s="24" t="s">
        <v>80</v>
      </c>
      <c r="X2172" s="24">
        <v>46028</v>
      </c>
      <c r="Y2172" s="23">
        <v>1111</v>
      </c>
      <c r="Z2172" s="23">
        <v>11400937</v>
      </c>
      <c r="AA2172" s="23">
        <v>335103</v>
      </c>
      <c r="AB2172" s="24">
        <v>46024</v>
      </c>
    </row>
    <row r="2173" spans="2:28" x14ac:dyDescent="0.2">
      <c r="C2173" s="23">
        <v>1100574652</v>
      </c>
      <c r="E2173" s="23">
        <v>20</v>
      </c>
      <c r="F2173" s="23" t="s">
        <v>739</v>
      </c>
      <c r="G2173" s="23" t="s">
        <v>740</v>
      </c>
      <c r="H2173" s="24">
        <v>46142</v>
      </c>
      <c r="I2173" s="24">
        <v>46142</v>
      </c>
      <c r="J2173" s="23" t="s">
        <v>3757</v>
      </c>
      <c r="K2173" s="23" t="s">
        <v>3757</v>
      </c>
      <c r="L2173" s="23">
        <v>20</v>
      </c>
      <c r="M2173" s="23" t="s">
        <v>78</v>
      </c>
      <c r="N2173" s="23" t="s">
        <v>78</v>
      </c>
      <c r="O2173" s="23">
        <v>745.6</v>
      </c>
      <c r="P2173" s="23" t="s">
        <v>79</v>
      </c>
      <c r="Q2173" s="23" t="s">
        <v>83</v>
      </c>
      <c r="R2173" s="23">
        <v>11100176</v>
      </c>
      <c r="S2173" s="24">
        <v>46059</v>
      </c>
      <c r="T2173" s="24">
        <v>46045</v>
      </c>
      <c r="U2173" s="24" t="s">
        <v>80</v>
      </c>
      <c r="X2173" s="24">
        <v>46028</v>
      </c>
      <c r="Y2173" s="23">
        <v>1111</v>
      </c>
      <c r="Z2173" s="23">
        <v>11400937</v>
      </c>
      <c r="AA2173" s="23">
        <v>335103</v>
      </c>
      <c r="AB2173" s="24">
        <v>46024</v>
      </c>
    </row>
    <row r="2174" spans="2:28" x14ac:dyDescent="0.2">
      <c r="C2174" s="23">
        <v>1100574652</v>
      </c>
      <c r="E2174" s="23">
        <v>30</v>
      </c>
      <c r="F2174" s="23" t="s">
        <v>704</v>
      </c>
      <c r="G2174" s="23" t="s">
        <v>705</v>
      </c>
      <c r="H2174" s="24">
        <v>46142</v>
      </c>
      <c r="I2174" s="24">
        <v>46142</v>
      </c>
      <c r="J2174" s="23" t="s">
        <v>3757</v>
      </c>
      <c r="K2174" s="23" t="s">
        <v>3757</v>
      </c>
      <c r="L2174" s="23">
        <v>12</v>
      </c>
      <c r="M2174" s="23" t="s">
        <v>78</v>
      </c>
      <c r="N2174" s="23" t="s">
        <v>78</v>
      </c>
      <c r="O2174" s="23">
        <v>1144.8</v>
      </c>
      <c r="P2174" s="23" t="s">
        <v>79</v>
      </c>
      <c r="Q2174" s="23" t="s">
        <v>83</v>
      </c>
      <c r="R2174" s="23">
        <v>11100176</v>
      </c>
      <c r="S2174" s="24">
        <v>46059</v>
      </c>
      <c r="T2174" s="24">
        <v>46045</v>
      </c>
      <c r="U2174" s="24" t="s">
        <v>80</v>
      </c>
      <c r="X2174" s="24">
        <v>46028</v>
      </c>
      <c r="Y2174" s="23">
        <v>1111</v>
      </c>
      <c r="Z2174" s="23">
        <v>11400937</v>
      </c>
      <c r="AA2174" s="23">
        <v>335103</v>
      </c>
      <c r="AB2174" s="24">
        <v>46024</v>
      </c>
    </row>
    <row r="2175" spans="2:28" x14ac:dyDescent="0.2">
      <c r="C2175" s="23">
        <v>1100574652</v>
      </c>
      <c r="E2175" s="23">
        <v>40</v>
      </c>
      <c r="F2175" s="23" t="s">
        <v>2164</v>
      </c>
      <c r="G2175" s="23" t="s">
        <v>2165</v>
      </c>
      <c r="H2175" s="24">
        <v>46142</v>
      </c>
      <c r="I2175" s="24">
        <v>46142</v>
      </c>
      <c r="J2175" s="23" t="s">
        <v>3757</v>
      </c>
      <c r="K2175" s="23" t="s">
        <v>3757</v>
      </c>
      <c r="L2175" s="23">
        <v>1</v>
      </c>
      <c r="M2175" s="23" t="s">
        <v>78</v>
      </c>
      <c r="N2175" s="23" t="s">
        <v>78</v>
      </c>
      <c r="O2175" s="23">
        <v>114.02</v>
      </c>
      <c r="P2175" s="23" t="s">
        <v>79</v>
      </c>
      <c r="Q2175" s="23" t="s">
        <v>83</v>
      </c>
      <c r="R2175" s="23">
        <v>11100176</v>
      </c>
      <c r="S2175" s="24">
        <v>46059</v>
      </c>
      <c r="T2175" s="24">
        <v>46045</v>
      </c>
      <c r="U2175" s="24" t="s">
        <v>80</v>
      </c>
      <c r="X2175" s="24">
        <v>46028</v>
      </c>
      <c r="Y2175" s="23">
        <v>1111</v>
      </c>
      <c r="Z2175" s="23">
        <v>11400937</v>
      </c>
      <c r="AA2175" s="23">
        <v>335103</v>
      </c>
      <c r="AB2175" s="24">
        <v>46024</v>
      </c>
    </row>
    <row r="2176" spans="2:28" x14ac:dyDescent="0.2">
      <c r="C2176" s="23">
        <v>1100574652</v>
      </c>
      <c r="E2176" s="23">
        <v>50</v>
      </c>
      <c r="F2176" s="23" t="s">
        <v>658</v>
      </c>
      <c r="G2176" s="23" t="s">
        <v>1735</v>
      </c>
      <c r="H2176" s="24">
        <v>46142</v>
      </c>
      <c r="I2176" s="24">
        <v>46142</v>
      </c>
      <c r="J2176" s="23" t="s">
        <v>3757</v>
      </c>
      <c r="K2176" s="23" t="s">
        <v>3757</v>
      </c>
      <c r="L2176" s="23">
        <v>10</v>
      </c>
      <c r="M2176" s="23" t="s">
        <v>78</v>
      </c>
      <c r="N2176" s="23" t="s">
        <v>78</v>
      </c>
      <c r="O2176" s="23">
        <v>1568</v>
      </c>
      <c r="P2176" s="23" t="s">
        <v>79</v>
      </c>
      <c r="Q2176" s="23" t="s">
        <v>83</v>
      </c>
      <c r="R2176" s="23">
        <v>11100176</v>
      </c>
      <c r="S2176" s="24">
        <v>46059</v>
      </c>
      <c r="T2176" s="24">
        <v>46045</v>
      </c>
      <c r="U2176" s="24" t="s">
        <v>80</v>
      </c>
      <c r="X2176" s="24">
        <v>46028</v>
      </c>
      <c r="Y2176" s="23">
        <v>1111</v>
      </c>
      <c r="Z2176" s="23">
        <v>11400937</v>
      </c>
      <c r="AA2176" s="23">
        <v>335103</v>
      </c>
      <c r="AB2176" s="24">
        <v>46024</v>
      </c>
    </row>
    <row r="2177" spans="2:28" x14ac:dyDescent="0.2">
      <c r="C2177" s="23">
        <v>1100574652</v>
      </c>
      <c r="E2177" s="23">
        <v>60</v>
      </c>
      <c r="F2177" s="23" t="s">
        <v>702</v>
      </c>
      <c r="G2177" s="23" t="s">
        <v>1797</v>
      </c>
      <c r="H2177" s="24">
        <v>46142</v>
      </c>
      <c r="I2177" s="24">
        <v>46142</v>
      </c>
      <c r="J2177" s="23" t="s">
        <v>3757</v>
      </c>
      <c r="K2177" s="23" t="s">
        <v>3757</v>
      </c>
      <c r="L2177" s="23">
        <v>6</v>
      </c>
      <c r="M2177" s="23" t="s">
        <v>78</v>
      </c>
      <c r="N2177" s="23" t="s">
        <v>78</v>
      </c>
      <c r="O2177" s="23">
        <v>769.74</v>
      </c>
      <c r="P2177" s="23" t="s">
        <v>79</v>
      </c>
      <c r="Q2177" s="23" t="s">
        <v>83</v>
      </c>
      <c r="R2177" s="23">
        <v>11100176</v>
      </c>
      <c r="S2177" s="24">
        <v>46059</v>
      </c>
      <c r="T2177" s="24">
        <v>46045</v>
      </c>
      <c r="U2177" s="24" t="s">
        <v>80</v>
      </c>
      <c r="X2177" s="24">
        <v>46028</v>
      </c>
      <c r="Y2177" s="23">
        <v>1111</v>
      </c>
      <c r="Z2177" s="23">
        <v>11400937</v>
      </c>
      <c r="AA2177" s="23">
        <v>335103</v>
      </c>
      <c r="AB2177" s="24">
        <v>46024</v>
      </c>
    </row>
    <row r="2178" spans="2:28" x14ac:dyDescent="0.2">
      <c r="C2178" s="23">
        <v>1100574652</v>
      </c>
      <c r="E2178" s="23">
        <v>70</v>
      </c>
      <c r="F2178" s="23" t="s">
        <v>748</v>
      </c>
      <c r="G2178" s="23" t="s">
        <v>749</v>
      </c>
      <c r="H2178" s="24">
        <v>46142</v>
      </c>
      <c r="I2178" s="24">
        <v>46142</v>
      </c>
      <c r="J2178" s="23" t="s">
        <v>3757</v>
      </c>
      <c r="K2178" s="23" t="s">
        <v>3757</v>
      </c>
      <c r="L2178" s="23">
        <v>8</v>
      </c>
      <c r="M2178" s="23" t="s">
        <v>78</v>
      </c>
      <c r="N2178" s="23" t="s">
        <v>78</v>
      </c>
      <c r="O2178" s="23">
        <v>1245.5999999999999</v>
      </c>
      <c r="P2178" s="23" t="s">
        <v>79</v>
      </c>
      <c r="Q2178" s="23" t="s">
        <v>83</v>
      </c>
      <c r="R2178" s="23">
        <v>11100176</v>
      </c>
      <c r="S2178" s="24">
        <v>46059</v>
      </c>
      <c r="T2178" s="24">
        <v>46045</v>
      </c>
      <c r="U2178" s="24" t="s">
        <v>80</v>
      </c>
      <c r="X2178" s="24">
        <v>46028</v>
      </c>
      <c r="Y2178" s="23">
        <v>1111</v>
      </c>
      <c r="Z2178" s="23">
        <v>11400937</v>
      </c>
      <c r="AA2178" s="23">
        <v>335103</v>
      </c>
      <c r="AB2178" s="24">
        <v>46024</v>
      </c>
    </row>
    <row r="2179" spans="2:28" x14ac:dyDescent="0.2">
      <c r="C2179" s="23">
        <v>1100574652</v>
      </c>
      <c r="E2179" s="23">
        <v>80</v>
      </c>
      <c r="F2179" s="23" t="s">
        <v>763</v>
      </c>
      <c r="G2179" s="23" t="s">
        <v>764</v>
      </c>
      <c r="H2179" s="24">
        <v>46142</v>
      </c>
      <c r="I2179" s="24">
        <v>46142</v>
      </c>
      <c r="J2179" s="23" t="s">
        <v>3757</v>
      </c>
      <c r="K2179" s="23" t="s">
        <v>3757</v>
      </c>
      <c r="L2179" s="23">
        <v>4</v>
      </c>
      <c r="M2179" s="23" t="s">
        <v>78</v>
      </c>
      <c r="N2179" s="23" t="s">
        <v>78</v>
      </c>
      <c r="O2179" s="23">
        <v>903.52</v>
      </c>
      <c r="P2179" s="23" t="s">
        <v>79</v>
      </c>
      <c r="Q2179" s="23" t="s">
        <v>83</v>
      </c>
      <c r="R2179" s="23">
        <v>11100176</v>
      </c>
      <c r="S2179" s="24">
        <v>46059</v>
      </c>
      <c r="T2179" s="24">
        <v>46045</v>
      </c>
      <c r="U2179" s="24" t="s">
        <v>80</v>
      </c>
      <c r="X2179" s="24">
        <v>46028</v>
      </c>
      <c r="Y2179" s="23">
        <v>1111</v>
      </c>
      <c r="Z2179" s="23">
        <v>11400937</v>
      </c>
      <c r="AA2179" s="23">
        <v>335103</v>
      </c>
      <c r="AB2179" s="24">
        <v>46024</v>
      </c>
    </row>
    <row r="2180" spans="2:28" x14ac:dyDescent="0.2">
      <c r="C2180" s="23">
        <v>1100574652</v>
      </c>
      <c r="E2180" s="23">
        <v>90</v>
      </c>
      <c r="F2180" s="23" t="s">
        <v>954</v>
      </c>
      <c r="G2180" s="23" t="s">
        <v>955</v>
      </c>
      <c r="H2180" s="24">
        <v>46142</v>
      </c>
      <c r="I2180" s="24">
        <v>46142</v>
      </c>
      <c r="J2180" s="23" t="s">
        <v>3757</v>
      </c>
      <c r="K2180" s="23" t="s">
        <v>3757</v>
      </c>
      <c r="L2180" s="23">
        <v>4</v>
      </c>
      <c r="M2180" s="23" t="s">
        <v>78</v>
      </c>
      <c r="N2180" s="23" t="s">
        <v>78</v>
      </c>
      <c r="O2180" s="23">
        <v>469.32</v>
      </c>
      <c r="P2180" s="23" t="s">
        <v>79</v>
      </c>
      <c r="Q2180" s="23" t="s">
        <v>83</v>
      </c>
      <c r="R2180" s="23">
        <v>11100176</v>
      </c>
      <c r="S2180" s="24">
        <v>46059</v>
      </c>
      <c r="T2180" s="24">
        <v>46045</v>
      </c>
      <c r="U2180" s="24" t="s">
        <v>80</v>
      </c>
      <c r="X2180" s="24">
        <v>46028</v>
      </c>
      <c r="Y2180" s="23">
        <v>1111</v>
      </c>
      <c r="Z2180" s="23">
        <v>11400937</v>
      </c>
      <c r="AA2180" s="23">
        <v>335103</v>
      </c>
      <c r="AB2180" s="24">
        <v>46024</v>
      </c>
    </row>
    <row r="2181" spans="2:28" x14ac:dyDescent="0.2">
      <c r="C2181" s="23">
        <v>1100574652</v>
      </c>
      <c r="E2181" s="23">
        <v>100</v>
      </c>
      <c r="F2181" s="23" t="s">
        <v>774</v>
      </c>
      <c r="G2181" s="23" t="s">
        <v>775</v>
      </c>
      <c r="H2181" s="24">
        <v>46142</v>
      </c>
      <c r="I2181" s="24">
        <v>46142</v>
      </c>
      <c r="J2181" s="23" t="s">
        <v>3757</v>
      </c>
      <c r="K2181" s="23" t="s">
        <v>3757</v>
      </c>
      <c r="L2181" s="23">
        <v>2</v>
      </c>
      <c r="M2181" s="23" t="s">
        <v>78</v>
      </c>
      <c r="N2181" s="23" t="s">
        <v>78</v>
      </c>
      <c r="O2181" s="23">
        <v>6028.56</v>
      </c>
      <c r="P2181" s="23" t="s">
        <v>79</v>
      </c>
      <c r="Q2181" s="23" t="s">
        <v>83</v>
      </c>
      <c r="R2181" s="23">
        <v>11100176</v>
      </c>
      <c r="S2181" s="24">
        <v>46059</v>
      </c>
      <c r="T2181" s="24">
        <v>46045</v>
      </c>
      <c r="U2181" s="24" t="s">
        <v>80</v>
      </c>
      <c r="X2181" s="24">
        <v>46028</v>
      </c>
      <c r="Y2181" s="23">
        <v>1111</v>
      </c>
      <c r="Z2181" s="23">
        <v>11400937</v>
      </c>
      <c r="AA2181" s="23">
        <v>335103</v>
      </c>
      <c r="AB2181" s="24">
        <v>46024</v>
      </c>
    </row>
    <row r="2182" spans="2:28" x14ac:dyDescent="0.2">
      <c r="C2182" s="23">
        <v>1100574652</v>
      </c>
      <c r="E2182" s="23">
        <v>110</v>
      </c>
      <c r="F2182" s="23" t="s">
        <v>3758</v>
      </c>
      <c r="G2182" s="23" t="s">
        <v>3759</v>
      </c>
      <c r="H2182" s="24">
        <v>46142</v>
      </c>
      <c r="I2182" s="24">
        <v>46142</v>
      </c>
      <c r="J2182" s="23" t="s">
        <v>3757</v>
      </c>
      <c r="K2182" s="23" t="s">
        <v>3757</v>
      </c>
      <c r="L2182" s="23">
        <v>2</v>
      </c>
      <c r="M2182" s="23" t="s">
        <v>78</v>
      </c>
      <c r="N2182" s="23" t="s">
        <v>78</v>
      </c>
      <c r="O2182" s="23">
        <v>179.82</v>
      </c>
      <c r="P2182" s="23" t="s">
        <v>79</v>
      </c>
      <c r="Q2182" s="23" t="s">
        <v>83</v>
      </c>
      <c r="R2182" s="23">
        <v>11100176</v>
      </c>
      <c r="S2182" s="24">
        <v>46059</v>
      </c>
      <c r="T2182" s="24">
        <v>46045</v>
      </c>
      <c r="U2182" s="24" t="s">
        <v>80</v>
      </c>
      <c r="X2182" s="24">
        <v>46028</v>
      </c>
      <c r="Y2182" s="23">
        <v>1111</v>
      </c>
      <c r="Z2182" s="23">
        <v>11400937</v>
      </c>
      <c r="AA2182" s="23">
        <v>335103</v>
      </c>
      <c r="AB2182" s="24">
        <v>46024</v>
      </c>
    </row>
    <row r="2183" spans="2:28" x14ac:dyDescent="0.2">
      <c r="B2183" s="23" t="s">
        <v>81</v>
      </c>
      <c r="C2183" s="23">
        <v>1100574652</v>
      </c>
      <c r="H2183" s="24">
        <v>46142</v>
      </c>
      <c r="O2183" s="23">
        <v>14866.38</v>
      </c>
      <c r="P2183" s="23" t="s">
        <v>79</v>
      </c>
    </row>
    <row r="2184" spans="2:28" x14ac:dyDescent="0.2">
      <c r="C2184" s="23">
        <v>1100575913</v>
      </c>
      <c r="E2184" s="23">
        <v>10</v>
      </c>
      <c r="F2184" s="23" t="s">
        <v>3760</v>
      </c>
      <c r="G2184" s="23" t="s">
        <v>3761</v>
      </c>
      <c r="H2184" s="24">
        <v>46142</v>
      </c>
      <c r="I2184" s="24">
        <v>46142</v>
      </c>
      <c r="J2184" s="23" t="s">
        <v>3762</v>
      </c>
      <c r="K2184" s="23" t="s">
        <v>3762</v>
      </c>
      <c r="L2184" s="23">
        <v>1</v>
      </c>
      <c r="M2184" s="23" t="s">
        <v>78</v>
      </c>
      <c r="N2184" s="23" t="s">
        <v>78</v>
      </c>
      <c r="O2184" s="23">
        <v>3011.95</v>
      </c>
      <c r="P2184" s="23" t="s">
        <v>79</v>
      </c>
      <c r="Q2184" s="23" t="s">
        <v>83</v>
      </c>
      <c r="R2184" s="23">
        <v>11100176</v>
      </c>
      <c r="S2184" s="24">
        <v>46099</v>
      </c>
      <c r="T2184" s="24">
        <v>46057</v>
      </c>
      <c r="U2184" s="24" t="s">
        <v>80</v>
      </c>
      <c r="X2184" s="24">
        <v>46052</v>
      </c>
      <c r="Y2184" s="23">
        <v>1111</v>
      </c>
      <c r="Z2184" s="23">
        <v>11400895</v>
      </c>
      <c r="AA2184" s="23">
        <v>5151</v>
      </c>
      <c r="AB2184" s="24">
        <v>46052</v>
      </c>
    </row>
    <row r="2185" spans="2:28" x14ac:dyDescent="0.2">
      <c r="C2185" s="23">
        <v>1100575913</v>
      </c>
      <c r="E2185" s="23">
        <v>20</v>
      </c>
      <c r="F2185" s="23" t="s">
        <v>82</v>
      </c>
      <c r="G2185" s="23" t="s">
        <v>139</v>
      </c>
      <c r="H2185" s="24">
        <v>46142</v>
      </c>
      <c r="I2185" s="24">
        <v>46142</v>
      </c>
      <c r="J2185" s="23" t="s">
        <v>3762</v>
      </c>
      <c r="K2185" s="23" t="s">
        <v>3762</v>
      </c>
      <c r="L2185" s="23">
        <v>1</v>
      </c>
      <c r="M2185" s="23" t="s">
        <v>78</v>
      </c>
      <c r="N2185" s="23" t="s">
        <v>78</v>
      </c>
      <c r="O2185" s="23">
        <v>0.01</v>
      </c>
      <c r="P2185" s="23" t="s">
        <v>79</v>
      </c>
      <c r="Q2185" s="23" t="s">
        <v>83</v>
      </c>
      <c r="R2185" s="23">
        <v>11100176</v>
      </c>
      <c r="S2185" s="24" t="s">
        <v>80</v>
      </c>
      <c r="T2185" s="24">
        <v>46057</v>
      </c>
      <c r="U2185" s="24" t="s">
        <v>80</v>
      </c>
      <c r="X2185" s="24">
        <v>46052</v>
      </c>
      <c r="Y2185" s="23">
        <v>1111</v>
      </c>
      <c r="Z2185" s="23">
        <v>11400895</v>
      </c>
      <c r="AA2185" s="23">
        <v>5151</v>
      </c>
      <c r="AB2185" s="24">
        <v>46052</v>
      </c>
    </row>
    <row r="2186" spans="2:28" x14ac:dyDescent="0.2">
      <c r="B2186" s="23" t="s">
        <v>81</v>
      </c>
      <c r="C2186" s="23">
        <v>1100575913</v>
      </c>
      <c r="H2186" s="24">
        <v>46142</v>
      </c>
      <c r="O2186" s="23">
        <v>3011.96</v>
      </c>
      <c r="P2186" s="23" t="s">
        <v>79</v>
      </c>
    </row>
    <row r="2187" spans="2:28" x14ac:dyDescent="0.2">
      <c r="C2187" s="23">
        <v>1100575984</v>
      </c>
      <c r="E2187" s="23">
        <v>10</v>
      </c>
      <c r="F2187" s="23" t="s">
        <v>1125</v>
      </c>
      <c r="G2187" s="23" t="s">
        <v>1126</v>
      </c>
      <c r="H2187" s="24">
        <v>46142</v>
      </c>
      <c r="I2187" s="24">
        <v>46142</v>
      </c>
      <c r="J2187" s="23" t="s">
        <v>414</v>
      </c>
      <c r="K2187" s="23" t="s">
        <v>414</v>
      </c>
      <c r="L2187" s="23">
        <v>1</v>
      </c>
      <c r="M2187" s="23" t="s">
        <v>78</v>
      </c>
      <c r="N2187" s="23" t="s">
        <v>78</v>
      </c>
      <c r="O2187" s="23">
        <v>1170.4000000000001</v>
      </c>
      <c r="P2187" s="23" t="s">
        <v>79</v>
      </c>
      <c r="Q2187" s="23" t="s">
        <v>83</v>
      </c>
      <c r="R2187" s="23">
        <v>11100176</v>
      </c>
      <c r="S2187" s="24">
        <v>46142</v>
      </c>
      <c r="T2187" s="24">
        <v>46058</v>
      </c>
      <c r="U2187" s="24" t="s">
        <v>80</v>
      </c>
      <c r="X2187" s="24">
        <v>46057</v>
      </c>
      <c r="Y2187" s="23">
        <v>1111</v>
      </c>
      <c r="Z2187" s="23">
        <v>11100137</v>
      </c>
      <c r="AA2187" s="23">
        <v>5251</v>
      </c>
      <c r="AB2187" s="24">
        <v>46057</v>
      </c>
    </row>
    <row r="2188" spans="2:28" x14ac:dyDescent="0.2">
      <c r="B2188" s="23" t="s">
        <v>81</v>
      </c>
      <c r="C2188" s="23">
        <v>1100575984</v>
      </c>
      <c r="H2188" s="24">
        <v>46142</v>
      </c>
      <c r="O2188" s="23">
        <v>1170.4000000000001</v>
      </c>
      <c r="P2188" s="23" t="s">
        <v>79</v>
      </c>
    </row>
    <row r="2189" spans="2:28" x14ac:dyDescent="0.2">
      <c r="C2189" s="23">
        <v>1100578105</v>
      </c>
      <c r="E2189" s="23">
        <v>10</v>
      </c>
      <c r="F2189" s="23" t="s">
        <v>3763</v>
      </c>
      <c r="G2189" s="23" t="s">
        <v>3764</v>
      </c>
      <c r="H2189" s="24">
        <v>46142</v>
      </c>
      <c r="I2189" s="24">
        <v>46142</v>
      </c>
      <c r="J2189" s="23" t="s">
        <v>98</v>
      </c>
      <c r="K2189" s="23" t="s">
        <v>98</v>
      </c>
      <c r="L2189" s="23">
        <v>3</v>
      </c>
      <c r="M2189" s="23" t="s">
        <v>78</v>
      </c>
      <c r="N2189" s="23" t="s">
        <v>78</v>
      </c>
      <c r="O2189" s="23">
        <v>4340.01</v>
      </c>
      <c r="P2189" s="23" t="s">
        <v>79</v>
      </c>
      <c r="Q2189" s="23" t="s">
        <v>83</v>
      </c>
      <c r="R2189" s="23">
        <v>11100176</v>
      </c>
      <c r="S2189" s="24">
        <v>46107</v>
      </c>
      <c r="T2189" s="24">
        <v>46079</v>
      </c>
      <c r="U2189" s="24" t="s">
        <v>80</v>
      </c>
      <c r="X2189" s="24">
        <v>46043</v>
      </c>
      <c r="Y2189" s="23">
        <v>1111</v>
      </c>
      <c r="Z2189" s="23">
        <v>11400937</v>
      </c>
      <c r="AA2189" s="23">
        <v>3151</v>
      </c>
      <c r="AB2189" s="24">
        <v>46073</v>
      </c>
    </row>
    <row r="2190" spans="2:28" x14ac:dyDescent="0.2">
      <c r="B2190" s="23" t="s">
        <v>81</v>
      </c>
      <c r="C2190" s="23">
        <v>1100578105</v>
      </c>
      <c r="H2190" s="24">
        <v>46142</v>
      </c>
      <c r="O2190" s="23">
        <v>4340.01</v>
      </c>
      <c r="P2190" s="23" t="s">
        <v>79</v>
      </c>
    </row>
    <row r="2191" spans="2:28" x14ac:dyDescent="0.2">
      <c r="C2191" s="23">
        <v>1100578590</v>
      </c>
      <c r="E2191" s="23">
        <v>30</v>
      </c>
      <c r="F2191" s="23" t="s">
        <v>4255</v>
      </c>
      <c r="G2191" s="23" t="s">
        <v>4256</v>
      </c>
      <c r="H2191" s="24">
        <v>46142</v>
      </c>
      <c r="I2191" s="24">
        <v>47118</v>
      </c>
      <c r="J2191" s="23" t="s">
        <v>3767</v>
      </c>
      <c r="K2191" s="23" t="s">
        <v>3767</v>
      </c>
      <c r="L2191" s="23">
        <v>1</v>
      </c>
      <c r="M2191" s="23" t="s">
        <v>78</v>
      </c>
      <c r="N2191" s="23" t="s">
        <v>78</v>
      </c>
      <c r="O2191" s="23">
        <v>5.48</v>
      </c>
      <c r="P2191" s="23" t="s">
        <v>79</v>
      </c>
      <c r="Q2191" s="23" t="s">
        <v>83</v>
      </c>
      <c r="R2191" s="23">
        <v>11100176</v>
      </c>
      <c r="S2191" s="24">
        <v>46142</v>
      </c>
      <c r="T2191" s="24">
        <v>46085</v>
      </c>
      <c r="U2191" s="24">
        <v>47116</v>
      </c>
      <c r="X2191" s="24">
        <v>46085</v>
      </c>
      <c r="Y2191" s="23">
        <v>1111</v>
      </c>
      <c r="Z2191" s="23">
        <v>11400789</v>
      </c>
      <c r="AA2191" s="23">
        <v>395103</v>
      </c>
      <c r="AB2191" s="24">
        <v>46078</v>
      </c>
    </row>
    <row r="2192" spans="2:28" x14ac:dyDescent="0.2">
      <c r="C2192" s="23">
        <v>1100578590</v>
      </c>
      <c r="E2192" s="23">
        <v>40</v>
      </c>
      <c r="F2192" s="23" t="s">
        <v>3765</v>
      </c>
      <c r="G2192" s="23" t="s">
        <v>3766</v>
      </c>
      <c r="H2192" s="24">
        <v>46142</v>
      </c>
      <c r="I2192" s="24">
        <v>46142</v>
      </c>
      <c r="J2192" s="23" t="s">
        <v>3767</v>
      </c>
      <c r="K2192" s="23" t="s">
        <v>3767</v>
      </c>
      <c r="L2192" s="23">
        <v>2</v>
      </c>
      <c r="M2192" s="23" t="s">
        <v>78</v>
      </c>
      <c r="N2192" s="23" t="s">
        <v>78</v>
      </c>
      <c r="O2192" s="23">
        <v>6.12</v>
      </c>
      <c r="P2192" s="23" t="s">
        <v>79</v>
      </c>
      <c r="Q2192" s="23" t="s">
        <v>83</v>
      </c>
      <c r="R2192" s="23">
        <v>11100176</v>
      </c>
      <c r="S2192" s="24">
        <v>46142</v>
      </c>
      <c r="T2192" s="24">
        <v>46085</v>
      </c>
      <c r="U2192" s="24">
        <v>46142</v>
      </c>
      <c r="X2192" s="24">
        <v>46085</v>
      </c>
      <c r="Y2192" s="23">
        <v>1111</v>
      </c>
      <c r="Z2192" s="23">
        <v>11400789</v>
      </c>
      <c r="AA2192" s="23">
        <v>395103</v>
      </c>
      <c r="AB2192" s="24">
        <v>46078</v>
      </c>
    </row>
    <row r="2193" spans="2:28" x14ac:dyDescent="0.2">
      <c r="C2193" s="23">
        <v>1100578590</v>
      </c>
      <c r="E2193" s="23">
        <v>50</v>
      </c>
      <c r="F2193" s="23" t="s">
        <v>3768</v>
      </c>
      <c r="G2193" s="23" t="s">
        <v>3769</v>
      </c>
      <c r="H2193" s="24">
        <v>46142</v>
      </c>
      <c r="I2193" s="24">
        <v>46142</v>
      </c>
      <c r="J2193" s="23" t="s">
        <v>3767</v>
      </c>
      <c r="K2193" s="23" t="s">
        <v>3767</v>
      </c>
      <c r="L2193" s="23">
        <v>1</v>
      </c>
      <c r="M2193" s="23" t="s">
        <v>78</v>
      </c>
      <c r="N2193" s="23" t="s">
        <v>78</v>
      </c>
      <c r="O2193" s="23">
        <v>4.08</v>
      </c>
      <c r="P2193" s="23" t="s">
        <v>79</v>
      </c>
      <c r="Q2193" s="23" t="s">
        <v>83</v>
      </c>
      <c r="R2193" s="23">
        <v>11100176</v>
      </c>
      <c r="S2193" s="24">
        <v>46142</v>
      </c>
      <c r="T2193" s="24">
        <v>46085</v>
      </c>
      <c r="U2193" s="24">
        <v>46142</v>
      </c>
      <c r="X2193" s="24">
        <v>46085</v>
      </c>
      <c r="Y2193" s="23">
        <v>1111</v>
      </c>
      <c r="Z2193" s="23">
        <v>11400789</v>
      </c>
      <c r="AA2193" s="23">
        <v>395103</v>
      </c>
      <c r="AB2193" s="24">
        <v>46078</v>
      </c>
    </row>
    <row r="2194" spans="2:28" x14ac:dyDescent="0.2">
      <c r="C2194" s="23">
        <v>1100578590</v>
      </c>
      <c r="E2194" s="23">
        <v>60</v>
      </c>
      <c r="F2194" s="23" t="s">
        <v>3770</v>
      </c>
      <c r="G2194" s="23" t="s">
        <v>3771</v>
      </c>
      <c r="H2194" s="24">
        <v>46142</v>
      </c>
      <c r="I2194" s="24">
        <v>46142</v>
      </c>
      <c r="J2194" s="23" t="s">
        <v>3767</v>
      </c>
      <c r="K2194" s="23" t="s">
        <v>3767</v>
      </c>
      <c r="L2194" s="23">
        <v>2</v>
      </c>
      <c r="M2194" s="23" t="s">
        <v>78</v>
      </c>
      <c r="N2194" s="23" t="s">
        <v>78</v>
      </c>
      <c r="O2194" s="23">
        <v>0.4</v>
      </c>
      <c r="P2194" s="23" t="s">
        <v>79</v>
      </c>
      <c r="Q2194" s="23" t="s">
        <v>83</v>
      </c>
      <c r="R2194" s="23">
        <v>11100176</v>
      </c>
      <c r="S2194" s="24">
        <v>46142</v>
      </c>
      <c r="T2194" s="24">
        <v>46085</v>
      </c>
      <c r="U2194" s="24">
        <v>46142</v>
      </c>
      <c r="X2194" s="24">
        <v>46085</v>
      </c>
      <c r="Y2194" s="23">
        <v>1111</v>
      </c>
      <c r="Z2194" s="23">
        <v>11400789</v>
      </c>
      <c r="AA2194" s="23">
        <v>395103</v>
      </c>
      <c r="AB2194" s="24">
        <v>46078</v>
      </c>
    </row>
    <row r="2195" spans="2:28" x14ac:dyDescent="0.2">
      <c r="C2195" s="23">
        <v>1100578590</v>
      </c>
      <c r="E2195" s="23">
        <v>70</v>
      </c>
      <c r="F2195" s="23" t="s">
        <v>3772</v>
      </c>
      <c r="G2195" s="23" t="s">
        <v>3773</v>
      </c>
      <c r="H2195" s="24">
        <v>46142</v>
      </c>
      <c r="I2195" s="24">
        <v>46142</v>
      </c>
      <c r="J2195" s="23" t="s">
        <v>3767</v>
      </c>
      <c r="K2195" s="23" t="s">
        <v>3767</v>
      </c>
      <c r="L2195" s="23">
        <v>1</v>
      </c>
      <c r="M2195" s="23" t="s">
        <v>78</v>
      </c>
      <c r="N2195" s="23" t="s">
        <v>78</v>
      </c>
      <c r="O2195" s="23">
        <v>32.9</v>
      </c>
      <c r="P2195" s="23" t="s">
        <v>79</v>
      </c>
      <c r="Q2195" s="23" t="s">
        <v>83</v>
      </c>
      <c r="R2195" s="23">
        <v>11100176</v>
      </c>
      <c r="S2195" s="24">
        <v>46142</v>
      </c>
      <c r="T2195" s="24">
        <v>46085</v>
      </c>
      <c r="U2195" s="24">
        <v>46142</v>
      </c>
      <c r="X2195" s="24">
        <v>46085</v>
      </c>
      <c r="Y2195" s="23">
        <v>1111</v>
      </c>
      <c r="Z2195" s="23">
        <v>11400789</v>
      </c>
      <c r="AA2195" s="23">
        <v>395103</v>
      </c>
      <c r="AB2195" s="24">
        <v>46078</v>
      </c>
    </row>
    <row r="2196" spans="2:28" x14ac:dyDescent="0.2">
      <c r="C2196" s="23">
        <v>1100578590</v>
      </c>
      <c r="E2196" s="23">
        <v>80</v>
      </c>
      <c r="F2196" s="23" t="s">
        <v>3774</v>
      </c>
      <c r="G2196" s="23" t="s">
        <v>3775</v>
      </c>
      <c r="H2196" s="24">
        <v>46142</v>
      </c>
      <c r="I2196" s="24">
        <v>46142</v>
      </c>
      <c r="J2196" s="23" t="s">
        <v>3767</v>
      </c>
      <c r="K2196" s="23" t="s">
        <v>3767</v>
      </c>
      <c r="L2196" s="23">
        <v>1</v>
      </c>
      <c r="M2196" s="23" t="s">
        <v>78</v>
      </c>
      <c r="N2196" s="23" t="s">
        <v>78</v>
      </c>
      <c r="O2196" s="23">
        <v>46.05</v>
      </c>
      <c r="P2196" s="23" t="s">
        <v>79</v>
      </c>
      <c r="Q2196" s="23" t="s">
        <v>83</v>
      </c>
      <c r="R2196" s="23">
        <v>11100176</v>
      </c>
      <c r="S2196" s="24">
        <v>46142</v>
      </c>
      <c r="T2196" s="24">
        <v>46085</v>
      </c>
      <c r="U2196" s="24">
        <v>46142</v>
      </c>
      <c r="X2196" s="24">
        <v>46085</v>
      </c>
      <c r="Y2196" s="23">
        <v>1111</v>
      </c>
      <c r="Z2196" s="23">
        <v>11400789</v>
      </c>
      <c r="AA2196" s="23">
        <v>395103</v>
      </c>
      <c r="AB2196" s="24">
        <v>46078</v>
      </c>
    </row>
    <row r="2197" spans="2:28" x14ac:dyDescent="0.2">
      <c r="B2197" s="23" t="s">
        <v>81</v>
      </c>
      <c r="C2197" s="23">
        <v>1100578590</v>
      </c>
      <c r="H2197" s="24">
        <v>46142</v>
      </c>
      <c r="O2197" s="23">
        <v>95.03</v>
      </c>
      <c r="P2197" s="23" t="s">
        <v>79</v>
      </c>
    </row>
    <row r="2198" spans="2:28" x14ac:dyDescent="0.2">
      <c r="C2198" s="23">
        <v>1100578660</v>
      </c>
      <c r="E2198" s="23">
        <v>10</v>
      </c>
      <c r="F2198" s="23" t="s">
        <v>87</v>
      </c>
      <c r="G2198" s="23" t="s">
        <v>4142</v>
      </c>
      <c r="H2198" s="24">
        <v>46142</v>
      </c>
      <c r="I2198" s="24">
        <v>46142</v>
      </c>
      <c r="J2198" s="23" t="s">
        <v>4143</v>
      </c>
      <c r="K2198" s="23" t="s">
        <v>4143</v>
      </c>
      <c r="L2198" s="23">
        <v>1</v>
      </c>
      <c r="M2198" s="23" t="s">
        <v>78</v>
      </c>
      <c r="N2198" s="23" t="s">
        <v>78</v>
      </c>
      <c r="O2198" s="23">
        <v>618.04999999999995</v>
      </c>
      <c r="P2198" s="23" t="s">
        <v>79</v>
      </c>
      <c r="Q2198" s="23" t="s">
        <v>83</v>
      </c>
      <c r="R2198" s="23">
        <v>11100176</v>
      </c>
      <c r="S2198" s="24">
        <v>46142</v>
      </c>
      <c r="T2198" s="24">
        <v>46085</v>
      </c>
      <c r="U2198" s="24">
        <v>47116</v>
      </c>
      <c r="X2198" s="24">
        <v>46083</v>
      </c>
      <c r="Y2198" s="23">
        <v>1111</v>
      </c>
      <c r="Z2198" s="23">
        <v>11100320</v>
      </c>
      <c r="AA2198" s="23">
        <v>5051</v>
      </c>
      <c r="AB2198" s="24">
        <v>46052</v>
      </c>
    </row>
    <row r="2199" spans="2:28" x14ac:dyDescent="0.2">
      <c r="C2199" s="23">
        <v>1100578660</v>
      </c>
      <c r="E2199" s="23">
        <v>20</v>
      </c>
      <c r="F2199" s="23" t="s">
        <v>4144</v>
      </c>
      <c r="G2199" s="23" t="s">
        <v>4145</v>
      </c>
      <c r="H2199" s="24">
        <v>46142</v>
      </c>
      <c r="I2199" s="24">
        <v>46142</v>
      </c>
      <c r="J2199" s="23" t="s">
        <v>4143</v>
      </c>
      <c r="K2199" s="23" t="s">
        <v>4143</v>
      </c>
      <c r="L2199" s="23">
        <v>1</v>
      </c>
      <c r="M2199" s="23" t="s">
        <v>78</v>
      </c>
      <c r="N2199" s="23" t="s">
        <v>78</v>
      </c>
      <c r="O2199" s="23">
        <v>626.6</v>
      </c>
      <c r="P2199" s="23" t="s">
        <v>79</v>
      </c>
      <c r="Q2199" s="23" t="s">
        <v>83</v>
      </c>
      <c r="R2199" s="23">
        <v>11100176</v>
      </c>
      <c r="S2199" s="24">
        <v>46142</v>
      </c>
      <c r="T2199" s="24">
        <v>46085</v>
      </c>
      <c r="U2199" s="24">
        <v>47116</v>
      </c>
      <c r="X2199" s="24">
        <v>46083</v>
      </c>
      <c r="Y2199" s="23">
        <v>1111</v>
      </c>
      <c r="Z2199" s="23">
        <v>11100320</v>
      </c>
      <c r="AA2199" s="23">
        <v>5051</v>
      </c>
      <c r="AB2199" s="24">
        <v>46052</v>
      </c>
    </row>
    <row r="2200" spans="2:28" x14ac:dyDescent="0.2">
      <c r="C2200" s="23">
        <v>1100578660</v>
      </c>
      <c r="E2200" s="23">
        <v>30</v>
      </c>
      <c r="F2200" s="23" t="s">
        <v>82</v>
      </c>
      <c r="G2200" s="23" t="s">
        <v>139</v>
      </c>
      <c r="H2200" s="24">
        <v>46142</v>
      </c>
      <c r="I2200" s="24">
        <v>46142</v>
      </c>
      <c r="J2200" s="23" t="s">
        <v>4143</v>
      </c>
      <c r="K2200" s="23" t="s">
        <v>4143</v>
      </c>
      <c r="L2200" s="23">
        <v>1</v>
      </c>
      <c r="M2200" s="23" t="s">
        <v>78</v>
      </c>
      <c r="N2200" s="23" t="s">
        <v>78</v>
      </c>
      <c r="O2200" s="23">
        <v>0.01</v>
      </c>
      <c r="P2200" s="23" t="s">
        <v>79</v>
      </c>
      <c r="Q2200" s="23" t="s">
        <v>83</v>
      </c>
      <c r="R2200" s="23">
        <v>11100176</v>
      </c>
      <c r="S2200" s="24">
        <v>46142</v>
      </c>
      <c r="T2200" s="24">
        <v>46085</v>
      </c>
      <c r="U2200" s="24">
        <v>47116</v>
      </c>
      <c r="X2200" s="24">
        <v>46083</v>
      </c>
      <c r="Y2200" s="23">
        <v>1111</v>
      </c>
      <c r="Z2200" s="23">
        <v>11100320</v>
      </c>
      <c r="AA2200" s="23">
        <v>5051</v>
      </c>
      <c r="AB2200" s="24">
        <v>46052</v>
      </c>
    </row>
    <row r="2201" spans="2:28" x14ac:dyDescent="0.2">
      <c r="C2201" s="23">
        <v>1100578660</v>
      </c>
      <c r="E2201" s="23">
        <v>40</v>
      </c>
      <c r="F2201" s="23" t="s">
        <v>84</v>
      </c>
      <c r="G2201" s="23" t="s">
        <v>123</v>
      </c>
      <c r="H2201" s="24">
        <v>46142</v>
      </c>
      <c r="I2201" s="24">
        <v>46142</v>
      </c>
      <c r="J2201" s="23" t="s">
        <v>4143</v>
      </c>
      <c r="K2201" s="23" t="s">
        <v>4143</v>
      </c>
      <c r="L2201" s="23">
        <v>1</v>
      </c>
      <c r="M2201" s="23" t="s">
        <v>78</v>
      </c>
      <c r="N2201" s="23" t="s">
        <v>78</v>
      </c>
      <c r="O2201" s="23">
        <v>0.01</v>
      </c>
      <c r="P2201" s="23" t="s">
        <v>79</v>
      </c>
      <c r="Q2201" s="23" t="s">
        <v>83</v>
      </c>
      <c r="R2201" s="23">
        <v>11100176</v>
      </c>
      <c r="S2201" s="24">
        <v>46142</v>
      </c>
      <c r="T2201" s="24">
        <v>46085</v>
      </c>
      <c r="U2201" s="24">
        <v>46142</v>
      </c>
      <c r="X2201" s="24">
        <v>46083</v>
      </c>
      <c r="Y2201" s="23">
        <v>1111</v>
      </c>
      <c r="Z2201" s="23">
        <v>11100320</v>
      </c>
      <c r="AA2201" s="23">
        <v>5051</v>
      </c>
      <c r="AB2201" s="24">
        <v>46052</v>
      </c>
    </row>
    <row r="2202" spans="2:28" x14ac:dyDescent="0.2">
      <c r="B2202" s="23" t="s">
        <v>81</v>
      </c>
      <c r="C2202" s="23">
        <v>1100578660</v>
      </c>
      <c r="H2202" s="24">
        <v>46142</v>
      </c>
      <c r="O2202" s="23">
        <v>1244.67</v>
      </c>
      <c r="P2202" s="23" t="s">
        <v>79</v>
      </c>
    </row>
    <row r="2203" spans="2:28" x14ac:dyDescent="0.2">
      <c r="C2203" s="23">
        <v>1100578705</v>
      </c>
      <c r="E2203" s="23">
        <v>10</v>
      </c>
      <c r="F2203" s="23" t="s">
        <v>713</v>
      </c>
      <c r="G2203" s="23" t="s">
        <v>714</v>
      </c>
      <c r="H2203" s="24">
        <v>46142</v>
      </c>
      <c r="I2203" s="24">
        <v>46142</v>
      </c>
      <c r="J2203" s="23" t="s">
        <v>1894</v>
      </c>
      <c r="K2203" s="23" t="s">
        <v>1894</v>
      </c>
      <c r="L2203" s="23">
        <v>1</v>
      </c>
      <c r="M2203" s="23" t="s">
        <v>78</v>
      </c>
      <c r="N2203" s="23" t="s">
        <v>78</v>
      </c>
      <c r="O2203" s="23">
        <v>892.55</v>
      </c>
      <c r="P2203" s="23" t="s">
        <v>79</v>
      </c>
      <c r="Q2203" s="23" t="s">
        <v>83</v>
      </c>
      <c r="R2203" s="23">
        <v>11100176</v>
      </c>
      <c r="S2203" s="24">
        <v>46142</v>
      </c>
      <c r="T2203" s="24">
        <v>46086</v>
      </c>
      <c r="U2203" s="24" t="s">
        <v>80</v>
      </c>
      <c r="X2203" s="24">
        <v>46083</v>
      </c>
      <c r="Y2203" s="23">
        <v>1111</v>
      </c>
      <c r="Z2203" s="23">
        <v>11400895</v>
      </c>
      <c r="AA2203" s="23">
        <v>335103</v>
      </c>
      <c r="AB2203" s="24">
        <v>46083</v>
      </c>
    </row>
    <row r="2204" spans="2:28" x14ac:dyDescent="0.2">
      <c r="C2204" s="23">
        <v>1100578705</v>
      </c>
      <c r="E2204" s="23">
        <v>20</v>
      </c>
      <c r="F2204" s="23" t="s">
        <v>82</v>
      </c>
      <c r="G2204" s="23" t="s">
        <v>139</v>
      </c>
      <c r="H2204" s="24">
        <v>46142</v>
      </c>
      <c r="I2204" s="24">
        <v>46142</v>
      </c>
      <c r="J2204" s="23" t="s">
        <v>1894</v>
      </c>
      <c r="K2204" s="23" t="s">
        <v>1894</v>
      </c>
      <c r="L2204" s="23">
        <v>1</v>
      </c>
      <c r="M2204" s="23" t="s">
        <v>78</v>
      </c>
      <c r="N2204" s="23" t="s">
        <v>78</v>
      </c>
      <c r="O2204" s="23">
        <v>0.01</v>
      </c>
      <c r="P2204" s="23" t="s">
        <v>79</v>
      </c>
      <c r="Q2204" s="23" t="s">
        <v>83</v>
      </c>
      <c r="R2204" s="23">
        <v>11100176</v>
      </c>
      <c r="S2204" s="24" t="s">
        <v>80</v>
      </c>
      <c r="T2204" s="24">
        <v>46086</v>
      </c>
      <c r="U2204" s="24" t="s">
        <v>80</v>
      </c>
      <c r="X2204" s="24">
        <v>46083</v>
      </c>
      <c r="Y2204" s="23">
        <v>1111</v>
      </c>
      <c r="Z2204" s="23">
        <v>11400895</v>
      </c>
      <c r="AA2204" s="23">
        <v>335103</v>
      </c>
      <c r="AB2204" s="24">
        <v>46083</v>
      </c>
    </row>
    <row r="2205" spans="2:28" x14ac:dyDescent="0.2">
      <c r="B2205" s="23" t="s">
        <v>81</v>
      </c>
      <c r="C2205" s="23">
        <v>1100578705</v>
      </c>
      <c r="H2205" s="24">
        <v>46142</v>
      </c>
      <c r="O2205" s="23">
        <v>892.56</v>
      </c>
      <c r="P2205" s="23" t="s">
        <v>79</v>
      </c>
    </row>
    <row r="2206" spans="2:28" x14ac:dyDescent="0.2">
      <c r="C2206" s="23">
        <v>1100564866</v>
      </c>
      <c r="E2206" s="23">
        <v>10</v>
      </c>
      <c r="F2206" s="23" t="s">
        <v>747</v>
      </c>
      <c r="G2206" s="23" t="s">
        <v>2032</v>
      </c>
      <c r="H2206" s="24">
        <v>46143</v>
      </c>
      <c r="I2206" s="24">
        <v>46143</v>
      </c>
      <c r="J2206" s="23" t="s">
        <v>1985</v>
      </c>
      <c r="K2206" s="23" t="s">
        <v>1985</v>
      </c>
      <c r="L2206" s="23">
        <v>4</v>
      </c>
      <c r="M2206" s="23" t="s">
        <v>78</v>
      </c>
      <c r="N2206" s="23" t="s">
        <v>78</v>
      </c>
      <c r="O2206" s="23">
        <v>816</v>
      </c>
      <c r="P2206" s="23" t="s">
        <v>79</v>
      </c>
      <c r="Q2206" s="23" t="s">
        <v>83</v>
      </c>
      <c r="R2206" s="23">
        <v>11100299</v>
      </c>
      <c r="S2206" s="24">
        <v>46143</v>
      </c>
      <c r="T2206" s="24">
        <v>45931</v>
      </c>
      <c r="U2206" s="24" t="s">
        <v>80</v>
      </c>
      <c r="X2206" s="24">
        <v>45919</v>
      </c>
      <c r="Y2206" s="23">
        <v>1111</v>
      </c>
      <c r="Z2206" s="23">
        <v>11400704</v>
      </c>
      <c r="AA2206" s="23">
        <v>335103</v>
      </c>
      <c r="AB2206" s="24">
        <v>45930</v>
      </c>
    </row>
    <row r="2207" spans="2:28" x14ac:dyDescent="0.2">
      <c r="C2207" s="23">
        <v>1100564866</v>
      </c>
      <c r="E2207" s="23">
        <v>20</v>
      </c>
      <c r="F2207" s="23" t="s">
        <v>745</v>
      </c>
      <c r="G2207" s="23" t="s">
        <v>746</v>
      </c>
      <c r="H2207" s="24">
        <v>46143</v>
      </c>
      <c r="I2207" s="24">
        <v>46143</v>
      </c>
      <c r="J2207" s="23" t="s">
        <v>1985</v>
      </c>
      <c r="K2207" s="23" t="s">
        <v>1985</v>
      </c>
      <c r="L2207" s="23">
        <v>4</v>
      </c>
      <c r="M2207" s="23" t="s">
        <v>78</v>
      </c>
      <c r="N2207" s="23" t="s">
        <v>78</v>
      </c>
      <c r="O2207" s="23">
        <v>816</v>
      </c>
      <c r="P2207" s="23" t="s">
        <v>79</v>
      </c>
      <c r="Q2207" s="23" t="s">
        <v>83</v>
      </c>
      <c r="R2207" s="23">
        <v>11100299</v>
      </c>
      <c r="S2207" s="24">
        <v>46143</v>
      </c>
      <c r="T2207" s="24">
        <v>45931</v>
      </c>
      <c r="U2207" s="24" t="s">
        <v>80</v>
      </c>
      <c r="X2207" s="24">
        <v>45919</v>
      </c>
      <c r="Y2207" s="23">
        <v>1111</v>
      </c>
      <c r="Z2207" s="23">
        <v>11400704</v>
      </c>
      <c r="AA2207" s="23">
        <v>335103</v>
      </c>
      <c r="AB2207" s="24">
        <v>45930</v>
      </c>
    </row>
    <row r="2208" spans="2:28" x14ac:dyDescent="0.2">
      <c r="C2208" s="23">
        <v>1100564866</v>
      </c>
      <c r="E2208" s="23">
        <v>30</v>
      </c>
      <c r="F2208" s="23" t="s">
        <v>1871</v>
      </c>
      <c r="G2208" s="23" t="s">
        <v>1872</v>
      </c>
      <c r="H2208" s="24">
        <v>46143</v>
      </c>
      <c r="I2208" s="24">
        <v>46143</v>
      </c>
      <c r="J2208" s="23" t="s">
        <v>1985</v>
      </c>
      <c r="K2208" s="23" t="s">
        <v>1985</v>
      </c>
      <c r="L2208" s="23">
        <v>2</v>
      </c>
      <c r="M2208" s="23" t="s">
        <v>78</v>
      </c>
      <c r="N2208" s="23" t="s">
        <v>78</v>
      </c>
      <c r="O2208" s="23">
        <v>1221.96</v>
      </c>
      <c r="P2208" s="23" t="s">
        <v>79</v>
      </c>
      <c r="Q2208" s="23" t="s">
        <v>83</v>
      </c>
      <c r="R2208" s="23">
        <v>11100299</v>
      </c>
      <c r="S2208" s="24">
        <v>46143</v>
      </c>
      <c r="T2208" s="24">
        <v>45931</v>
      </c>
      <c r="U2208" s="24" t="s">
        <v>80</v>
      </c>
      <c r="X2208" s="24">
        <v>45919</v>
      </c>
      <c r="Y2208" s="23">
        <v>1111</v>
      </c>
      <c r="Z2208" s="23">
        <v>11400704</v>
      </c>
      <c r="AA2208" s="23">
        <v>335103</v>
      </c>
      <c r="AB2208" s="24">
        <v>45930</v>
      </c>
    </row>
    <row r="2209" spans="2:28" x14ac:dyDescent="0.2">
      <c r="C2209" s="23">
        <v>1100564866</v>
      </c>
      <c r="E2209" s="23">
        <v>40</v>
      </c>
      <c r="F2209" s="23" t="s">
        <v>900</v>
      </c>
      <c r="G2209" s="23" t="s">
        <v>901</v>
      </c>
      <c r="H2209" s="24">
        <v>46143</v>
      </c>
      <c r="I2209" s="24">
        <v>46143</v>
      </c>
      <c r="J2209" s="23" t="s">
        <v>1985</v>
      </c>
      <c r="K2209" s="23" t="s">
        <v>1985</v>
      </c>
      <c r="L2209" s="23">
        <v>5</v>
      </c>
      <c r="M2209" s="23" t="s">
        <v>78</v>
      </c>
      <c r="N2209" s="23" t="s">
        <v>78</v>
      </c>
      <c r="O2209" s="23">
        <v>918</v>
      </c>
      <c r="P2209" s="23" t="s">
        <v>79</v>
      </c>
      <c r="Q2209" s="23" t="s">
        <v>83</v>
      </c>
      <c r="R2209" s="23">
        <v>11100299</v>
      </c>
      <c r="S2209" s="24">
        <v>46143</v>
      </c>
      <c r="T2209" s="24">
        <v>45931</v>
      </c>
      <c r="U2209" s="24" t="s">
        <v>80</v>
      </c>
      <c r="X2209" s="24">
        <v>45919</v>
      </c>
      <c r="Y2209" s="23">
        <v>1111</v>
      </c>
      <c r="Z2209" s="23">
        <v>11400704</v>
      </c>
      <c r="AA2209" s="23">
        <v>335103</v>
      </c>
      <c r="AB2209" s="24">
        <v>45930</v>
      </c>
    </row>
    <row r="2210" spans="2:28" x14ac:dyDescent="0.2">
      <c r="C2210" s="23">
        <v>1100564866</v>
      </c>
      <c r="E2210" s="23">
        <v>50</v>
      </c>
      <c r="F2210" s="23" t="s">
        <v>748</v>
      </c>
      <c r="G2210" s="23" t="s">
        <v>749</v>
      </c>
      <c r="H2210" s="24">
        <v>46143</v>
      </c>
      <c r="I2210" s="24">
        <v>46143</v>
      </c>
      <c r="J2210" s="23" t="s">
        <v>1985</v>
      </c>
      <c r="K2210" s="23" t="s">
        <v>1985</v>
      </c>
      <c r="L2210" s="23">
        <v>5</v>
      </c>
      <c r="M2210" s="23" t="s">
        <v>78</v>
      </c>
      <c r="N2210" s="23" t="s">
        <v>78</v>
      </c>
      <c r="O2210" s="23">
        <v>724.2</v>
      </c>
      <c r="P2210" s="23" t="s">
        <v>79</v>
      </c>
      <c r="Q2210" s="23" t="s">
        <v>83</v>
      </c>
      <c r="R2210" s="23">
        <v>11100299</v>
      </c>
      <c r="S2210" s="24">
        <v>46143</v>
      </c>
      <c r="T2210" s="24">
        <v>45931</v>
      </c>
      <c r="U2210" s="24" t="s">
        <v>80</v>
      </c>
      <c r="X2210" s="24">
        <v>45919</v>
      </c>
      <c r="Y2210" s="23">
        <v>1111</v>
      </c>
      <c r="Z2210" s="23">
        <v>11400704</v>
      </c>
      <c r="AA2210" s="23">
        <v>335103</v>
      </c>
      <c r="AB2210" s="24">
        <v>45930</v>
      </c>
    </row>
    <row r="2211" spans="2:28" x14ac:dyDescent="0.2">
      <c r="C2211" s="23">
        <v>1100564866</v>
      </c>
      <c r="E2211" s="23">
        <v>60</v>
      </c>
      <c r="F2211" s="23" t="s">
        <v>2162</v>
      </c>
      <c r="G2211" s="23" t="s">
        <v>2163</v>
      </c>
      <c r="H2211" s="24">
        <v>46143</v>
      </c>
      <c r="I2211" s="24">
        <v>46143</v>
      </c>
      <c r="J2211" s="23" t="s">
        <v>1985</v>
      </c>
      <c r="K2211" s="23" t="s">
        <v>1985</v>
      </c>
      <c r="L2211" s="23">
        <v>2</v>
      </c>
      <c r="M2211" s="23" t="s">
        <v>78</v>
      </c>
      <c r="N2211" s="23" t="s">
        <v>78</v>
      </c>
      <c r="O2211" s="23">
        <v>236.64</v>
      </c>
      <c r="P2211" s="23" t="s">
        <v>79</v>
      </c>
      <c r="Q2211" s="23" t="s">
        <v>83</v>
      </c>
      <c r="R2211" s="23">
        <v>11100299</v>
      </c>
      <c r="S2211" s="24">
        <v>46143</v>
      </c>
      <c r="T2211" s="24">
        <v>45931</v>
      </c>
      <c r="U2211" s="24" t="s">
        <v>80</v>
      </c>
      <c r="X2211" s="24">
        <v>45919</v>
      </c>
      <c r="Y2211" s="23">
        <v>1111</v>
      </c>
      <c r="Z2211" s="23">
        <v>11400704</v>
      </c>
      <c r="AA2211" s="23">
        <v>335103</v>
      </c>
      <c r="AB2211" s="24">
        <v>45930</v>
      </c>
    </row>
    <row r="2212" spans="2:28" x14ac:dyDescent="0.2">
      <c r="C2212" s="23">
        <v>1100564866</v>
      </c>
      <c r="E2212" s="23">
        <v>70</v>
      </c>
      <c r="F2212" s="23" t="s">
        <v>2164</v>
      </c>
      <c r="G2212" s="23" t="s">
        <v>2165</v>
      </c>
      <c r="H2212" s="24">
        <v>46143</v>
      </c>
      <c r="I2212" s="24">
        <v>46143</v>
      </c>
      <c r="J2212" s="23" t="s">
        <v>1985</v>
      </c>
      <c r="K2212" s="23" t="s">
        <v>1985</v>
      </c>
      <c r="L2212" s="23">
        <v>2</v>
      </c>
      <c r="M2212" s="23" t="s">
        <v>78</v>
      </c>
      <c r="N2212" s="23" t="s">
        <v>78</v>
      </c>
      <c r="O2212" s="23">
        <v>220.32</v>
      </c>
      <c r="P2212" s="23" t="s">
        <v>79</v>
      </c>
      <c r="Q2212" s="23" t="s">
        <v>83</v>
      </c>
      <c r="R2212" s="23">
        <v>11100299</v>
      </c>
      <c r="S2212" s="24">
        <v>46143</v>
      </c>
      <c r="T2212" s="24">
        <v>45931</v>
      </c>
      <c r="U2212" s="24" t="s">
        <v>80</v>
      </c>
      <c r="X2212" s="24">
        <v>45919</v>
      </c>
      <c r="Y2212" s="23">
        <v>1111</v>
      </c>
      <c r="Z2212" s="23">
        <v>11400704</v>
      </c>
      <c r="AA2212" s="23">
        <v>335103</v>
      </c>
      <c r="AB2212" s="24">
        <v>45930</v>
      </c>
    </row>
    <row r="2213" spans="2:28" x14ac:dyDescent="0.2">
      <c r="C2213" s="23">
        <v>1100564866</v>
      </c>
      <c r="E2213" s="23">
        <v>80</v>
      </c>
      <c r="F2213" s="23" t="s">
        <v>209</v>
      </c>
      <c r="G2213" s="23" t="s">
        <v>210</v>
      </c>
      <c r="H2213" s="24">
        <v>46143</v>
      </c>
      <c r="I2213" s="24">
        <v>46143</v>
      </c>
      <c r="J2213" s="23" t="s">
        <v>1985</v>
      </c>
      <c r="K2213" s="23" t="s">
        <v>1985</v>
      </c>
      <c r="L2213" s="23">
        <v>1</v>
      </c>
      <c r="M2213" s="23" t="s">
        <v>78</v>
      </c>
      <c r="N2213" s="23" t="s">
        <v>78</v>
      </c>
      <c r="O2213" s="23">
        <v>0</v>
      </c>
      <c r="P2213" s="23" t="s">
        <v>79</v>
      </c>
      <c r="Q2213" s="23" t="s">
        <v>83</v>
      </c>
      <c r="R2213" s="23">
        <v>11100299</v>
      </c>
      <c r="S2213" s="24" t="s">
        <v>80</v>
      </c>
      <c r="T2213" s="24">
        <v>45931</v>
      </c>
      <c r="U2213" s="24" t="s">
        <v>80</v>
      </c>
      <c r="X2213" s="24">
        <v>45919</v>
      </c>
      <c r="Y2213" s="23">
        <v>1111</v>
      </c>
      <c r="Z2213" s="23">
        <v>11400704</v>
      </c>
      <c r="AA2213" s="23">
        <v>335103</v>
      </c>
      <c r="AB2213" s="24">
        <v>45930</v>
      </c>
    </row>
    <row r="2214" spans="2:28" x14ac:dyDescent="0.2">
      <c r="B2214" s="23" t="s">
        <v>81</v>
      </c>
      <c r="C2214" s="23">
        <v>1100564866</v>
      </c>
      <c r="H2214" s="24">
        <v>46143</v>
      </c>
      <c r="O2214" s="23">
        <v>4953.12</v>
      </c>
      <c r="P2214" s="23" t="s">
        <v>79</v>
      </c>
    </row>
    <row r="2215" spans="2:28" x14ac:dyDescent="0.2">
      <c r="C2215" s="23">
        <v>1100569801</v>
      </c>
      <c r="E2215" s="23">
        <v>10</v>
      </c>
      <c r="F2215" s="23" t="s">
        <v>2008</v>
      </c>
      <c r="G2215" s="23" t="s">
        <v>2009</v>
      </c>
      <c r="H2215" s="24">
        <v>46143</v>
      </c>
      <c r="I2215" s="24">
        <v>46143</v>
      </c>
      <c r="J2215" s="23" t="s">
        <v>1159</v>
      </c>
      <c r="K2215" s="23" t="s">
        <v>1159</v>
      </c>
      <c r="L2215" s="23">
        <v>1</v>
      </c>
      <c r="M2215" s="23" t="s">
        <v>78</v>
      </c>
      <c r="N2215" s="23" t="s">
        <v>78</v>
      </c>
      <c r="O2215" s="23">
        <v>1481.04</v>
      </c>
      <c r="P2215" s="23" t="s">
        <v>79</v>
      </c>
      <c r="Q2215" s="23" t="s">
        <v>83</v>
      </c>
      <c r="R2215" s="23">
        <v>11100176</v>
      </c>
      <c r="S2215" s="24">
        <v>45992</v>
      </c>
      <c r="T2215" s="24">
        <v>45985</v>
      </c>
      <c r="U2215" s="24" t="s">
        <v>80</v>
      </c>
      <c r="X2215" s="24">
        <v>45982</v>
      </c>
      <c r="Y2215" s="23">
        <v>1111</v>
      </c>
      <c r="Z2215" s="23">
        <v>11600007</v>
      </c>
      <c r="AA2215" s="23">
        <v>505103</v>
      </c>
      <c r="AB2215" s="24">
        <v>45985</v>
      </c>
    </row>
    <row r="2216" spans="2:28" x14ac:dyDescent="0.2">
      <c r="B2216" s="23" t="s">
        <v>81</v>
      </c>
      <c r="C2216" s="23">
        <v>1100569801</v>
      </c>
      <c r="H2216" s="24">
        <v>46143</v>
      </c>
      <c r="O2216" s="23">
        <v>1481.04</v>
      </c>
      <c r="P2216" s="23" t="s">
        <v>79</v>
      </c>
    </row>
    <row r="2217" spans="2:28" x14ac:dyDescent="0.2">
      <c r="C2217" s="23">
        <v>1100576021</v>
      </c>
      <c r="E2217" s="23">
        <v>10</v>
      </c>
      <c r="F2217" s="23" t="s">
        <v>3776</v>
      </c>
      <c r="G2217" s="23" t="s">
        <v>3777</v>
      </c>
      <c r="H2217" s="24">
        <v>46143</v>
      </c>
      <c r="I2217" s="24">
        <v>46143</v>
      </c>
      <c r="J2217" s="23" t="s">
        <v>102</v>
      </c>
      <c r="K2217" s="23" t="s">
        <v>102</v>
      </c>
      <c r="L2217" s="23">
        <v>6</v>
      </c>
      <c r="M2217" s="23" t="s">
        <v>78</v>
      </c>
      <c r="N2217" s="23" t="s">
        <v>78</v>
      </c>
      <c r="O2217" s="23">
        <v>710.52</v>
      </c>
      <c r="P2217" s="23" t="s">
        <v>79</v>
      </c>
      <c r="Q2217" s="23" t="s">
        <v>83</v>
      </c>
      <c r="R2217" s="23">
        <v>11100176</v>
      </c>
      <c r="S2217" s="24">
        <v>46143</v>
      </c>
      <c r="T2217" s="24">
        <v>46058</v>
      </c>
      <c r="U2217" s="24" t="s">
        <v>80</v>
      </c>
      <c r="X2217" s="24">
        <v>46058</v>
      </c>
      <c r="Y2217" s="23">
        <v>1111</v>
      </c>
      <c r="Z2217" s="23">
        <v>11400789</v>
      </c>
      <c r="AA2217" s="23">
        <v>515103</v>
      </c>
      <c r="AB2217" s="24">
        <v>46057</v>
      </c>
    </row>
    <row r="2218" spans="2:28" x14ac:dyDescent="0.2">
      <c r="C2218" s="23">
        <v>1100576021</v>
      </c>
      <c r="E2218" s="23">
        <v>20</v>
      </c>
      <c r="F2218" s="23" t="s">
        <v>82</v>
      </c>
      <c r="G2218" s="23" t="s">
        <v>139</v>
      </c>
      <c r="H2218" s="24">
        <v>46143</v>
      </c>
      <c r="I2218" s="24">
        <v>46143</v>
      </c>
      <c r="J2218" s="23" t="s">
        <v>102</v>
      </c>
      <c r="K2218" s="23" t="s">
        <v>102</v>
      </c>
      <c r="L2218" s="23">
        <v>1</v>
      </c>
      <c r="M2218" s="23" t="s">
        <v>78</v>
      </c>
      <c r="N2218" s="23" t="s">
        <v>78</v>
      </c>
      <c r="O2218" s="23">
        <v>0.01</v>
      </c>
      <c r="P2218" s="23" t="s">
        <v>79</v>
      </c>
      <c r="Q2218" s="23" t="s">
        <v>83</v>
      </c>
      <c r="R2218" s="23">
        <v>11100176</v>
      </c>
      <c r="S2218" s="24" t="s">
        <v>80</v>
      </c>
      <c r="T2218" s="24">
        <v>46058</v>
      </c>
      <c r="U2218" s="24" t="s">
        <v>80</v>
      </c>
      <c r="X2218" s="24">
        <v>46058</v>
      </c>
      <c r="Y2218" s="23">
        <v>1111</v>
      </c>
      <c r="Z2218" s="23">
        <v>11400789</v>
      </c>
      <c r="AA2218" s="23">
        <v>515103</v>
      </c>
      <c r="AB2218" s="24">
        <v>46057</v>
      </c>
    </row>
    <row r="2219" spans="2:28" x14ac:dyDescent="0.2">
      <c r="B2219" s="23" t="s">
        <v>81</v>
      </c>
      <c r="C2219" s="23">
        <v>1100576021</v>
      </c>
      <c r="H2219" s="24">
        <v>46143</v>
      </c>
      <c r="O2219" s="23">
        <v>710.53</v>
      </c>
      <c r="P2219" s="23" t="s">
        <v>79</v>
      </c>
    </row>
    <row r="2220" spans="2:28" x14ac:dyDescent="0.2">
      <c r="C2220" s="23">
        <v>1100576046</v>
      </c>
      <c r="E2220" s="23">
        <v>10</v>
      </c>
      <c r="F2220" s="23" t="s">
        <v>2006</v>
      </c>
      <c r="G2220" s="23" t="s">
        <v>2007</v>
      </c>
      <c r="H2220" s="24">
        <v>46143</v>
      </c>
      <c r="I2220" s="24">
        <v>46143</v>
      </c>
      <c r="J2220" s="23" t="s">
        <v>2923</v>
      </c>
      <c r="K2220" s="23" t="s">
        <v>2923</v>
      </c>
      <c r="L2220" s="23">
        <v>1</v>
      </c>
      <c r="M2220" s="23" t="s">
        <v>78</v>
      </c>
      <c r="N2220" s="23" t="s">
        <v>78</v>
      </c>
      <c r="O2220" s="23">
        <v>1476.7</v>
      </c>
      <c r="P2220" s="23" t="s">
        <v>79</v>
      </c>
      <c r="Q2220" s="23" t="s">
        <v>83</v>
      </c>
      <c r="R2220" s="23">
        <v>11100176</v>
      </c>
      <c r="S2220" s="24">
        <v>46121</v>
      </c>
      <c r="T2220" s="24">
        <v>46058</v>
      </c>
      <c r="U2220" s="24" t="s">
        <v>80</v>
      </c>
      <c r="X2220" s="24">
        <v>46057</v>
      </c>
      <c r="Y2220" s="23">
        <v>1111</v>
      </c>
      <c r="Z2220" s="23">
        <v>11100137</v>
      </c>
      <c r="AA2220" s="23">
        <v>5051</v>
      </c>
      <c r="AB2220" s="24">
        <v>46042</v>
      </c>
    </row>
    <row r="2221" spans="2:28" x14ac:dyDescent="0.2">
      <c r="C2221" s="23">
        <v>1100576046</v>
      </c>
      <c r="E2221" s="23">
        <v>20</v>
      </c>
      <c r="F2221" s="23" t="s">
        <v>209</v>
      </c>
      <c r="G2221" s="23" t="s">
        <v>210</v>
      </c>
      <c r="H2221" s="24">
        <v>46143</v>
      </c>
      <c r="I2221" s="24">
        <v>46143</v>
      </c>
      <c r="J2221" s="23" t="s">
        <v>2923</v>
      </c>
      <c r="K2221" s="23" t="s">
        <v>2923</v>
      </c>
      <c r="L2221" s="23">
        <v>1</v>
      </c>
      <c r="M2221" s="23" t="s">
        <v>78</v>
      </c>
      <c r="N2221" s="23" t="s">
        <v>78</v>
      </c>
      <c r="O2221" s="23">
        <v>0.01</v>
      </c>
      <c r="P2221" s="23" t="s">
        <v>79</v>
      </c>
      <c r="Q2221" s="23" t="s">
        <v>83</v>
      </c>
      <c r="R2221" s="23">
        <v>11100176</v>
      </c>
      <c r="S2221" s="24" t="s">
        <v>80</v>
      </c>
      <c r="T2221" s="24">
        <v>46058</v>
      </c>
      <c r="U2221" s="24" t="s">
        <v>80</v>
      </c>
      <c r="X2221" s="24">
        <v>46057</v>
      </c>
      <c r="Y2221" s="23">
        <v>1111</v>
      </c>
      <c r="Z2221" s="23">
        <v>11100137</v>
      </c>
      <c r="AA2221" s="23">
        <v>5051</v>
      </c>
      <c r="AB2221" s="24">
        <v>46042</v>
      </c>
    </row>
    <row r="2222" spans="2:28" x14ac:dyDescent="0.2">
      <c r="B2222" s="23" t="s">
        <v>81</v>
      </c>
      <c r="C2222" s="23">
        <v>1100576046</v>
      </c>
      <c r="H2222" s="24">
        <v>46143</v>
      </c>
      <c r="O2222" s="23">
        <v>1476.71</v>
      </c>
      <c r="P2222" s="23" t="s">
        <v>79</v>
      </c>
    </row>
    <row r="2223" spans="2:28" x14ac:dyDescent="0.2">
      <c r="C2223" s="23">
        <v>1100577108</v>
      </c>
      <c r="E2223" s="23">
        <v>50</v>
      </c>
      <c r="F2223" s="23" t="s">
        <v>3778</v>
      </c>
      <c r="G2223" s="23" t="s">
        <v>3779</v>
      </c>
      <c r="H2223" s="24">
        <v>46143</v>
      </c>
      <c r="I2223" s="24">
        <v>46143</v>
      </c>
      <c r="J2223" s="23" t="s">
        <v>1422</v>
      </c>
      <c r="K2223" s="23" t="s">
        <v>1422</v>
      </c>
      <c r="L2223" s="23">
        <v>3</v>
      </c>
      <c r="M2223" s="23" t="s">
        <v>78</v>
      </c>
      <c r="N2223" s="23" t="s">
        <v>78</v>
      </c>
      <c r="O2223" s="23">
        <v>5892</v>
      </c>
      <c r="P2223" s="23" t="s">
        <v>79</v>
      </c>
      <c r="Q2223" s="23" t="s">
        <v>83</v>
      </c>
      <c r="R2223" s="23">
        <v>11100176</v>
      </c>
      <c r="S2223" s="24">
        <v>46143</v>
      </c>
      <c r="T2223" s="24">
        <v>46071</v>
      </c>
      <c r="U2223" s="24">
        <v>46155</v>
      </c>
      <c r="X2223" s="24">
        <v>46066</v>
      </c>
      <c r="Y2223" s="23">
        <v>1111</v>
      </c>
      <c r="Z2223" s="23">
        <v>11400704</v>
      </c>
      <c r="AA2223" s="23">
        <v>505103</v>
      </c>
      <c r="AB2223" s="24">
        <v>46066</v>
      </c>
    </row>
    <row r="2224" spans="2:28" x14ac:dyDescent="0.2">
      <c r="B2224" s="23" t="s">
        <v>81</v>
      </c>
      <c r="C2224" s="23">
        <v>1100577108</v>
      </c>
      <c r="H2224" s="24">
        <v>46143</v>
      </c>
      <c r="O2224" s="23">
        <v>5892</v>
      </c>
      <c r="P2224" s="23" t="s">
        <v>79</v>
      </c>
    </row>
    <row r="2225" spans="2:28" x14ac:dyDescent="0.2">
      <c r="C2225" s="23">
        <v>1100577714</v>
      </c>
      <c r="E2225" s="23">
        <v>20</v>
      </c>
      <c r="F2225" s="23" t="s">
        <v>769</v>
      </c>
      <c r="G2225" s="23" t="s">
        <v>770</v>
      </c>
      <c r="H2225" s="24">
        <v>46143</v>
      </c>
      <c r="I2225" s="24">
        <v>46143</v>
      </c>
      <c r="J2225" s="23" t="s">
        <v>741</v>
      </c>
      <c r="K2225" s="23" t="s">
        <v>741</v>
      </c>
      <c r="L2225" s="23">
        <v>1</v>
      </c>
      <c r="M2225" s="23" t="s">
        <v>78</v>
      </c>
      <c r="N2225" s="23" t="s">
        <v>78</v>
      </c>
      <c r="O2225" s="23">
        <v>45.4</v>
      </c>
      <c r="P2225" s="23" t="s">
        <v>79</v>
      </c>
      <c r="Q2225" s="23" t="s">
        <v>83</v>
      </c>
      <c r="R2225" s="23">
        <v>11100176</v>
      </c>
      <c r="S2225" s="24">
        <v>46104</v>
      </c>
      <c r="T2225" s="24">
        <v>46076</v>
      </c>
      <c r="U2225" s="24">
        <v>46084</v>
      </c>
      <c r="X2225" s="24">
        <v>46075</v>
      </c>
      <c r="Y2225" s="23">
        <v>1111</v>
      </c>
      <c r="Z2225" s="23">
        <v>11400811</v>
      </c>
      <c r="AA2225" s="23">
        <v>315103</v>
      </c>
      <c r="AB2225" s="24">
        <v>46076</v>
      </c>
    </row>
    <row r="2226" spans="2:28" x14ac:dyDescent="0.2">
      <c r="B2226" s="23" t="s">
        <v>81</v>
      </c>
      <c r="C2226" s="23">
        <v>1100577714</v>
      </c>
      <c r="H2226" s="24">
        <v>46143</v>
      </c>
      <c r="O2226" s="23">
        <v>45.4</v>
      </c>
      <c r="P2226" s="23" t="s">
        <v>79</v>
      </c>
    </row>
    <row r="2227" spans="2:28" x14ac:dyDescent="0.2">
      <c r="C2227" s="23">
        <v>1100577745</v>
      </c>
      <c r="E2227" s="23">
        <v>10</v>
      </c>
      <c r="F2227" s="23" t="s">
        <v>952</v>
      </c>
      <c r="G2227" s="23" t="s">
        <v>3780</v>
      </c>
      <c r="H2227" s="24">
        <v>46143</v>
      </c>
      <c r="I2227" s="24">
        <v>46143</v>
      </c>
      <c r="J2227" s="23" t="s">
        <v>876</v>
      </c>
      <c r="K2227" s="23" t="s">
        <v>876</v>
      </c>
      <c r="L2227" s="23">
        <v>2</v>
      </c>
      <c r="M2227" s="23" t="s">
        <v>78</v>
      </c>
      <c r="N2227" s="23" t="s">
        <v>78</v>
      </c>
      <c r="O2227" s="23">
        <v>565.79999999999995</v>
      </c>
      <c r="P2227" s="23" t="s">
        <v>79</v>
      </c>
      <c r="Q2227" s="23" t="s">
        <v>83</v>
      </c>
      <c r="R2227" s="23">
        <v>11100176</v>
      </c>
      <c r="S2227" s="24">
        <v>46091</v>
      </c>
      <c r="T2227" s="24">
        <v>46077</v>
      </c>
      <c r="U2227" s="24" t="s">
        <v>80</v>
      </c>
      <c r="X2227" s="24">
        <v>46073</v>
      </c>
      <c r="Y2227" s="23">
        <v>1111</v>
      </c>
      <c r="Z2227" s="23">
        <v>11600001</v>
      </c>
      <c r="AA2227" s="23">
        <v>335103</v>
      </c>
      <c r="AB2227" s="24">
        <v>46076</v>
      </c>
    </row>
    <row r="2228" spans="2:28" x14ac:dyDescent="0.2">
      <c r="C2228" s="23">
        <v>1100577745</v>
      </c>
      <c r="E2228" s="23">
        <v>20</v>
      </c>
      <c r="F2228" s="23" t="s">
        <v>3781</v>
      </c>
      <c r="G2228" s="23" t="s">
        <v>3782</v>
      </c>
      <c r="H2228" s="24">
        <v>46143</v>
      </c>
      <c r="I2228" s="24">
        <v>46143</v>
      </c>
      <c r="J2228" s="23" t="s">
        <v>876</v>
      </c>
      <c r="K2228" s="23" t="s">
        <v>876</v>
      </c>
      <c r="L2228" s="23">
        <v>6</v>
      </c>
      <c r="M2228" s="23" t="s">
        <v>78</v>
      </c>
      <c r="N2228" s="23" t="s">
        <v>78</v>
      </c>
      <c r="O2228" s="23">
        <v>1526.34</v>
      </c>
      <c r="P2228" s="23" t="s">
        <v>79</v>
      </c>
      <c r="Q2228" s="23" t="s">
        <v>83</v>
      </c>
      <c r="R2228" s="23">
        <v>11100176</v>
      </c>
      <c r="S2228" s="24">
        <v>46091</v>
      </c>
      <c r="T2228" s="24">
        <v>46077</v>
      </c>
      <c r="U2228" s="24" t="s">
        <v>80</v>
      </c>
      <c r="X2228" s="24">
        <v>46073</v>
      </c>
      <c r="Y2228" s="23">
        <v>1111</v>
      </c>
      <c r="Z2228" s="23">
        <v>11600001</v>
      </c>
      <c r="AA2228" s="23">
        <v>335103</v>
      </c>
      <c r="AB2228" s="24">
        <v>46076</v>
      </c>
    </row>
    <row r="2229" spans="2:28" x14ac:dyDescent="0.2">
      <c r="C2229" s="23">
        <v>1100577745</v>
      </c>
      <c r="E2229" s="23">
        <v>30</v>
      </c>
      <c r="F2229" s="23" t="s">
        <v>806</v>
      </c>
      <c r="G2229" s="23" t="s">
        <v>807</v>
      </c>
      <c r="H2229" s="24">
        <v>46143</v>
      </c>
      <c r="I2229" s="24">
        <v>46143</v>
      </c>
      <c r="J2229" s="23" t="s">
        <v>876</v>
      </c>
      <c r="K2229" s="23" t="s">
        <v>876</v>
      </c>
      <c r="L2229" s="23">
        <v>2</v>
      </c>
      <c r="M2229" s="23" t="s">
        <v>78</v>
      </c>
      <c r="N2229" s="23" t="s">
        <v>78</v>
      </c>
      <c r="O2229" s="23">
        <v>703.96</v>
      </c>
      <c r="P2229" s="23" t="s">
        <v>79</v>
      </c>
      <c r="Q2229" s="23" t="s">
        <v>83</v>
      </c>
      <c r="R2229" s="23">
        <v>11100176</v>
      </c>
      <c r="S2229" s="24">
        <v>46091</v>
      </c>
      <c r="T2229" s="24">
        <v>46077</v>
      </c>
      <c r="U2229" s="24" t="s">
        <v>80</v>
      </c>
      <c r="X2229" s="24">
        <v>46073</v>
      </c>
      <c r="Y2229" s="23">
        <v>1111</v>
      </c>
      <c r="Z2229" s="23">
        <v>11600001</v>
      </c>
      <c r="AA2229" s="23">
        <v>335103</v>
      </c>
      <c r="AB2229" s="24">
        <v>46076</v>
      </c>
    </row>
    <row r="2230" spans="2:28" x14ac:dyDescent="0.2">
      <c r="C2230" s="23">
        <v>1100577745</v>
      </c>
      <c r="E2230" s="23">
        <v>40</v>
      </c>
      <c r="F2230" s="23" t="s">
        <v>748</v>
      </c>
      <c r="G2230" s="23" t="s">
        <v>749</v>
      </c>
      <c r="H2230" s="24">
        <v>46143</v>
      </c>
      <c r="I2230" s="24">
        <v>46143</v>
      </c>
      <c r="J2230" s="23" t="s">
        <v>876</v>
      </c>
      <c r="K2230" s="23" t="s">
        <v>876</v>
      </c>
      <c r="L2230" s="23">
        <v>4</v>
      </c>
      <c r="M2230" s="23" t="s">
        <v>78</v>
      </c>
      <c r="N2230" s="23" t="s">
        <v>78</v>
      </c>
      <c r="O2230" s="23">
        <v>622.79999999999995</v>
      </c>
      <c r="P2230" s="23" t="s">
        <v>79</v>
      </c>
      <c r="Q2230" s="23" t="s">
        <v>83</v>
      </c>
      <c r="R2230" s="23">
        <v>11100176</v>
      </c>
      <c r="S2230" s="24">
        <v>46091</v>
      </c>
      <c r="T2230" s="24">
        <v>46077</v>
      </c>
      <c r="U2230" s="24" t="s">
        <v>80</v>
      </c>
      <c r="X2230" s="24">
        <v>46073</v>
      </c>
      <c r="Y2230" s="23">
        <v>1111</v>
      </c>
      <c r="Z2230" s="23">
        <v>11600001</v>
      </c>
      <c r="AA2230" s="23">
        <v>335103</v>
      </c>
      <c r="AB2230" s="24">
        <v>46076</v>
      </c>
    </row>
    <row r="2231" spans="2:28" x14ac:dyDescent="0.2">
      <c r="C2231" s="23">
        <v>1100577745</v>
      </c>
      <c r="E2231" s="23">
        <v>50</v>
      </c>
      <c r="F2231" s="23" t="s">
        <v>850</v>
      </c>
      <c r="G2231" s="23" t="s">
        <v>851</v>
      </c>
      <c r="H2231" s="24">
        <v>46143</v>
      </c>
      <c r="I2231" s="24">
        <v>46143</v>
      </c>
      <c r="J2231" s="23" t="s">
        <v>876</v>
      </c>
      <c r="K2231" s="23" t="s">
        <v>876</v>
      </c>
      <c r="L2231" s="23">
        <v>2</v>
      </c>
      <c r="M2231" s="23" t="s">
        <v>78</v>
      </c>
      <c r="N2231" s="23" t="s">
        <v>78</v>
      </c>
      <c r="O2231" s="23">
        <v>234.66</v>
      </c>
      <c r="P2231" s="23" t="s">
        <v>79</v>
      </c>
      <c r="Q2231" s="23" t="s">
        <v>83</v>
      </c>
      <c r="R2231" s="23">
        <v>11100176</v>
      </c>
      <c r="S2231" s="24">
        <v>46091</v>
      </c>
      <c r="T2231" s="24">
        <v>46077</v>
      </c>
      <c r="U2231" s="24" t="s">
        <v>80</v>
      </c>
      <c r="X2231" s="24">
        <v>46073</v>
      </c>
      <c r="Y2231" s="23">
        <v>1111</v>
      </c>
      <c r="Z2231" s="23">
        <v>11600001</v>
      </c>
      <c r="AA2231" s="23">
        <v>335103</v>
      </c>
      <c r="AB2231" s="24">
        <v>46076</v>
      </c>
    </row>
    <row r="2232" spans="2:28" x14ac:dyDescent="0.2">
      <c r="B2232" s="23" t="s">
        <v>81</v>
      </c>
      <c r="C2232" s="23">
        <v>1100577745</v>
      </c>
      <c r="H2232" s="24">
        <v>46143</v>
      </c>
      <c r="O2232" s="23">
        <v>3653.56</v>
      </c>
      <c r="P2232" s="23" t="s">
        <v>79</v>
      </c>
    </row>
    <row r="2233" spans="2:28" x14ac:dyDescent="0.2">
      <c r="C2233" s="23">
        <v>1100577876</v>
      </c>
      <c r="E2233" s="23">
        <v>30</v>
      </c>
      <c r="F2233" s="23" t="s">
        <v>845</v>
      </c>
      <c r="G2233" s="23" t="s">
        <v>846</v>
      </c>
      <c r="H2233" s="24">
        <v>46143</v>
      </c>
      <c r="I2233" s="24">
        <v>46143</v>
      </c>
      <c r="J2233" s="23" t="s">
        <v>92</v>
      </c>
      <c r="K2233" s="23" t="s">
        <v>92</v>
      </c>
      <c r="L2233" s="23">
        <v>2</v>
      </c>
      <c r="M2233" s="23" t="s">
        <v>78</v>
      </c>
      <c r="N2233" s="23" t="s">
        <v>78</v>
      </c>
      <c r="O2233" s="23">
        <v>932.02</v>
      </c>
      <c r="P2233" s="23" t="s">
        <v>79</v>
      </c>
      <c r="Q2233" s="23" t="s">
        <v>83</v>
      </c>
      <c r="R2233" s="23">
        <v>11100176</v>
      </c>
      <c r="S2233" s="24">
        <v>46106</v>
      </c>
      <c r="T2233" s="24">
        <v>46078</v>
      </c>
      <c r="U2233" s="24">
        <v>47116</v>
      </c>
      <c r="X2233" s="24">
        <v>46077</v>
      </c>
      <c r="Y2233" s="23">
        <v>1111</v>
      </c>
      <c r="Z2233" s="23">
        <v>11400745</v>
      </c>
      <c r="AA2233" s="23">
        <v>525103</v>
      </c>
      <c r="AB2233" s="24">
        <v>46077</v>
      </c>
    </row>
    <row r="2234" spans="2:28" x14ac:dyDescent="0.2">
      <c r="C2234" s="23">
        <v>1100577876</v>
      </c>
      <c r="E2234" s="23">
        <v>40</v>
      </c>
      <c r="F2234" s="23" t="s">
        <v>2973</v>
      </c>
      <c r="G2234" s="23" t="s">
        <v>2974</v>
      </c>
      <c r="H2234" s="24">
        <v>46143</v>
      </c>
      <c r="I2234" s="24">
        <v>46143</v>
      </c>
      <c r="J2234" s="23" t="s">
        <v>92</v>
      </c>
      <c r="K2234" s="23" t="s">
        <v>92</v>
      </c>
      <c r="L2234" s="23">
        <v>1</v>
      </c>
      <c r="M2234" s="23" t="s">
        <v>78</v>
      </c>
      <c r="N2234" s="23" t="s">
        <v>78</v>
      </c>
      <c r="O2234" s="23">
        <v>2042.78</v>
      </c>
      <c r="P2234" s="23" t="s">
        <v>79</v>
      </c>
      <c r="Q2234" s="23" t="s">
        <v>83</v>
      </c>
      <c r="R2234" s="23">
        <v>11100176</v>
      </c>
      <c r="S2234" s="24">
        <v>46106</v>
      </c>
      <c r="T2234" s="24">
        <v>46078</v>
      </c>
      <c r="U2234" s="24">
        <v>47116</v>
      </c>
      <c r="X2234" s="24">
        <v>46077</v>
      </c>
      <c r="Y2234" s="23">
        <v>1111</v>
      </c>
      <c r="Z2234" s="23">
        <v>11400745</v>
      </c>
      <c r="AA2234" s="23">
        <v>525103</v>
      </c>
      <c r="AB2234" s="24">
        <v>46077</v>
      </c>
    </row>
    <row r="2235" spans="2:28" x14ac:dyDescent="0.2">
      <c r="C2235" s="23">
        <v>1100577876</v>
      </c>
      <c r="E2235" s="23">
        <v>50</v>
      </c>
      <c r="F2235" s="23" t="s">
        <v>843</v>
      </c>
      <c r="G2235" s="23" t="s">
        <v>1975</v>
      </c>
      <c r="H2235" s="24">
        <v>46143</v>
      </c>
      <c r="I2235" s="24">
        <v>46143</v>
      </c>
      <c r="J2235" s="23" t="s">
        <v>92</v>
      </c>
      <c r="K2235" s="23" t="s">
        <v>92</v>
      </c>
      <c r="L2235" s="23">
        <v>2</v>
      </c>
      <c r="M2235" s="23" t="s">
        <v>78</v>
      </c>
      <c r="N2235" s="23" t="s">
        <v>78</v>
      </c>
      <c r="O2235" s="23">
        <v>712.72</v>
      </c>
      <c r="P2235" s="23" t="s">
        <v>79</v>
      </c>
      <c r="Q2235" s="23" t="s">
        <v>83</v>
      </c>
      <c r="R2235" s="23">
        <v>11100176</v>
      </c>
      <c r="S2235" s="24">
        <v>46106</v>
      </c>
      <c r="T2235" s="24">
        <v>46078</v>
      </c>
      <c r="U2235" s="24">
        <v>47116</v>
      </c>
      <c r="X2235" s="24">
        <v>46077</v>
      </c>
      <c r="Y2235" s="23">
        <v>1111</v>
      </c>
      <c r="Z2235" s="23">
        <v>11400745</v>
      </c>
      <c r="AA2235" s="23">
        <v>525103</v>
      </c>
      <c r="AB2235" s="24">
        <v>46077</v>
      </c>
    </row>
    <row r="2236" spans="2:28" x14ac:dyDescent="0.2">
      <c r="C2236" s="23">
        <v>1100577876</v>
      </c>
      <c r="E2236" s="23">
        <v>60</v>
      </c>
      <c r="F2236" s="23" t="s">
        <v>3783</v>
      </c>
      <c r="G2236" s="23" t="s">
        <v>3784</v>
      </c>
      <c r="H2236" s="24">
        <v>46143</v>
      </c>
      <c r="I2236" s="24">
        <v>46143</v>
      </c>
      <c r="J2236" s="23" t="s">
        <v>92</v>
      </c>
      <c r="K2236" s="23" t="s">
        <v>92</v>
      </c>
      <c r="L2236" s="23">
        <v>1</v>
      </c>
      <c r="M2236" s="23" t="s">
        <v>78</v>
      </c>
      <c r="N2236" s="23" t="s">
        <v>78</v>
      </c>
      <c r="O2236" s="23">
        <v>2587.7399999999998</v>
      </c>
      <c r="P2236" s="23" t="s">
        <v>79</v>
      </c>
      <c r="Q2236" s="23" t="s">
        <v>83</v>
      </c>
      <c r="R2236" s="23">
        <v>11100176</v>
      </c>
      <c r="S2236" s="24">
        <v>46106</v>
      </c>
      <c r="T2236" s="24">
        <v>46078</v>
      </c>
      <c r="U2236" s="24">
        <v>47116</v>
      </c>
      <c r="X2236" s="24">
        <v>46077</v>
      </c>
      <c r="Y2236" s="23">
        <v>1111</v>
      </c>
      <c r="Z2236" s="23">
        <v>11400745</v>
      </c>
      <c r="AA2236" s="23">
        <v>525103</v>
      </c>
      <c r="AB2236" s="24">
        <v>46077</v>
      </c>
    </row>
    <row r="2237" spans="2:28" x14ac:dyDescent="0.2">
      <c r="B2237" s="23" t="s">
        <v>81</v>
      </c>
      <c r="C2237" s="23">
        <v>1100577876</v>
      </c>
      <c r="H2237" s="24">
        <v>46143</v>
      </c>
      <c r="O2237" s="23">
        <v>6275.26</v>
      </c>
      <c r="P2237" s="23" t="s">
        <v>79</v>
      </c>
    </row>
    <row r="2238" spans="2:28" x14ac:dyDescent="0.2">
      <c r="C2238" s="23">
        <v>1100578470</v>
      </c>
      <c r="E2238" s="23">
        <v>10</v>
      </c>
      <c r="F2238" s="23" t="s">
        <v>1921</v>
      </c>
      <c r="G2238" s="23" t="s">
        <v>1922</v>
      </c>
      <c r="H2238" s="24">
        <v>46143</v>
      </c>
      <c r="I2238" s="24">
        <v>46143</v>
      </c>
      <c r="J2238" s="23" t="s">
        <v>2570</v>
      </c>
      <c r="K2238" s="23" t="s">
        <v>2570</v>
      </c>
      <c r="L2238" s="23">
        <v>12</v>
      </c>
      <c r="M2238" s="23" t="s">
        <v>32</v>
      </c>
      <c r="N2238" s="23" t="s">
        <v>32</v>
      </c>
      <c r="O2238" s="23">
        <v>605.28</v>
      </c>
      <c r="P2238" s="23" t="s">
        <v>79</v>
      </c>
      <c r="Q2238" s="23" t="s">
        <v>83</v>
      </c>
      <c r="R2238" s="23">
        <v>11100176</v>
      </c>
      <c r="S2238" s="24" t="s">
        <v>80</v>
      </c>
      <c r="T2238" s="24">
        <v>46083</v>
      </c>
      <c r="U2238" s="24" t="s">
        <v>80</v>
      </c>
      <c r="X2238" s="24">
        <v>46083</v>
      </c>
      <c r="Y2238" s="23">
        <v>1111</v>
      </c>
      <c r="Z2238" s="23">
        <v>11600007</v>
      </c>
      <c r="AA2238" s="23">
        <v>505103</v>
      </c>
      <c r="AB2238" s="24">
        <v>46083</v>
      </c>
    </row>
    <row r="2239" spans="2:28" x14ac:dyDescent="0.2">
      <c r="B2239" s="23" t="s">
        <v>81</v>
      </c>
      <c r="C2239" s="23">
        <v>1100578470</v>
      </c>
      <c r="H2239" s="24">
        <v>46143</v>
      </c>
      <c r="O2239" s="23">
        <v>605.28</v>
      </c>
      <c r="P2239" s="23" t="s">
        <v>79</v>
      </c>
    </row>
    <row r="2240" spans="2:28" x14ac:dyDescent="0.2">
      <c r="C2240" s="23">
        <v>1100578566</v>
      </c>
      <c r="E2240" s="23">
        <v>10</v>
      </c>
      <c r="F2240" s="23" t="s">
        <v>4257</v>
      </c>
      <c r="G2240" s="23" t="s">
        <v>4258</v>
      </c>
      <c r="H2240" s="24">
        <v>46143</v>
      </c>
      <c r="I2240" s="24">
        <v>46143</v>
      </c>
      <c r="J2240" s="23" t="s">
        <v>129</v>
      </c>
      <c r="K2240" s="23" t="s">
        <v>129</v>
      </c>
      <c r="L2240" s="23">
        <v>2</v>
      </c>
      <c r="M2240" s="23" t="s">
        <v>78</v>
      </c>
      <c r="N2240" s="23" t="s">
        <v>78</v>
      </c>
      <c r="O2240" s="23">
        <v>212.62</v>
      </c>
      <c r="P2240" s="23" t="s">
        <v>79</v>
      </c>
      <c r="Q2240" s="23" t="s">
        <v>83</v>
      </c>
      <c r="R2240" s="23">
        <v>11100176</v>
      </c>
      <c r="S2240" s="24">
        <v>46143</v>
      </c>
      <c r="T2240" s="24">
        <v>46084</v>
      </c>
      <c r="U2240" s="24">
        <v>47116</v>
      </c>
      <c r="X2240" s="24">
        <v>46080</v>
      </c>
      <c r="Y2240" s="23">
        <v>1111</v>
      </c>
      <c r="Z2240" s="23">
        <v>11400704</v>
      </c>
      <c r="AA2240" s="23">
        <v>3951</v>
      </c>
      <c r="AB2240" s="24">
        <v>46076</v>
      </c>
    </row>
    <row r="2241" spans="2:28" x14ac:dyDescent="0.2">
      <c r="C2241" s="23">
        <v>1100578566</v>
      </c>
      <c r="E2241" s="23">
        <v>20</v>
      </c>
      <c r="F2241" s="23" t="s">
        <v>4259</v>
      </c>
      <c r="G2241" s="23" t="s">
        <v>4260</v>
      </c>
      <c r="H2241" s="24">
        <v>46143</v>
      </c>
      <c r="I2241" s="24">
        <v>46143</v>
      </c>
      <c r="J2241" s="23" t="s">
        <v>129</v>
      </c>
      <c r="K2241" s="23" t="s">
        <v>129</v>
      </c>
      <c r="L2241" s="23">
        <v>1</v>
      </c>
      <c r="M2241" s="23" t="s">
        <v>78</v>
      </c>
      <c r="N2241" s="23" t="s">
        <v>78</v>
      </c>
      <c r="O2241" s="23">
        <v>1058.24</v>
      </c>
      <c r="P2241" s="23" t="s">
        <v>79</v>
      </c>
      <c r="Q2241" s="23" t="s">
        <v>83</v>
      </c>
      <c r="R2241" s="23">
        <v>11100176</v>
      </c>
      <c r="S2241" s="24">
        <v>46143</v>
      </c>
      <c r="T2241" s="24">
        <v>46084</v>
      </c>
      <c r="U2241" s="24">
        <v>47116</v>
      </c>
      <c r="X2241" s="24">
        <v>46080</v>
      </c>
      <c r="Y2241" s="23">
        <v>1111</v>
      </c>
      <c r="Z2241" s="23">
        <v>11400704</v>
      </c>
      <c r="AA2241" s="23">
        <v>3951</v>
      </c>
      <c r="AB2241" s="24">
        <v>46076</v>
      </c>
    </row>
    <row r="2242" spans="2:28" x14ac:dyDescent="0.2">
      <c r="C2242" s="23">
        <v>1100578566</v>
      </c>
      <c r="E2242" s="23">
        <v>30</v>
      </c>
      <c r="F2242" s="23" t="s">
        <v>4261</v>
      </c>
      <c r="G2242" s="23" t="s">
        <v>4262</v>
      </c>
      <c r="H2242" s="24">
        <v>46143</v>
      </c>
      <c r="I2242" s="24">
        <v>46143</v>
      </c>
      <c r="J2242" s="23" t="s">
        <v>129</v>
      </c>
      <c r="K2242" s="23" t="s">
        <v>129</v>
      </c>
      <c r="L2242" s="23">
        <v>12</v>
      </c>
      <c r="M2242" s="23" t="s">
        <v>78</v>
      </c>
      <c r="N2242" s="23" t="s">
        <v>78</v>
      </c>
      <c r="O2242" s="23">
        <v>7275.36</v>
      </c>
      <c r="P2242" s="23" t="s">
        <v>79</v>
      </c>
      <c r="Q2242" s="23" t="s">
        <v>83</v>
      </c>
      <c r="R2242" s="23">
        <v>11100176</v>
      </c>
      <c r="S2242" s="24">
        <v>46143</v>
      </c>
      <c r="T2242" s="24">
        <v>46084</v>
      </c>
      <c r="U2242" s="24">
        <v>47116</v>
      </c>
      <c r="X2242" s="24">
        <v>46080</v>
      </c>
      <c r="Y2242" s="23">
        <v>1111</v>
      </c>
      <c r="Z2242" s="23">
        <v>11400704</v>
      </c>
      <c r="AA2242" s="23">
        <v>3951</v>
      </c>
      <c r="AB2242" s="24">
        <v>46076</v>
      </c>
    </row>
    <row r="2243" spans="2:28" x14ac:dyDescent="0.2">
      <c r="C2243" s="23">
        <v>1100578566</v>
      </c>
      <c r="E2243" s="23">
        <v>40</v>
      </c>
      <c r="F2243" s="23" t="s">
        <v>4263</v>
      </c>
      <c r="G2243" s="23" t="s">
        <v>4264</v>
      </c>
      <c r="H2243" s="24">
        <v>46143</v>
      </c>
      <c r="I2243" s="24">
        <v>46143</v>
      </c>
      <c r="J2243" s="23" t="s">
        <v>129</v>
      </c>
      <c r="K2243" s="23" t="s">
        <v>129</v>
      </c>
      <c r="L2243" s="23">
        <v>1</v>
      </c>
      <c r="M2243" s="23" t="s">
        <v>4265</v>
      </c>
      <c r="N2243" s="23" t="s">
        <v>4265</v>
      </c>
      <c r="O2243" s="23">
        <v>4350.75</v>
      </c>
      <c r="P2243" s="23" t="s">
        <v>79</v>
      </c>
      <c r="Q2243" s="23" t="s">
        <v>83</v>
      </c>
      <c r="R2243" s="23">
        <v>11100176</v>
      </c>
      <c r="S2243" s="24">
        <v>46143</v>
      </c>
      <c r="T2243" s="24">
        <v>46084</v>
      </c>
      <c r="U2243" s="24">
        <v>47116</v>
      </c>
      <c r="X2243" s="24">
        <v>46080</v>
      </c>
      <c r="Y2243" s="23">
        <v>1111</v>
      </c>
      <c r="Z2243" s="23">
        <v>11400704</v>
      </c>
      <c r="AA2243" s="23">
        <v>3951</v>
      </c>
      <c r="AB2243" s="24">
        <v>46076</v>
      </c>
    </row>
    <row r="2244" spans="2:28" x14ac:dyDescent="0.2">
      <c r="C2244" s="23">
        <v>1100578566</v>
      </c>
      <c r="E2244" s="23">
        <v>50</v>
      </c>
      <c r="F2244" s="23" t="s">
        <v>4266</v>
      </c>
      <c r="G2244" s="23" t="s">
        <v>4267</v>
      </c>
      <c r="H2244" s="24">
        <v>46143</v>
      </c>
      <c r="I2244" s="24">
        <v>46143</v>
      </c>
      <c r="J2244" s="23" t="s">
        <v>129</v>
      </c>
      <c r="K2244" s="23" t="s">
        <v>129</v>
      </c>
      <c r="L2244" s="23">
        <v>1</v>
      </c>
      <c r="M2244" s="23" t="s">
        <v>4265</v>
      </c>
      <c r="N2244" s="23" t="s">
        <v>4265</v>
      </c>
      <c r="O2244" s="23">
        <v>1170.1500000000001</v>
      </c>
      <c r="P2244" s="23" t="s">
        <v>79</v>
      </c>
      <c r="Q2244" s="23" t="s">
        <v>83</v>
      </c>
      <c r="R2244" s="23">
        <v>11100176</v>
      </c>
      <c r="S2244" s="24">
        <v>46143</v>
      </c>
      <c r="T2244" s="24">
        <v>46084</v>
      </c>
      <c r="U2244" s="24">
        <v>47116</v>
      </c>
      <c r="X2244" s="24">
        <v>46080</v>
      </c>
      <c r="Y2244" s="23">
        <v>1111</v>
      </c>
      <c r="Z2244" s="23">
        <v>11400704</v>
      </c>
      <c r="AA2244" s="23">
        <v>3951</v>
      </c>
      <c r="AB2244" s="24">
        <v>46076</v>
      </c>
    </row>
    <row r="2245" spans="2:28" x14ac:dyDescent="0.2">
      <c r="C2245" s="23">
        <v>1100578566</v>
      </c>
      <c r="E2245" s="23">
        <v>60</v>
      </c>
      <c r="F2245" s="23" t="s">
        <v>4268</v>
      </c>
      <c r="G2245" s="23" t="s">
        <v>4269</v>
      </c>
      <c r="H2245" s="24">
        <v>46143</v>
      </c>
      <c r="I2245" s="24">
        <v>46143</v>
      </c>
      <c r="J2245" s="23" t="s">
        <v>129</v>
      </c>
      <c r="K2245" s="23" t="s">
        <v>129</v>
      </c>
      <c r="L2245" s="23">
        <v>1</v>
      </c>
      <c r="M2245" s="23" t="s">
        <v>4265</v>
      </c>
      <c r="N2245" s="23" t="s">
        <v>4265</v>
      </c>
      <c r="O2245" s="23">
        <v>1647.24</v>
      </c>
      <c r="P2245" s="23" t="s">
        <v>79</v>
      </c>
      <c r="Q2245" s="23" t="s">
        <v>83</v>
      </c>
      <c r="R2245" s="23">
        <v>11100176</v>
      </c>
      <c r="S2245" s="24">
        <v>46143</v>
      </c>
      <c r="T2245" s="24">
        <v>46084</v>
      </c>
      <c r="U2245" s="24">
        <v>47116</v>
      </c>
      <c r="X2245" s="24">
        <v>46080</v>
      </c>
      <c r="Y2245" s="23">
        <v>1111</v>
      </c>
      <c r="Z2245" s="23">
        <v>11400704</v>
      </c>
      <c r="AA2245" s="23">
        <v>3951</v>
      </c>
      <c r="AB2245" s="24">
        <v>46076</v>
      </c>
    </row>
    <row r="2246" spans="2:28" x14ac:dyDescent="0.2">
      <c r="C2246" s="23">
        <v>1100578566</v>
      </c>
      <c r="E2246" s="23">
        <v>70</v>
      </c>
      <c r="F2246" s="23" t="s">
        <v>4270</v>
      </c>
      <c r="G2246" s="23" t="s">
        <v>4271</v>
      </c>
      <c r="H2246" s="24">
        <v>46143</v>
      </c>
      <c r="I2246" s="24">
        <v>46143</v>
      </c>
      <c r="J2246" s="23" t="s">
        <v>129</v>
      </c>
      <c r="K2246" s="23" t="s">
        <v>129</v>
      </c>
      <c r="L2246" s="23">
        <v>2</v>
      </c>
      <c r="M2246" s="23" t="s">
        <v>78</v>
      </c>
      <c r="N2246" s="23" t="s">
        <v>78</v>
      </c>
      <c r="O2246" s="23">
        <v>215.96</v>
      </c>
      <c r="P2246" s="23" t="s">
        <v>79</v>
      </c>
      <c r="Q2246" s="23" t="s">
        <v>83</v>
      </c>
      <c r="R2246" s="23">
        <v>11100176</v>
      </c>
      <c r="S2246" s="24">
        <v>46143</v>
      </c>
      <c r="T2246" s="24">
        <v>46084</v>
      </c>
      <c r="U2246" s="24">
        <v>47116</v>
      </c>
      <c r="X2246" s="24">
        <v>46080</v>
      </c>
      <c r="Y2246" s="23">
        <v>1111</v>
      </c>
      <c r="Z2246" s="23">
        <v>11400704</v>
      </c>
      <c r="AA2246" s="23">
        <v>3951</v>
      </c>
      <c r="AB2246" s="24">
        <v>46076</v>
      </c>
    </row>
    <row r="2247" spans="2:28" x14ac:dyDescent="0.2">
      <c r="C2247" s="23">
        <v>1100578566</v>
      </c>
      <c r="E2247" s="23">
        <v>90</v>
      </c>
      <c r="F2247" s="23" t="s">
        <v>4272</v>
      </c>
      <c r="G2247" s="23" t="s">
        <v>4273</v>
      </c>
      <c r="H2247" s="24">
        <v>46143</v>
      </c>
      <c r="I2247" s="24">
        <v>46143</v>
      </c>
      <c r="J2247" s="23" t="s">
        <v>129</v>
      </c>
      <c r="K2247" s="23" t="s">
        <v>129</v>
      </c>
      <c r="L2247" s="23">
        <v>1</v>
      </c>
      <c r="M2247" s="23" t="s">
        <v>78</v>
      </c>
      <c r="N2247" s="23" t="s">
        <v>78</v>
      </c>
      <c r="O2247" s="23">
        <v>2233.64</v>
      </c>
      <c r="P2247" s="23" t="s">
        <v>79</v>
      </c>
      <c r="Q2247" s="23" t="s">
        <v>83</v>
      </c>
      <c r="R2247" s="23">
        <v>11100176</v>
      </c>
      <c r="S2247" s="24">
        <v>46143</v>
      </c>
      <c r="T2247" s="24">
        <v>46084</v>
      </c>
      <c r="U2247" s="24">
        <v>47116</v>
      </c>
      <c r="X2247" s="24">
        <v>46080</v>
      </c>
      <c r="Y2247" s="23">
        <v>1111</v>
      </c>
      <c r="Z2247" s="23">
        <v>11400704</v>
      </c>
      <c r="AA2247" s="23">
        <v>3951</v>
      </c>
      <c r="AB2247" s="24">
        <v>46076</v>
      </c>
    </row>
    <row r="2248" spans="2:28" x14ac:dyDescent="0.2">
      <c r="C2248" s="23">
        <v>1100578566</v>
      </c>
      <c r="E2248" s="23">
        <v>100</v>
      </c>
      <c r="F2248" s="23" t="s">
        <v>4274</v>
      </c>
      <c r="G2248" s="23" t="s">
        <v>4275</v>
      </c>
      <c r="H2248" s="24">
        <v>46143</v>
      </c>
      <c r="I2248" s="24">
        <v>46143</v>
      </c>
      <c r="J2248" s="23" t="s">
        <v>129</v>
      </c>
      <c r="K2248" s="23" t="s">
        <v>129</v>
      </c>
      <c r="L2248" s="23">
        <v>1</v>
      </c>
      <c r="M2248" s="23" t="s">
        <v>78</v>
      </c>
      <c r="N2248" s="23" t="s">
        <v>78</v>
      </c>
      <c r="O2248" s="23">
        <v>9805.67</v>
      </c>
      <c r="P2248" s="23" t="s">
        <v>79</v>
      </c>
      <c r="Q2248" s="23" t="s">
        <v>83</v>
      </c>
      <c r="R2248" s="23">
        <v>11100176</v>
      </c>
      <c r="S2248" s="24">
        <v>46143</v>
      </c>
      <c r="T2248" s="24">
        <v>46084</v>
      </c>
      <c r="U2248" s="24">
        <v>47116</v>
      </c>
      <c r="X2248" s="24">
        <v>46080</v>
      </c>
      <c r="Y2248" s="23">
        <v>1111</v>
      </c>
      <c r="Z2248" s="23">
        <v>11400704</v>
      </c>
      <c r="AA2248" s="23">
        <v>3951</v>
      </c>
      <c r="AB2248" s="24">
        <v>46076</v>
      </c>
    </row>
    <row r="2249" spans="2:28" x14ac:dyDescent="0.2">
      <c r="C2249" s="23">
        <v>1100578566</v>
      </c>
      <c r="E2249" s="23">
        <v>130</v>
      </c>
      <c r="F2249" s="23" t="s">
        <v>4276</v>
      </c>
      <c r="G2249" s="23" t="s">
        <v>4277</v>
      </c>
      <c r="H2249" s="24">
        <v>46143</v>
      </c>
      <c r="I2249" s="24">
        <v>46143</v>
      </c>
      <c r="J2249" s="23" t="s">
        <v>129</v>
      </c>
      <c r="K2249" s="23" t="s">
        <v>129</v>
      </c>
      <c r="L2249" s="23">
        <v>2</v>
      </c>
      <c r="M2249" s="23" t="s">
        <v>78</v>
      </c>
      <c r="N2249" s="23" t="s">
        <v>78</v>
      </c>
      <c r="O2249" s="23">
        <v>17344.080000000002</v>
      </c>
      <c r="P2249" s="23" t="s">
        <v>79</v>
      </c>
      <c r="Q2249" s="23" t="s">
        <v>83</v>
      </c>
      <c r="R2249" s="23">
        <v>11100176</v>
      </c>
      <c r="S2249" s="24">
        <v>46143</v>
      </c>
      <c r="T2249" s="24">
        <v>46084</v>
      </c>
      <c r="U2249" s="24">
        <v>47116</v>
      </c>
      <c r="X2249" s="24">
        <v>46080</v>
      </c>
      <c r="Y2249" s="23">
        <v>1111</v>
      </c>
      <c r="Z2249" s="23">
        <v>11400704</v>
      </c>
      <c r="AA2249" s="23">
        <v>3951</v>
      </c>
      <c r="AB2249" s="24">
        <v>46076</v>
      </c>
    </row>
    <row r="2250" spans="2:28" x14ac:dyDescent="0.2">
      <c r="C2250" s="23">
        <v>1100578566</v>
      </c>
      <c r="E2250" s="23">
        <v>140</v>
      </c>
      <c r="F2250" s="23" t="s">
        <v>84</v>
      </c>
      <c r="G2250" s="23" t="s">
        <v>123</v>
      </c>
      <c r="H2250" s="24">
        <v>46143</v>
      </c>
      <c r="I2250" s="24">
        <v>46143</v>
      </c>
      <c r="J2250" s="23" t="s">
        <v>129</v>
      </c>
      <c r="K2250" s="23" t="s">
        <v>129</v>
      </c>
      <c r="L2250" s="23">
        <v>1</v>
      </c>
      <c r="M2250" s="23" t="s">
        <v>78</v>
      </c>
      <c r="N2250" s="23" t="s">
        <v>78</v>
      </c>
      <c r="O2250" s="23">
        <v>0.01</v>
      </c>
      <c r="P2250" s="23" t="s">
        <v>79</v>
      </c>
      <c r="Q2250" s="23" t="s">
        <v>83</v>
      </c>
      <c r="R2250" s="23">
        <v>11100176</v>
      </c>
      <c r="S2250" s="24" t="s">
        <v>80</v>
      </c>
      <c r="T2250" s="24">
        <v>46084</v>
      </c>
      <c r="U2250" s="24">
        <v>47116</v>
      </c>
      <c r="X2250" s="24">
        <v>46080</v>
      </c>
      <c r="Y2250" s="23">
        <v>1111</v>
      </c>
      <c r="Z2250" s="23">
        <v>11400704</v>
      </c>
      <c r="AA2250" s="23">
        <v>3951</v>
      </c>
      <c r="AB2250" s="24">
        <v>46076</v>
      </c>
    </row>
    <row r="2251" spans="2:28" x14ac:dyDescent="0.2">
      <c r="C2251" s="23">
        <v>1100578566</v>
      </c>
      <c r="E2251" s="23">
        <v>150</v>
      </c>
      <c r="F2251" s="23" t="s">
        <v>209</v>
      </c>
      <c r="G2251" s="23" t="s">
        <v>210</v>
      </c>
      <c r="H2251" s="24">
        <v>46143</v>
      </c>
      <c r="I2251" s="24">
        <v>46143</v>
      </c>
      <c r="J2251" s="23" t="s">
        <v>129</v>
      </c>
      <c r="K2251" s="23" t="s">
        <v>129</v>
      </c>
      <c r="L2251" s="23">
        <v>1</v>
      </c>
      <c r="M2251" s="23" t="s">
        <v>78</v>
      </c>
      <c r="N2251" s="23" t="s">
        <v>78</v>
      </c>
      <c r="O2251" s="23">
        <v>0</v>
      </c>
      <c r="P2251" s="23" t="s">
        <v>79</v>
      </c>
      <c r="Q2251" s="23" t="s">
        <v>83</v>
      </c>
      <c r="R2251" s="23">
        <v>11100176</v>
      </c>
      <c r="S2251" s="24" t="s">
        <v>80</v>
      </c>
      <c r="T2251" s="24">
        <v>46084</v>
      </c>
      <c r="U2251" s="24">
        <v>47116</v>
      </c>
      <c r="X2251" s="24">
        <v>46080</v>
      </c>
      <c r="Y2251" s="23">
        <v>1111</v>
      </c>
      <c r="Z2251" s="23">
        <v>11400704</v>
      </c>
      <c r="AA2251" s="23">
        <v>3951</v>
      </c>
      <c r="AB2251" s="24">
        <v>46076</v>
      </c>
    </row>
    <row r="2252" spans="2:28" x14ac:dyDescent="0.2">
      <c r="B2252" s="23" t="s">
        <v>81</v>
      </c>
      <c r="C2252" s="23">
        <v>1100578566</v>
      </c>
      <c r="H2252" s="24">
        <v>46143</v>
      </c>
      <c r="O2252" s="23">
        <v>45313.72</v>
      </c>
      <c r="P2252" s="23" t="s">
        <v>79</v>
      </c>
    </row>
    <row r="2253" spans="2:28" x14ac:dyDescent="0.2">
      <c r="C2253" s="23">
        <v>1100573179</v>
      </c>
      <c r="E2253" s="23">
        <v>10</v>
      </c>
      <c r="F2253" s="23" t="s">
        <v>3785</v>
      </c>
      <c r="G2253" s="23" t="s">
        <v>3786</v>
      </c>
      <c r="H2253" s="24">
        <v>46144</v>
      </c>
      <c r="I2253" s="24">
        <v>46144</v>
      </c>
      <c r="J2253" s="23" t="s">
        <v>2153</v>
      </c>
      <c r="K2253" s="23" t="s">
        <v>2153</v>
      </c>
      <c r="L2253" s="23">
        <v>1</v>
      </c>
      <c r="M2253" s="23" t="s">
        <v>78</v>
      </c>
      <c r="N2253" s="23" t="s">
        <v>78</v>
      </c>
      <c r="O2253" s="23">
        <v>4842</v>
      </c>
      <c r="P2253" s="23" t="s">
        <v>79</v>
      </c>
      <c r="Q2253" s="23" t="s">
        <v>83</v>
      </c>
      <c r="R2253" s="23">
        <v>11100176</v>
      </c>
      <c r="S2253" s="24">
        <v>46114</v>
      </c>
      <c r="T2253" s="24">
        <v>46030</v>
      </c>
      <c r="U2253" s="24" t="s">
        <v>80</v>
      </c>
      <c r="X2253" s="24">
        <v>46013</v>
      </c>
      <c r="Y2253" s="23">
        <v>1111</v>
      </c>
      <c r="Z2253" s="23">
        <v>11400124</v>
      </c>
      <c r="AA2253" s="23">
        <v>335803</v>
      </c>
      <c r="AB2253" s="24">
        <v>47118</v>
      </c>
    </row>
    <row r="2254" spans="2:28" x14ac:dyDescent="0.2">
      <c r="C2254" s="23">
        <v>1100573179</v>
      </c>
      <c r="E2254" s="23">
        <v>20</v>
      </c>
      <c r="F2254" s="23" t="s">
        <v>84</v>
      </c>
      <c r="G2254" s="23" t="s">
        <v>123</v>
      </c>
      <c r="H2254" s="24">
        <v>46144</v>
      </c>
      <c r="I2254" s="24">
        <v>46144</v>
      </c>
      <c r="J2254" s="23" t="s">
        <v>2153</v>
      </c>
      <c r="K2254" s="23" t="s">
        <v>2153</v>
      </c>
      <c r="L2254" s="23">
        <v>1</v>
      </c>
      <c r="M2254" s="23" t="s">
        <v>78</v>
      </c>
      <c r="N2254" s="23" t="s">
        <v>78</v>
      </c>
      <c r="O2254" s="23">
        <v>0.01</v>
      </c>
      <c r="P2254" s="23" t="s">
        <v>79</v>
      </c>
      <c r="Q2254" s="23" t="s">
        <v>83</v>
      </c>
      <c r="R2254" s="23">
        <v>11100176</v>
      </c>
      <c r="S2254" s="24">
        <v>46114</v>
      </c>
      <c r="T2254" s="24">
        <v>46030</v>
      </c>
      <c r="U2254" s="24" t="s">
        <v>80</v>
      </c>
      <c r="X2254" s="24">
        <v>46013</v>
      </c>
      <c r="Y2254" s="23">
        <v>1111</v>
      </c>
      <c r="Z2254" s="23">
        <v>11400124</v>
      </c>
      <c r="AA2254" s="23">
        <v>335803</v>
      </c>
      <c r="AB2254" s="24">
        <v>47118</v>
      </c>
    </row>
    <row r="2255" spans="2:28" x14ac:dyDescent="0.2">
      <c r="C2255" s="23">
        <v>1100573179</v>
      </c>
      <c r="E2255" s="23">
        <v>30</v>
      </c>
      <c r="F2255" s="23" t="s">
        <v>96</v>
      </c>
      <c r="G2255" s="23" t="s">
        <v>97</v>
      </c>
      <c r="H2255" s="24">
        <v>46144</v>
      </c>
      <c r="I2255" s="24">
        <v>46144</v>
      </c>
      <c r="J2255" s="23" t="s">
        <v>2153</v>
      </c>
      <c r="K2255" s="23" t="s">
        <v>2153</v>
      </c>
      <c r="L2255" s="23">
        <v>1</v>
      </c>
      <c r="M2255" s="23" t="s">
        <v>78</v>
      </c>
      <c r="N2255" s="23" t="s">
        <v>78</v>
      </c>
      <c r="O2255" s="23">
        <v>0.01</v>
      </c>
      <c r="P2255" s="23" t="s">
        <v>79</v>
      </c>
      <c r="Q2255" s="23" t="s">
        <v>83</v>
      </c>
      <c r="R2255" s="23">
        <v>11100176</v>
      </c>
      <c r="S2255" s="24">
        <v>46114</v>
      </c>
      <c r="T2255" s="24">
        <v>46030</v>
      </c>
      <c r="U2255" s="24" t="s">
        <v>80</v>
      </c>
      <c r="X2255" s="24">
        <v>46013</v>
      </c>
      <c r="Y2255" s="23">
        <v>1111</v>
      </c>
      <c r="Z2255" s="23">
        <v>11400124</v>
      </c>
      <c r="AA2255" s="23">
        <v>335803</v>
      </c>
      <c r="AB2255" s="24">
        <v>47118</v>
      </c>
    </row>
    <row r="2256" spans="2:28" x14ac:dyDescent="0.2">
      <c r="B2256" s="23" t="s">
        <v>81</v>
      </c>
      <c r="C2256" s="23">
        <v>1100573179</v>
      </c>
      <c r="H2256" s="24">
        <v>46144</v>
      </c>
      <c r="O2256" s="23">
        <v>4842.0200000000004</v>
      </c>
      <c r="P2256" s="23" t="s">
        <v>79</v>
      </c>
    </row>
    <row r="2257" spans="2:28" x14ac:dyDescent="0.2">
      <c r="C2257" s="23">
        <v>1100577559</v>
      </c>
      <c r="E2257" s="23">
        <v>10</v>
      </c>
      <c r="F2257" s="23" t="s">
        <v>3787</v>
      </c>
      <c r="G2257" s="23" t="s">
        <v>3788</v>
      </c>
      <c r="H2257" s="24">
        <v>46146</v>
      </c>
      <c r="I2257" s="24">
        <v>46146</v>
      </c>
      <c r="J2257" s="23" t="s">
        <v>968</v>
      </c>
      <c r="K2257" s="23" t="s">
        <v>968</v>
      </c>
      <c r="L2257" s="23">
        <v>2</v>
      </c>
      <c r="M2257" s="23" t="s">
        <v>78</v>
      </c>
      <c r="N2257" s="23" t="s">
        <v>78</v>
      </c>
      <c r="O2257" s="23">
        <v>4057.61</v>
      </c>
      <c r="P2257" s="23" t="s">
        <v>79</v>
      </c>
      <c r="Q2257" s="23" t="s">
        <v>83</v>
      </c>
      <c r="R2257" s="23">
        <v>11100008</v>
      </c>
      <c r="S2257" s="24">
        <v>46178</v>
      </c>
      <c r="T2257" s="24">
        <v>46075</v>
      </c>
      <c r="U2257" s="24" t="s">
        <v>80</v>
      </c>
      <c r="X2257" s="24">
        <v>46071</v>
      </c>
      <c r="Y2257" s="23">
        <v>1111</v>
      </c>
      <c r="Z2257" s="23">
        <v>11400937</v>
      </c>
      <c r="AA2257" s="23">
        <v>335103</v>
      </c>
      <c r="AB2257" s="24">
        <v>46071</v>
      </c>
    </row>
    <row r="2258" spans="2:28" x14ac:dyDescent="0.2">
      <c r="C2258" s="23">
        <v>1100577559</v>
      </c>
      <c r="E2258" s="23">
        <v>20</v>
      </c>
      <c r="F2258" s="23" t="s">
        <v>3789</v>
      </c>
      <c r="G2258" s="23" t="s">
        <v>3790</v>
      </c>
      <c r="H2258" s="24">
        <v>46146</v>
      </c>
      <c r="I2258" s="24">
        <v>46146</v>
      </c>
      <c r="J2258" s="23" t="s">
        <v>968</v>
      </c>
      <c r="K2258" s="23" t="s">
        <v>968</v>
      </c>
      <c r="L2258" s="23">
        <v>2</v>
      </c>
      <c r="M2258" s="23" t="s">
        <v>78</v>
      </c>
      <c r="N2258" s="23" t="s">
        <v>78</v>
      </c>
      <c r="O2258" s="23">
        <v>4057.61</v>
      </c>
      <c r="P2258" s="23" t="s">
        <v>79</v>
      </c>
      <c r="Q2258" s="23" t="s">
        <v>83</v>
      </c>
      <c r="R2258" s="23">
        <v>11100008</v>
      </c>
      <c r="S2258" s="24">
        <v>46178</v>
      </c>
      <c r="T2258" s="24">
        <v>46075</v>
      </c>
      <c r="U2258" s="24" t="s">
        <v>80</v>
      </c>
      <c r="X2258" s="24">
        <v>46071</v>
      </c>
      <c r="Y2258" s="23">
        <v>1111</v>
      </c>
      <c r="Z2258" s="23">
        <v>11400937</v>
      </c>
      <c r="AA2258" s="23">
        <v>335103</v>
      </c>
      <c r="AB2258" s="24">
        <v>46071</v>
      </c>
    </row>
    <row r="2259" spans="2:28" x14ac:dyDescent="0.2">
      <c r="B2259" s="23" t="s">
        <v>81</v>
      </c>
      <c r="C2259" s="23">
        <v>1100577559</v>
      </c>
      <c r="H2259" s="24">
        <v>46146</v>
      </c>
      <c r="O2259" s="23">
        <v>8115.22</v>
      </c>
      <c r="P2259" s="23" t="s">
        <v>79</v>
      </c>
    </row>
    <row r="2260" spans="2:28" x14ac:dyDescent="0.2">
      <c r="C2260" s="23">
        <v>1100571422</v>
      </c>
      <c r="E2260" s="23">
        <v>10</v>
      </c>
      <c r="F2260" s="23" t="s">
        <v>3791</v>
      </c>
      <c r="G2260" s="23" t="s">
        <v>3792</v>
      </c>
      <c r="H2260" s="24">
        <v>46147</v>
      </c>
      <c r="I2260" s="24">
        <v>46147</v>
      </c>
      <c r="J2260" s="23" t="s">
        <v>891</v>
      </c>
      <c r="K2260" s="23" t="s">
        <v>891</v>
      </c>
      <c r="L2260" s="23">
        <v>3</v>
      </c>
      <c r="M2260" s="23" t="s">
        <v>78</v>
      </c>
      <c r="N2260" s="23" t="s">
        <v>78</v>
      </c>
      <c r="O2260" s="23">
        <v>3681.45</v>
      </c>
      <c r="P2260" s="23" t="s">
        <v>79</v>
      </c>
      <c r="Q2260" s="23" t="s">
        <v>83</v>
      </c>
      <c r="R2260" s="23">
        <v>11100018</v>
      </c>
      <c r="S2260" s="24" t="s">
        <v>80</v>
      </c>
      <c r="T2260" s="24">
        <v>46006</v>
      </c>
      <c r="U2260" s="24">
        <v>46752</v>
      </c>
      <c r="X2260" s="24">
        <v>45985</v>
      </c>
      <c r="Y2260" s="23">
        <v>1111</v>
      </c>
      <c r="Z2260" s="23">
        <v>11400606</v>
      </c>
      <c r="AA2260" s="23">
        <v>3951</v>
      </c>
      <c r="AB2260" s="24">
        <v>45896</v>
      </c>
    </row>
    <row r="2261" spans="2:28" x14ac:dyDescent="0.2">
      <c r="C2261" s="23">
        <v>1100571422</v>
      </c>
      <c r="E2261" s="23">
        <v>20</v>
      </c>
      <c r="F2261" s="23" t="s">
        <v>3793</v>
      </c>
      <c r="G2261" s="23" t="s">
        <v>3794</v>
      </c>
      <c r="H2261" s="24">
        <v>46147</v>
      </c>
      <c r="I2261" s="24">
        <v>46147</v>
      </c>
      <c r="J2261" s="23" t="s">
        <v>891</v>
      </c>
      <c r="K2261" s="23" t="s">
        <v>891</v>
      </c>
      <c r="L2261" s="23">
        <v>4</v>
      </c>
      <c r="M2261" s="23" t="s">
        <v>78</v>
      </c>
      <c r="N2261" s="23" t="s">
        <v>78</v>
      </c>
      <c r="O2261" s="23">
        <v>4544.76</v>
      </c>
      <c r="P2261" s="23" t="s">
        <v>79</v>
      </c>
      <c r="Q2261" s="23" t="s">
        <v>83</v>
      </c>
      <c r="R2261" s="23">
        <v>11100018</v>
      </c>
      <c r="S2261" s="24" t="s">
        <v>80</v>
      </c>
      <c r="T2261" s="24">
        <v>46006</v>
      </c>
      <c r="U2261" s="24">
        <v>46752</v>
      </c>
      <c r="X2261" s="24">
        <v>45985</v>
      </c>
      <c r="Y2261" s="23">
        <v>1111</v>
      </c>
      <c r="Z2261" s="23">
        <v>11400606</v>
      </c>
      <c r="AA2261" s="23">
        <v>3951</v>
      </c>
      <c r="AB2261" s="24">
        <v>45896</v>
      </c>
    </row>
    <row r="2262" spans="2:28" x14ac:dyDescent="0.2">
      <c r="C2262" s="23">
        <v>1100571422</v>
      </c>
      <c r="E2262" s="23">
        <v>30</v>
      </c>
      <c r="F2262" s="23" t="s">
        <v>3795</v>
      </c>
      <c r="G2262" s="23" t="s">
        <v>3796</v>
      </c>
      <c r="H2262" s="24">
        <v>46147</v>
      </c>
      <c r="I2262" s="24">
        <v>46147</v>
      </c>
      <c r="J2262" s="23" t="s">
        <v>891</v>
      </c>
      <c r="K2262" s="23" t="s">
        <v>891</v>
      </c>
      <c r="L2262" s="23">
        <v>5</v>
      </c>
      <c r="M2262" s="23" t="s">
        <v>78</v>
      </c>
      <c r="N2262" s="23" t="s">
        <v>78</v>
      </c>
      <c r="O2262" s="23">
        <v>6335</v>
      </c>
      <c r="P2262" s="23" t="s">
        <v>79</v>
      </c>
      <c r="Q2262" s="23" t="s">
        <v>83</v>
      </c>
      <c r="R2262" s="23">
        <v>11100018</v>
      </c>
      <c r="S2262" s="24" t="s">
        <v>80</v>
      </c>
      <c r="T2262" s="24">
        <v>46006</v>
      </c>
      <c r="U2262" s="24">
        <v>46752</v>
      </c>
      <c r="X2262" s="24">
        <v>45985</v>
      </c>
      <c r="Y2262" s="23">
        <v>1111</v>
      </c>
      <c r="Z2262" s="23">
        <v>11400606</v>
      </c>
      <c r="AA2262" s="23">
        <v>3951</v>
      </c>
      <c r="AB2262" s="24">
        <v>45896</v>
      </c>
    </row>
    <row r="2263" spans="2:28" x14ac:dyDescent="0.2">
      <c r="C2263" s="23">
        <v>1100571422</v>
      </c>
      <c r="E2263" s="23">
        <v>40</v>
      </c>
      <c r="F2263" s="23" t="s">
        <v>3797</v>
      </c>
      <c r="G2263" s="23" t="s">
        <v>3798</v>
      </c>
      <c r="H2263" s="24">
        <v>46147</v>
      </c>
      <c r="I2263" s="24">
        <v>46147</v>
      </c>
      <c r="J2263" s="23" t="s">
        <v>891</v>
      </c>
      <c r="K2263" s="23" t="s">
        <v>891</v>
      </c>
      <c r="L2263" s="23">
        <v>5</v>
      </c>
      <c r="M2263" s="23" t="s">
        <v>78</v>
      </c>
      <c r="N2263" s="23" t="s">
        <v>78</v>
      </c>
      <c r="O2263" s="23">
        <v>6048</v>
      </c>
      <c r="P2263" s="23" t="s">
        <v>79</v>
      </c>
      <c r="Q2263" s="23" t="s">
        <v>83</v>
      </c>
      <c r="R2263" s="23">
        <v>11100018</v>
      </c>
      <c r="S2263" s="24" t="s">
        <v>80</v>
      </c>
      <c r="T2263" s="24">
        <v>46006</v>
      </c>
      <c r="U2263" s="24">
        <v>46752</v>
      </c>
      <c r="X2263" s="24">
        <v>45985</v>
      </c>
      <c r="Y2263" s="23">
        <v>1111</v>
      </c>
      <c r="Z2263" s="23">
        <v>11400606</v>
      </c>
      <c r="AA2263" s="23">
        <v>3951</v>
      </c>
      <c r="AB2263" s="24">
        <v>45896</v>
      </c>
    </row>
    <row r="2264" spans="2:28" x14ac:dyDescent="0.2">
      <c r="C2264" s="23">
        <v>1100571422</v>
      </c>
      <c r="E2264" s="23">
        <v>50</v>
      </c>
      <c r="F2264" s="23" t="s">
        <v>84</v>
      </c>
      <c r="G2264" s="23" t="s">
        <v>123</v>
      </c>
      <c r="H2264" s="24">
        <v>46147</v>
      </c>
      <c r="I2264" s="24">
        <v>46147</v>
      </c>
      <c r="J2264" s="23" t="s">
        <v>891</v>
      </c>
      <c r="K2264" s="23" t="s">
        <v>891</v>
      </c>
      <c r="L2264" s="23">
        <v>1</v>
      </c>
      <c r="M2264" s="23" t="s">
        <v>78</v>
      </c>
      <c r="N2264" s="23" t="s">
        <v>78</v>
      </c>
      <c r="O2264" s="23">
        <v>0.01</v>
      </c>
      <c r="P2264" s="23" t="s">
        <v>79</v>
      </c>
      <c r="Q2264" s="23" t="s">
        <v>83</v>
      </c>
      <c r="R2264" s="23">
        <v>11100018</v>
      </c>
      <c r="S2264" s="24" t="s">
        <v>80</v>
      </c>
      <c r="T2264" s="24">
        <v>46006</v>
      </c>
      <c r="U2264" s="24">
        <v>46752</v>
      </c>
      <c r="X2264" s="24">
        <v>45985</v>
      </c>
      <c r="Y2264" s="23">
        <v>1111</v>
      </c>
      <c r="Z2264" s="23">
        <v>11400606</v>
      </c>
      <c r="AA2264" s="23">
        <v>3951</v>
      </c>
      <c r="AB2264" s="24">
        <v>45896</v>
      </c>
    </row>
    <row r="2265" spans="2:28" x14ac:dyDescent="0.2">
      <c r="B2265" s="23" t="s">
        <v>81</v>
      </c>
      <c r="C2265" s="23">
        <v>1100571422</v>
      </c>
      <c r="H2265" s="24">
        <v>46147</v>
      </c>
      <c r="O2265" s="23">
        <v>20609.22</v>
      </c>
      <c r="P2265" s="23" t="s">
        <v>79</v>
      </c>
    </row>
    <row r="2266" spans="2:28" x14ac:dyDescent="0.2">
      <c r="C2266" s="23">
        <v>1100575026</v>
      </c>
      <c r="E2266" s="23">
        <v>10</v>
      </c>
      <c r="F2266" s="23" t="s">
        <v>3799</v>
      </c>
      <c r="G2266" s="23" t="s">
        <v>3800</v>
      </c>
      <c r="H2266" s="24">
        <v>46147</v>
      </c>
      <c r="I2266" s="24">
        <v>46147</v>
      </c>
      <c r="J2266" s="23" t="s">
        <v>3801</v>
      </c>
      <c r="K2266" s="23" t="s">
        <v>3801</v>
      </c>
      <c r="L2266" s="23">
        <v>1</v>
      </c>
      <c r="M2266" s="23" t="s">
        <v>78</v>
      </c>
      <c r="N2266" s="23" t="s">
        <v>78</v>
      </c>
      <c r="O2266" s="23">
        <v>5203.2299999999996</v>
      </c>
      <c r="P2266" s="23" t="s">
        <v>79</v>
      </c>
      <c r="Q2266" s="23" t="s">
        <v>83</v>
      </c>
      <c r="R2266" s="23">
        <v>11100189</v>
      </c>
      <c r="S2266" s="24">
        <v>46147</v>
      </c>
      <c r="T2266" s="24">
        <v>46049</v>
      </c>
      <c r="U2266" s="24" t="s">
        <v>80</v>
      </c>
      <c r="X2266" s="24">
        <v>46048</v>
      </c>
      <c r="Y2266" s="23">
        <v>1111</v>
      </c>
      <c r="Z2266" s="23">
        <v>11400811</v>
      </c>
      <c r="AA2266" s="23">
        <v>505103</v>
      </c>
      <c r="AB2266" s="24">
        <v>46049</v>
      </c>
    </row>
    <row r="2267" spans="2:28" x14ac:dyDescent="0.2">
      <c r="C2267" s="23">
        <v>1100575026</v>
      </c>
      <c r="E2267" s="23">
        <v>30</v>
      </c>
      <c r="F2267" s="23" t="s">
        <v>84</v>
      </c>
      <c r="G2267" s="23" t="s">
        <v>123</v>
      </c>
      <c r="H2267" s="24">
        <v>46147</v>
      </c>
      <c r="I2267" s="24">
        <v>46147</v>
      </c>
      <c r="J2267" s="23" t="s">
        <v>3801</v>
      </c>
      <c r="K2267" s="23" t="s">
        <v>3801</v>
      </c>
      <c r="L2267" s="23">
        <v>1</v>
      </c>
      <c r="M2267" s="23" t="s">
        <v>78</v>
      </c>
      <c r="N2267" s="23" t="s">
        <v>78</v>
      </c>
      <c r="O2267" s="23">
        <v>0.01</v>
      </c>
      <c r="P2267" s="23" t="s">
        <v>79</v>
      </c>
      <c r="Q2267" s="23" t="s">
        <v>83</v>
      </c>
      <c r="R2267" s="23">
        <v>11100189</v>
      </c>
      <c r="S2267" s="24" t="s">
        <v>80</v>
      </c>
      <c r="T2267" s="24">
        <v>46049</v>
      </c>
      <c r="U2267" s="24" t="s">
        <v>80</v>
      </c>
      <c r="X2267" s="24">
        <v>46048</v>
      </c>
      <c r="Y2267" s="23">
        <v>1111</v>
      </c>
      <c r="Z2267" s="23">
        <v>11400811</v>
      </c>
      <c r="AA2267" s="23">
        <v>505103</v>
      </c>
      <c r="AB2267" s="24">
        <v>46049</v>
      </c>
    </row>
    <row r="2268" spans="2:28" x14ac:dyDescent="0.2">
      <c r="C2268" s="23">
        <v>1100575026</v>
      </c>
      <c r="E2268" s="23">
        <v>40</v>
      </c>
      <c r="F2268" s="23" t="s">
        <v>297</v>
      </c>
      <c r="G2268" s="23" t="s">
        <v>298</v>
      </c>
      <c r="H2268" s="24">
        <v>46147</v>
      </c>
      <c r="I2268" s="24">
        <v>46147</v>
      </c>
      <c r="J2268" s="23" t="s">
        <v>3801</v>
      </c>
      <c r="K2268" s="23" t="s">
        <v>3801</v>
      </c>
      <c r="L2268" s="23">
        <v>1</v>
      </c>
      <c r="M2268" s="23" t="s">
        <v>78</v>
      </c>
      <c r="N2268" s="23" t="s">
        <v>78</v>
      </c>
      <c r="O2268" s="23">
        <v>0.01</v>
      </c>
      <c r="P2268" s="23" t="s">
        <v>79</v>
      </c>
      <c r="Q2268" s="23" t="s">
        <v>83</v>
      </c>
      <c r="R2268" s="23">
        <v>11100189</v>
      </c>
      <c r="S2268" s="24" t="s">
        <v>80</v>
      </c>
      <c r="T2268" s="24">
        <v>46049</v>
      </c>
      <c r="U2268" s="24" t="s">
        <v>80</v>
      </c>
      <c r="X2268" s="24">
        <v>46048</v>
      </c>
      <c r="Y2268" s="23">
        <v>1111</v>
      </c>
      <c r="Z2268" s="23">
        <v>11400811</v>
      </c>
      <c r="AA2268" s="23">
        <v>505103</v>
      </c>
      <c r="AB2268" s="24">
        <v>46049</v>
      </c>
    </row>
    <row r="2269" spans="2:28" x14ac:dyDescent="0.2">
      <c r="B2269" s="23" t="s">
        <v>81</v>
      </c>
      <c r="C2269" s="23">
        <v>1100575026</v>
      </c>
      <c r="H2269" s="24">
        <v>46147</v>
      </c>
      <c r="O2269" s="23">
        <v>5203.25</v>
      </c>
      <c r="P2269" s="23" t="s">
        <v>79</v>
      </c>
    </row>
    <row r="2270" spans="2:28" x14ac:dyDescent="0.2">
      <c r="C2270" s="23">
        <v>1100576412</v>
      </c>
      <c r="E2270" s="23">
        <v>10</v>
      </c>
      <c r="F2270" s="23" t="s">
        <v>1108</v>
      </c>
      <c r="G2270" s="23" t="s">
        <v>1109</v>
      </c>
      <c r="H2270" s="24">
        <v>46147</v>
      </c>
      <c r="I2270" s="24">
        <v>46147</v>
      </c>
      <c r="J2270" s="23" t="s">
        <v>99</v>
      </c>
      <c r="K2270" s="23" t="s">
        <v>99</v>
      </c>
      <c r="L2270" s="23">
        <v>1</v>
      </c>
      <c r="M2270" s="23" t="s">
        <v>78</v>
      </c>
      <c r="N2270" s="23" t="s">
        <v>78</v>
      </c>
      <c r="O2270" s="23">
        <v>2271</v>
      </c>
      <c r="P2270" s="23" t="s">
        <v>79</v>
      </c>
      <c r="Q2270" s="23" t="s">
        <v>83</v>
      </c>
      <c r="R2270" s="23">
        <v>11100176</v>
      </c>
      <c r="S2270" s="24">
        <v>46133</v>
      </c>
      <c r="T2270" s="24">
        <v>46063</v>
      </c>
      <c r="U2270" s="24" t="s">
        <v>80</v>
      </c>
      <c r="X2270" s="24">
        <v>46063</v>
      </c>
      <c r="Y2270" s="23">
        <v>1111</v>
      </c>
      <c r="Z2270" s="23">
        <v>11400789</v>
      </c>
      <c r="AA2270" s="23">
        <v>5051</v>
      </c>
      <c r="AB2270" s="24">
        <v>46063</v>
      </c>
    </row>
    <row r="2271" spans="2:28" x14ac:dyDescent="0.2">
      <c r="B2271" s="23" t="s">
        <v>81</v>
      </c>
      <c r="C2271" s="23">
        <v>1100576412</v>
      </c>
      <c r="H2271" s="24">
        <v>46147</v>
      </c>
      <c r="O2271" s="23">
        <v>2271</v>
      </c>
      <c r="P2271" s="23" t="s">
        <v>79</v>
      </c>
    </row>
    <row r="2272" spans="2:28" x14ac:dyDescent="0.2">
      <c r="C2272" s="23">
        <v>1100576413</v>
      </c>
      <c r="E2272" s="23">
        <v>10</v>
      </c>
      <c r="F2272" s="23" t="s">
        <v>3802</v>
      </c>
      <c r="G2272" s="23" t="s">
        <v>3803</v>
      </c>
      <c r="H2272" s="24">
        <v>46147</v>
      </c>
      <c r="I2272" s="24">
        <v>46147</v>
      </c>
      <c r="J2272" s="23" t="s">
        <v>99</v>
      </c>
      <c r="K2272" s="23" t="s">
        <v>99</v>
      </c>
      <c r="L2272" s="23">
        <v>1</v>
      </c>
      <c r="M2272" s="23" t="s">
        <v>78</v>
      </c>
      <c r="N2272" s="23" t="s">
        <v>78</v>
      </c>
      <c r="O2272" s="23">
        <v>448.24</v>
      </c>
      <c r="P2272" s="23" t="s">
        <v>79</v>
      </c>
      <c r="Q2272" s="23" t="s">
        <v>83</v>
      </c>
      <c r="R2272" s="23">
        <v>11100176</v>
      </c>
      <c r="S2272" s="24">
        <v>46133</v>
      </c>
      <c r="T2272" s="24">
        <v>46063</v>
      </c>
      <c r="U2272" s="24" t="s">
        <v>80</v>
      </c>
      <c r="X2272" s="24">
        <v>46063</v>
      </c>
      <c r="Y2272" s="23">
        <v>1111</v>
      </c>
      <c r="Z2272" s="23">
        <v>11400789</v>
      </c>
      <c r="AA2272" s="23">
        <v>5051</v>
      </c>
      <c r="AB2272" s="24">
        <v>46059</v>
      </c>
    </row>
    <row r="2273" spans="2:28" x14ac:dyDescent="0.2">
      <c r="B2273" s="23" t="s">
        <v>81</v>
      </c>
      <c r="C2273" s="23">
        <v>1100576413</v>
      </c>
      <c r="H2273" s="24">
        <v>46147</v>
      </c>
      <c r="O2273" s="23">
        <v>448.24</v>
      </c>
      <c r="P2273" s="23" t="s">
        <v>79</v>
      </c>
    </row>
    <row r="2274" spans="2:28" x14ac:dyDescent="0.2">
      <c r="C2274" s="23">
        <v>1100577773</v>
      </c>
      <c r="E2274" s="23">
        <v>30</v>
      </c>
      <c r="F2274" s="23" t="s">
        <v>2973</v>
      </c>
      <c r="G2274" s="23" t="s">
        <v>2974</v>
      </c>
      <c r="H2274" s="24">
        <v>46147</v>
      </c>
      <c r="I2274" s="24">
        <v>46147</v>
      </c>
      <c r="J2274" s="23" t="s">
        <v>92</v>
      </c>
      <c r="K2274" s="23" t="s">
        <v>92</v>
      </c>
      <c r="L2274" s="23">
        <v>1</v>
      </c>
      <c r="M2274" s="23" t="s">
        <v>78</v>
      </c>
      <c r="N2274" s="23" t="s">
        <v>78</v>
      </c>
      <c r="O2274" s="23">
        <v>1838.5</v>
      </c>
      <c r="P2274" s="23" t="s">
        <v>79</v>
      </c>
      <c r="Q2274" s="23" t="s">
        <v>83</v>
      </c>
      <c r="R2274" s="23">
        <v>11100176</v>
      </c>
      <c r="S2274" s="24">
        <v>46119</v>
      </c>
      <c r="T2274" s="24">
        <v>46077</v>
      </c>
      <c r="U2274" s="24">
        <v>47116</v>
      </c>
      <c r="X2274" s="24">
        <v>46076</v>
      </c>
      <c r="Y2274" s="23">
        <v>1111</v>
      </c>
      <c r="Z2274" s="23">
        <v>11600001</v>
      </c>
      <c r="AA2274" s="23">
        <v>525103</v>
      </c>
      <c r="AB2274" s="24">
        <v>46076</v>
      </c>
    </row>
    <row r="2275" spans="2:28" x14ac:dyDescent="0.2">
      <c r="B2275" s="23" t="s">
        <v>81</v>
      </c>
      <c r="C2275" s="23">
        <v>1100577773</v>
      </c>
      <c r="H2275" s="24">
        <v>46147</v>
      </c>
      <c r="O2275" s="23">
        <v>1838.5</v>
      </c>
      <c r="P2275" s="23" t="s">
        <v>79</v>
      </c>
    </row>
    <row r="2276" spans="2:28" x14ac:dyDescent="0.2">
      <c r="C2276" s="23">
        <v>1100578172</v>
      </c>
      <c r="E2276" s="23">
        <v>10</v>
      </c>
      <c r="F2276" s="23" t="s">
        <v>3804</v>
      </c>
      <c r="G2276" s="23" t="s">
        <v>3805</v>
      </c>
      <c r="H2276" s="24">
        <v>46147</v>
      </c>
      <c r="I2276" s="24">
        <v>46147</v>
      </c>
      <c r="J2276" s="23" t="s">
        <v>1756</v>
      </c>
      <c r="K2276" s="23" t="s">
        <v>1756</v>
      </c>
      <c r="L2276" s="23">
        <v>3</v>
      </c>
      <c r="M2276" s="23" t="s">
        <v>78</v>
      </c>
      <c r="N2276" s="23" t="s">
        <v>78</v>
      </c>
      <c r="O2276" s="23">
        <v>322.08</v>
      </c>
      <c r="P2276" s="23" t="s">
        <v>79</v>
      </c>
      <c r="Q2276" s="23" t="s">
        <v>83</v>
      </c>
      <c r="R2276" s="23">
        <v>11100176</v>
      </c>
      <c r="S2276" s="24">
        <v>46107</v>
      </c>
      <c r="T2276" s="24">
        <v>46080</v>
      </c>
      <c r="U2276" s="24" t="s">
        <v>80</v>
      </c>
      <c r="X2276" s="24">
        <v>46072</v>
      </c>
      <c r="Y2276" s="23">
        <v>1111</v>
      </c>
      <c r="Z2276" s="23">
        <v>11400606</v>
      </c>
      <c r="AA2276" s="23">
        <v>505103</v>
      </c>
      <c r="AB2276" s="24">
        <v>46072</v>
      </c>
    </row>
    <row r="2277" spans="2:28" x14ac:dyDescent="0.2">
      <c r="C2277" s="23">
        <v>1100578172</v>
      </c>
      <c r="E2277" s="23">
        <v>20</v>
      </c>
      <c r="F2277" s="23" t="s">
        <v>771</v>
      </c>
      <c r="G2277" s="23" t="s">
        <v>772</v>
      </c>
      <c r="H2277" s="24">
        <v>46147</v>
      </c>
      <c r="I2277" s="24">
        <v>46147</v>
      </c>
      <c r="J2277" s="23" t="s">
        <v>1756</v>
      </c>
      <c r="K2277" s="23" t="s">
        <v>1756</v>
      </c>
      <c r="L2277" s="23">
        <v>9</v>
      </c>
      <c r="M2277" s="23" t="s">
        <v>566</v>
      </c>
      <c r="N2277" s="23" t="s">
        <v>566</v>
      </c>
      <c r="O2277" s="23">
        <v>639.54</v>
      </c>
      <c r="P2277" s="23" t="s">
        <v>79</v>
      </c>
      <c r="Q2277" s="23" t="s">
        <v>83</v>
      </c>
      <c r="R2277" s="23">
        <v>11100176</v>
      </c>
      <c r="S2277" s="24">
        <v>46107</v>
      </c>
      <c r="T2277" s="24">
        <v>46080</v>
      </c>
      <c r="U2277" s="24" t="s">
        <v>80</v>
      </c>
      <c r="X2277" s="24">
        <v>46072</v>
      </c>
      <c r="Y2277" s="23">
        <v>1111</v>
      </c>
      <c r="Z2277" s="23">
        <v>11400606</v>
      </c>
      <c r="AA2277" s="23">
        <v>505103</v>
      </c>
      <c r="AB2277" s="24">
        <v>46072</v>
      </c>
    </row>
    <row r="2278" spans="2:28" x14ac:dyDescent="0.2">
      <c r="C2278" s="23">
        <v>1100578172</v>
      </c>
      <c r="E2278" s="23">
        <v>30</v>
      </c>
      <c r="F2278" s="23" t="s">
        <v>3806</v>
      </c>
      <c r="G2278" s="23" t="s">
        <v>3807</v>
      </c>
      <c r="H2278" s="24">
        <v>46147</v>
      </c>
      <c r="I2278" s="24">
        <v>46147</v>
      </c>
      <c r="J2278" s="23" t="s">
        <v>1756</v>
      </c>
      <c r="K2278" s="23" t="s">
        <v>1756</v>
      </c>
      <c r="L2278" s="23">
        <v>6</v>
      </c>
      <c r="M2278" s="23" t="s">
        <v>78</v>
      </c>
      <c r="N2278" s="23" t="s">
        <v>78</v>
      </c>
      <c r="O2278" s="23">
        <v>1653.24</v>
      </c>
      <c r="P2278" s="23" t="s">
        <v>79</v>
      </c>
      <c r="Q2278" s="23" t="s">
        <v>83</v>
      </c>
      <c r="R2278" s="23">
        <v>11100176</v>
      </c>
      <c r="S2278" s="24">
        <v>46107</v>
      </c>
      <c r="T2278" s="24">
        <v>46080</v>
      </c>
      <c r="U2278" s="24" t="s">
        <v>80</v>
      </c>
      <c r="X2278" s="24">
        <v>46072</v>
      </c>
      <c r="Y2278" s="23">
        <v>1111</v>
      </c>
      <c r="Z2278" s="23">
        <v>11400606</v>
      </c>
      <c r="AA2278" s="23">
        <v>505103</v>
      </c>
      <c r="AB2278" s="24">
        <v>46072</v>
      </c>
    </row>
    <row r="2279" spans="2:28" x14ac:dyDescent="0.2">
      <c r="B2279" s="23" t="s">
        <v>81</v>
      </c>
      <c r="C2279" s="23">
        <v>1100578172</v>
      </c>
      <c r="H2279" s="24">
        <v>46147</v>
      </c>
      <c r="O2279" s="23">
        <v>2614.86</v>
      </c>
      <c r="P2279" s="23" t="s">
        <v>79</v>
      </c>
    </row>
    <row r="2280" spans="2:28" x14ac:dyDescent="0.2">
      <c r="C2280" s="23">
        <v>1100573625</v>
      </c>
      <c r="E2280" s="23">
        <v>10</v>
      </c>
      <c r="F2280" s="23" t="s">
        <v>739</v>
      </c>
      <c r="G2280" s="23" t="s">
        <v>740</v>
      </c>
      <c r="H2280" s="24">
        <v>46149</v>
      </c>
      <c r="I2280" s="24">
        <v>46149</v>
      </c>
      <c r="J2280" s="23" t="s">
        <v>3808</v>
      </c>
      <c r="K2280" s="23" t="s">
        <v>3808</v>
      </c>
      <c r="L2280" s="23">
        <v>3</v>
      </c>
      <c r="M2280" s="23" t="s">
        <v>78</v>
      </c>
      <c r="N2280" s="23" t="s">
        <v>78</v>
      </c>
      <c r="O2280" s="23">
        <v>111.84</v>
      </c>
      <c r="P2280" s="23" t="s">
        <v>79</v>
      </c>
      <c r="Q2280" s="23" t="s">
        <v>83</v>
      </c>
      <c r="R2280" s="23">
        <v>11100176</v>
      </c>
      <c r="S2280" s="24">
        <v>46099</v>
      </c>
      <c r="T2280" s="24">
        <v>46035</v>
      </c>
      <c r="U2280" s="24">
        <v>47116</v>
      </c>
      <c r="X2280" s="24">
        <v>46001</v>
      </c>
      <c r="Y2280" s="23">
        <v>1111</v>
      </c>
      <c r="Z2280" s="23">
        <v>11400704</v>
      </c>
      <c r="AA2280" s="23">
        <v>515103</v>
      </c>
      <c r="AB2280" s="24">
        <v>46009</v>
      </c>
    </row>
    <row r="2281" spans="2:28" x14ac:dyDescent="0.2">
      <c r="C2281" s="23">
        <v>1100573625</v>
      </c>
      <c r="E2281" s="23">
        <v>20</v>
      </c>
      <c r="F2281" s="23" t="s">
        <v>672</v>
      </c>
      <c r="G2281" s="23" t="s">
        <v>1782</v>
      </c>
      <c r="H2281" s="24">
        <v>46149</v>
      </c>
      <c r="I2281" s="24">
        <v>46149</v>
      </c>
      <c r="J2281" s="23" t="s">
        <v>3808</v>
      </c>
      <c r="K2281" s="23" t="s">
        <v>3808</v>
      </c>
      <c r="L2281" s="23">
        <v>3</v>
      </c>
      <c r="M2281" s="23" t="s">
        <v>78</v>
      </c>
      <c r="N2281" s="23" t="s">
        <v>78</v>
      </c>
      <c r="O2281" s="23">
        <v>516.45000000000005</v>
      </c>
      <c r="P2281" s="23" t="s">
        <v>79</v>
      </c>
      <c r="Q2281" s="23" t="s">
        <v>83</v>
      </c>
      <c r="R2281" s="23">
        <v>11100176</v>
      </c>
      <c r="S2281" s="24">
        <v>46099</v>
      </c>
      <c r="T2281" s="24">
        <v>46035</v>
      </c>
      <c r="U2281" s="24">
        <v>47116</v>
      </c>
      <c r="X2281" s="24">
        <v>46001</v>
      </c>
      <c r="Y2281" s="23">
        <v>1111</v>
      </c>
      <c r="Z2281" s="23">
        <v>11400704</v>
      </c>
      <c r="AA2281" s="23">
        <v>515103</v>
      </c>
      <c r="AB2281" s="24">
        <v>46009</v>
      </c>
    </row>
    <row r="2282" spans="2:28" x14ac:dyDescent="0.2">
      <c r="C2282" s="23">
        <v>1100573625</v>
      </c>
      <c r="E2282" s="23">
        <v>30</v>
      </c>
      <c r="F2282" s="23" t="s">
        <v>1737</v>
      </c>
      <c r="G2282" s="23" t="s">
        <v>1738</v>
      </c>
      <c r="H2282" s="24">
        <v>46149</v>
      </c>
      <c r="I2282" s="24">
        <v>46149</v>
      </c>
      <c r="J2282" s="23" t="s">
        <v>3808</v>
      </c>
      <c r="K2282" s="23" t="s">
        <v>3808</v>
      </c>
      <c r="L2282" s="23">
        <v>3</v>
      </c>
      <c r="M2282" s="23" t="s">
        <v>78</v>
      </c>
      <c r="N2282" s="23" t="s">
        <v>78</v>
      </c>
      <c r="O2282" s="23">
        <v>23.04</v>
      </c>
      <c r="P2282" s="23" t="s">
        <v>79</v>
      </c>
      <c r="Q2282" s="23" t="s">
        <v>83</v>
      </c>
      <c r="R2282" s="23">
        <v>11100176</v>
      </c>
      <c r="S2282" s="24">
        <v>46099</v>
      </c>
      <c r="T2282" s="24">
        <v>46035</v>
      </c>
      <c r="U2282" s="24">
        <v>47116</v>
      </c>
      <c r="X2282" s="24">
        <v>46001</v>
      </c>
      <c r="Y2282" s="23">
        <v>1111</v>
      </c>
      <c r="Z2282" s="23">
        <v>11400704</v>
      </c>
      <c r="AA2282" s="23">
        <v>515103</v>
      </c>
      <c r="AB2282" s="24">
        <v>46009</v>
      </c>
    </row>
    <row r="2283" spans="2:28" x14ac:dyDescent="0.2">
      <c r="C2283" s="23">
        <v>1100573625</v>
      </c>
      <c r="E2283" s="23">
        <v>40</v>
      </c>
      <c r="F2283" s="23" t="s">
        <v>769</v>
      </c>
      <c r="G2283" s="23" t="s">
        <v>770</v>
      </c>
      <c r="H2283" s="24">
        <v>46149</v>
      </c>
      <c r="I2283" s="24">
        <v>46149</v>
      </c>
      <c r="J2283" s="23" t="s">
        <v>3808</v>
      </c>
      <c r="K2283" s="23" t="s">
        <v>3808</v>
      </c>
      <c r="L2283" s="23">
        <v>3</v>
      </c>
      <c r="M2283" s="23" t="s">
        <v>78</v>
      </c>
      <c r="N2283" s="23" t="s">
        <v>78</v>
      </c>
      <c r="O2283" s="23">
        <v>136.19999999999999</v>
      </c>
      <c r="P2283" s="23" t="s">
        <v>79</v>
      </c>
      <c r="Q2283" s="23" t="s">
        <v>83</v>
      </c>
      <c r="R2283" s="23">
        <v>11100176</v>
      </c>
      <c r="S2283" s="24">
        <v>46099</v>
      </c>
      <c r="T2283" s="24">
        <v>46035</v>
      </c>
      <c r="U2283" s="24">
        <v>47116</v>
      </c>
      <c r="X2283" s="24">
        <v>46001</v>
      </c>
      <c r="Y2283" s="23">
        <v>1111</v>
      </c>
      <c r="Z2283" s="23">
        <v>11400704</v>
      </c>
      <c r="AA2283" s="23">
        <v>515103</v>
      </c>
      <c r="AB2283" s="24">
        <v>46009</v>
      </c>
    </row>
    <row r="2284" spans="2:28" x14ac:dyDescent="0.2">
      <c r="C2284" s="23">
        <v>1100573625</v>
      </c>
      <c r="E2284" s="23">
        <v>50</v>
      </c>
      <c r="F2284" s="23" t="s">
        <v>800</v>
      </c>
      <c r="G2284" s="23" t="s">
        <v>801</v>
      </c>
      <c r="H2284" s="24">
        <v>46149</v>
      </c>
      <c r="I2284" s="24">
        <v>46149</v>
      </c>
      <c r="J2284" s="23" t="s">
        <v>3808</v>
      </c>
      <c r="K2284" s="23" t="s">
        <v>3808</v>
      </c>
      <c r="L2284" s="23">
        <v>3</v>
      </c>
      <c r="M2284" s="23" t="s">
        <v>78</v>
      </c>
      <c r="N2284" s="23" t="s">
        <v>78</v>
      </c>
      <c r="O2284" s="23">
        <v>29.61</v>
      </c>
      <c r="P2284" s="23" t="s">
        <v>79</v>
      </c>
      <c r="Q2284" s="23" t="s">
        <v>83</v>
      </c>
      <c r="R2284" s="23">
        <v>11100176</v>
      </c>
      <c r="S2284" s="24">
        <v>46099</v>
      </c>
      <c r="T2284" s="24">
        <v>46035</v>
      </c>
      <c r="U2284" s="24">
        <v>47116</v>
      </c>
      <c r="X2284" s="24">
        <v>46001</v>
      </c>
      <c r="Y2284" s="23">
        <v>1111</v>
      </c>
      <c r="Z2284" s="23">
        <v>11400704</v>
      </c>
      <c r="AA2284" s="23">
        <v>515103</v>
      </c>
      <c r="AB2284" s="24">
        <v>46009</v>
      </c>
    </row>
    <row r="2285" spans="2:28" x14ac:dyDescent="0.2">
      <c r="C2285" s="23">
        <v>1100573625</v>
      </c>
      <c r="E2285" s="23">
        <v>60</v>
      </c>
      <c r="F2285" s="23" t="s">
        <v>835</v>
      </c>
      <c r="G2285" s="23" t="s">
        <v>836</v>
      </c>
      <c r="H2285" s="24">
        <v>46149</v>
      </c>
      <c r="I2285" s="24">
        <v>46149</v>
      </c>
      <c r="J2285" s="23" t="s">
        <v>3808</v>
      </c>
      <c r="K2285" s="23" t="s">
        <v>3808</v>
      </c>
      <c r="L2285" s="23">
        <v>3</v>
      </c>
      <c r="M2285" s="23" t="s">
        <v>78</v>
      </c>
      <c r="N2285" s="23" t="s">
        <v>78</v>
      </c>
      <c r="O2285" s="23">
        <v>378.3</v>
      </c>
      <c r="P2285" s="23" t="s">
        <v>79</v>
      </c>
      <c r="Q2285" s="23" t="s">
        <v>83</v>
      </c>
      <c r="R2285" s="23">
        <v>11100176</v>
      </c>
      <c r="S2285" s="24">
        <v>46099</v>
      </c>
      <c r="T2285" s="24">
        <v>46035</v>
      </c>
      <c r="U2285" s="24">
        <v>47116</v>
      </c>
      <c r="X2285" s="24">
        <v>46001</v>
      </c>
      <c r="Y2285" s="23">
        <v>1111</v>
      </c>
      <c r="Z2285" s="23">
        <v>11400704</v>
      </c>
      <c r="AA2285" s="23">
        <v>515103</v>
      </c>
      <c r="AB2285" s="24">
        <v>46009</v>
      </c>
    </row>
    <row r="2286" spans="2:28" x14ac:dyDescent="0.2">
      <c r="C2286" s="23">
        <v>1100573625</v>
      </c>
      <c r="E2286" s="23">
        <v>70</v>
      </c>
      <c r="F2286" s="23" t="s">
        <v>658</v>
      </c>
      <c r="G2286" s="23" t="s">
        <v>1735</v>
      </c>
      <c r="H2286" s="24">
        <v>46149</v>
      </c>
      <c r="I2286" s="24">
        <v>46149</v>
      </c>
      <c r="J2286" s="23" t="s">
        <v>3808</v>
      </c>
      <c r="K2286" s="23" t="s">
        <v>3808</v>
      </c>
      <c r="L2286" s="23">
        <v>2</v>
      </c>
      <c r="M2286" s="23" t="s">
        <v>78</v>
      </c>
      <c r="N2286" s="23" t="s">
        <v>78</v>
      </c>
      <c r="O2286" s="23">
        <v>313.60000000000002</v>
      </c>
      <c r="P2286" s="23" t="s">
        <v>79</v>
      </c>
      <c r="Q2286" s="23" t="s">
        <v>83</v>
      </c>
      <c r="R2286" s="23">
        <v>11100176</v>
      </c>
      <c r="S2286" s="24">
        <v>46099</v>
      </c>
      <c r="T2286" s="24">
        <v>46035</v>
      </c>
      <c r="U2286" s="24">
        <v>47116</v>
      </c>
      <c r="X2286" s="24">
        <v>46001</v>
      </c>
      <c r="Y2286" s="23">
        <v>1111</v>
      </c>
      <c r="Z2286" s="23">
        <v>11400704</v>
      </c>
      <c r="AA2286" s="23">
        <v>515103</v>
      </c>
      <c r="AB2286" s="24">
        <v>46009</v>
      </c>
    </row>
    <row r="2287" spans="2:28" x14ac:dyDescent="0.2">
      <c r="C2287" s="23">
        <v>1100573625</v>
      </c>
      <c r="E2287" s="23">
        <v>80</v>
      </c>
      <c r="F2287" s="23" t="s">
        <v>702</v>
      </c>
      <c r="G2287" s="23" t="s">
        <v>1797</v>
      </c>
      <c r="H2287" s="24">
        <v>46149</v>
      </c>
      <c r="I2287" s="24">
        <v>46149</v>
      </c>
      <c r="J2287" s="23" t="s">
        <v>3808</v>
      </c>
      <c r="K2287" s="23" t="s">
        <v>3808</v>
      </c>
      <c r="L2287" s="23">
        <v>2</v>
      </c>
      <c r="M2287" s="23" t="s">
        <v>78</v>
      </c>
      <c r="N2287" s="23" t="s">
        <v>78</v>
      </c>
      <c r="O2287" s="23">
        <v>256.58</v>
      </c>
      <c r="P2287" s="23" t="s">
        <v>79</v>
      </c>
      <c r="Q2287" s="23" t="s">
        <v>83</v>
      </c>
      <c r="R2287" s="23">
        <v>11100176</v>
      </c>
      <c r="S2287" s="24">
        <v>46099</v>
      </c>
      <c r="T2287" s="24">
        <v>46035</v>
      </c>
      <c r="U2287" s="24">
        <v>47116</v>
      </c>
      <c r="X2287" s="24">
        <v>46001</v>
      </c>
      <c r="Y2287" s="23">
        <v>1111</v>
      </c>
      <c r="Z2287" s="23">
        <v>11400704</v>
      </c>
      <c r="AA2287" s="23">
        <v>515103</v>
      </c>
      <c r="AB2287" s="24">
        <v>46009</v>
      </c>
    </row>
    <row r="2288" spans="2:28" x14ac:dyDescent="0.2">
      <c r="C2288" s="23">
        <v>1100573625</v>
      </c>
      <c r="E2288" s="23">
        <v>90</v>
      </c>
      <c r="F2288" s="23" t="s">
        <v>701</v>
      </c>
      <c r="G2288" s="23" t="s">
        <v>1799</v>
      </c>
      <c r="H2288" s="24">
        <v>46149</v>
      </c>
      <c r="I2288" s="24">
        <v>46149</v>
      </c>
      <c r="J2288" s="23" t="s">
        <v>3808</v>
      </c>
      <c r="K2288" s="23" t="s">
        <v>3808</v>
      </c>
      <c r="L2288" s="23">
        <v>2</v>
      </c>
      <c r="M2288" s="23" t="s">
        <v>78</v>
      </c>
      <c r="N2288" s="23" t="s">
        <v>78</v>
      </c>
      <c r="O2288" s="23">
        <v>256.58</v>
      </c>
      <c r="P2288" s="23" t="s">
        <v>79</v>
      </c>
      <c r="Q2288" s="23" t="s">
        <v>83</v>
      </c>
      <c r="R2288" s="23">
        <v>11100176</v>
      </c>
      <c r="S2288" s="24">
        <v>46099</v>
      </c>
      <c r="T2288" s="24">
        <v>46035</v>
      </c>
      <c r="U2288" s="24">
        <v>47116</v>
      </c>
      <c r="X2288" s="24">
        <v>46001</v>
      </c>
      <c r="Y2288" s="23">
        <v>1111</v>
      </c>
      <c r="Z2288" s="23">
        <v>11400704</v>
      </c>
      <c r="AA2288" s="23">
        <v>515103</v>
      </c>
      <c r="AB2288" s="24">
        <v>46009</v>
      </c>
    </row>
    <row r="2289" spans="2:28" x14ac:dyDescent="0.2">
      <c r="B2289" s="23" t="s">
        <v>81</v>
      </c>
      <c r="C2289" s="23">
        <v>1100573625</v>
      </c>
      <c r="H2289" s="24">
        <v>46149</v>
      </c>
      <c r="O2289" s="23">
        <v>2022.2</v>
      </c>
      <c r="P2289" s="23" t="s">
        <v>79</v>
      </c>
    </row>
    <row r="2290" spans="2:28" x14ac:dyDescent="0.2">
      <c r="C2290" s="23">
        <v>1100574401</v>
      </c>
      <c r="E2290" s="23">
        <v>10</v>
      </c>
      <c r="F2290" s="23" t="s">
        <v>1754</v>
      </c>
      <c r="G2290" s="23" t="s">
        <v>1755</v>
      </c>
      <c r="H2290" s="24">
        <v>46149</v>
      </c>
      <c r="I2290" s="24">
        <v>46149</v>
      </c>
      <c r="J2290" s="23" t="s">
        <v>736</v>
      </c>
      <c r="K2290" s="23" t="s">
        <v>736</v>
      </c>
      <c r="L2290" s="23">
        <v>1</v>
      </c>
      <c r="M2290" s="23" t="s">
        <v>78</v>
      </c>
      <c r="N2290" s="23" t="s">
        <v>78</v>
      </c>
      <c r="O2290" s="23">
        <v>8837.7900000000009</v>
      </c>
      <c r="P2290" s="23" t="s">
        <v>79</v>
      </c>
      <c r="Q2290" s="23" t="s">
        <v>83</v>
      </c>
      <c r="R2290" s="23">
        <v>11100176</v>
      </c>
      <c r="S2290" s="24">
        <v>46085</v>
      </c>
      <c r="T2290" s="24">
        <v>46044</v>
      </c>
      <c r="U2290" s="24" t="s">
        <v>80</v>
      </c>
      <c r="X2290" s="24">
        <v>46042</v>
      </c>
      <c r="Y2290" s="23">
        <v>1111</v>
      </c>
      <c r="Z2290" s="23">
        <v>11400811</v>
      </c>
      <c r="AA2290" s="23">
        <v>395103</v>
      </c>
      <c r="AB2290" s="24">
        <v>46042</v>
      </c>
    </row>
    <row r="2291" spans="2:28" x14ac:dyDescent="0.2">
      <c r="C2291" s="23">
        <v>1100574401</v>
      </c>
      <c r="E2291" s="23">
        <v>20</v>
      </c>
      <c r="F2291" s="23" t="s">
        <v>82</v>
      </c>
      <c r="G2291" s="23" t="s">
        <v>139</v>
      </c>
      <c r="H2291" s="24">
        <v>46149</v>
      </c>
      <c r="I2291" s="24">
        <v>46149</v>
      </c>
      <c r="J2291" s="23" t="s">
        <v>736</v>
      </c>
      <c r="K2291" s="23" t="s">
        <v>736</v>
      </c>
      <c r="L2291" s="23">
        <v>1</v>
      </c>
      <c r="M2291" s="23" t="s">
        <v>78</v>
      </c>
      <c r="N2291" s="23" t="s">
        <v>78</v>
      </c>
      <c r="O2291" s="23">
        <v>0.01</v>
      </c>
      <c r="P2291" s="23" t="s">
        <v>79</v>
      </c>
      <c r="Q2291" s="23" t="s">
        <v>83</v>
      </c>
      <c r="R2291" s="23">
        <v>11100176</v>
      </c>
      <c r="S2291" s="24" t="s">
        <v>80</v>
      </c>
      <c r="T2291" s="24">
        <v>46044</v>
      </c>
      <c r="U2291" s="24" t="s">
        <v>80</v>
      </c>
      <c r="X2291" s="24">
        <v>46042</v>
      </c>
      <c r="Y2291" s="23">
        <v>1111</v>
      </c>
      <c r="Z2291" s="23">
        <v>11400811</v>
      </c>
      <c r="AA2291" s="23">
        <v>395103</v>
      </c>
      <c r="AB2291" s="24">
        <v>46042</v>
      </c>
    </row>
    <row r="2292" spans="2:28" x14ac:dyDescent="0.2">
      <c r="B2292" s="23" t="s">
        <v>81</v>
      </c>
      <c r="C2292" s="23">
        <v>1100574401</v>
      </c>
      <c r="H2292" s="24">
        <v>46149</v>
      </c>
      <c r="O2292" s="23">
        <v>8837.7999999999993</v>
      </c>
      <c r="P2292" s="23" t="s">
        <v>79</v>
      </c>
    </row>
    <row r="2293" spans="2:28" x14ac:dyDescent="0.2">
      <c r="C2293" s="23">
        <v>1100574865</v>
      </c>
      <c r="E2293" s="23">
        <v>10</v>
      </c>
      <c r="F2293" s="23" t="s">
        <v>769</v>
      </c>
      <c r="G2293" s="23" t="s">
        <v>770</v>
      </c>
      <c r="H2293" s="24">
        <v>46149</v>
      </c>
      <c r="I2293" s="24">
        <v>46149</v>
      </c>
      <c r="J2293" s="23" t="s">
        <v>685</v>
      </c>
      <c r="K2293" s="23" t="s">
        <v>685</v>
      </c>
      <c r="L2293" s="23">
        <v>4</v>
      </c>
      <c r="M2293" s="23" t="s">
        <v>78</v>
      </c>
      <c r="N2293" s="23" t="s">
        <v>78</v>
      </c>
      <c r="O2293" s="23">
        <v>181.6</v>
      </c>
      <c r="P2293" s="23" t="s">
        <v>79</v>
      </c>
      <c r="Q2293" s="23" t="s">
        <v>83</v>
      </c>
      <c r="R2293" s="23">
        <v>11100176</v>
      </c>
      <c r="S2293" s="24">
        <v>46055</v>
      </c>
      <c r="T2293" s="24">
        <v>46048</v>
      </c>
      <c r="U2293" s="24">
        <v>47116</v>
      </c>
      <c r="X2293" s="24">
        <v>46045</v>
      </c>
      <c r="Y2293" s="23">
        <v>1111</v>
      </c>
      <c r="Z2293" s="23">
        <v>11400745</v>
      </c>
      <c r="AA2293" s="23">
        <v>505103</v>
      </c>
      <c r="AB2293" s="24">
        <v>46045</v>
      </c>
    </row>
    <row r="2294" spans="2:28" x14ac:dyDescent="0.2">
      <c r="B2294" s="23" t="s">
        <v>81</v>
      </c>
      <c r="C2294" s="23">
        <v>1100574865</v>
      </c>
      <c r="H2294" s="24">
        <v>46149</v>
      </c>
      <c r="O2294" s="23">
        <v>181.6</v>
      </c>
      <c r="P2294" s="23" t="s">
        <v>79</v>
      </c>
    </row>
    <row r="2295" spans="2:28" x14ac:dyDescent="0.2">
      <c r="C2295" s="23">
        <v>1100575152</v>
      </c>
      <c r="E2295" s="23">
        <v>10</v>
      </c>
      <c r="F2295" s="23" t="s">
        <v>3809</v>
      </c>
      <c r="G2295" s="23" t="s">
        <v>3810</v>
      </c>
      <c r="H2295" s="24">
        <v>46149</v>
      </c>
      <c r="I2295" s="24">
        <v>46149</v>
      </c>
      <c r="J2295" s="23" t="s">
        <v>3811</v>
      </c>
      <c r="K2295" s="23" t="s">
        <v>3811</v>
      </c>
      <c r="L2295" s="23">
        <v>1</v>
      </c>
      <c r="M2295" s="23" t="s">
        <v>78</v>
      </c>
      <c r="N2295" s="23" t="s">
        <v>78</v>
      </c>
      <c r="O2295" s="23">
        <v>1811.52</v>
      </c>
      <c r="P2295" s="23" t="s">
        <v>79</v>
      </c>
      <c r="Q2295" s="23" t="s">
        <v>83</v>
      </c>
      <c r="R2295" s="23">
        <v>11100176</v>
      </c>
      <c r="S2295" s="24">
        <v>46092</v>
      </c>
      <c r="T2295" s="24">
        <v>46050</v>
      </c>
      <c r="U2295" s="24">
        <v>47116</v>
      </c>
      <c r="X2295" s="24">
        <v>46049</v>
      </c>
      <c r="Y2295" s="23">
        <v>1111</v>
      </c>
      <c r="Z2295" s="23">
        <v>11400797</v>
      </c>
      <c r="AA2295" s="23">
        <v>5051</v>
      </c>
      <c r="AB2295" s="24">
        <v>46037</v>
      </c>
    </row>
    <row r="2296" spans="2:28" x14ac:dyDescent="0.2">
      <c r="C2296" s="23">
        <v>1100575152</v>
      </c>
      <c r="E2296" s="23">
        <v>20</v>
      </c>
      <c r="F2296" s="23" t="s">
        <v>1085</v>
      </c>
      <c r="G2296" s="23" t="s">
        <v>1086</v>
      </c>
      <c r="H2296" s="24">
        <v>46149</v>
      </c>
      <c r="I2296" s="24">
        <v>46149</v>
      </c>
      <c r="J2296" s="23" t="s">
        <v>3811</v>
      </c>
      <c r="K2296" s="23" t="s">
        <v>3811</v>
      </c>
      <c r="L2296" s="23">
        <v>1</v>
      </c>
      <c r="M2296" s="23" t="s">
        <v>78</v>
      </c>
      <c r="N2296" s="23" t="s">
        <v>78</v>
      </c>
      <c r="O2296" s="23">
        <v>4197.83</v>
      </c>
      <c r="P2296" s="23" t="s">
        <v>79</v>
      </c>
      <c r="Q2296" s="23" t="s">
        <v>83</v>
      </c>
      <c r="R2296" s="23">
        <v>11100176</v>
      </c>
      <c r="S2296" s="24">
        <v>46092</v>
      </c>
      <c r="T2296" s="24">
        <v>46050</v>
      </c>
      <c r="U2296" s="24">
        <v>47116</v>
      </c>
      <c r="X2296" s="24">
        <v>46049</v>
      </c>
      <c r="Y2296" s="23">
        <v>1111</v>
      </c>
      <c r="Z2296" s="23">
        <v>11400797</v>
      </c>
      <c r="AA2296" s="23">
        <v>5051</v>
      </c>
      <c r="AB2296" s="24">
        <v>46037</v>
      </c>
    </row>
    <row r="2297" spans="2:28" x14ac:dyDescent="0.2">
      <c r="B2297" s="23" t="s">
        <v>81</v>
      </c>
      <c r="C2297" s="23">
        <v>1100575152</v>
      </c>
      <c r="H2297" s="24">
        <v>46149</v>
      </c>
      <c r="O2297" s="23">
        <v>6009.35</v>
      </c>
      <c r="P2297" s="23" t="s">
        <v>79</v>
      </c>
    </row>
    <row r="2298" spans="2:28" x14ac:dyDescent="0.2">
      <c r="C2298" s="23">
        <v>1100576609</v>
      </c>
      <c r="E2298" s="23">
        <v>10</v>
      </c>
      <c r="F2298" s="23" t="s">
        <v>3812</v>
      </c>
      <c r="G2298" s="23" t="s">
        <v>3813</v>
      </c>
      <c r="H2298" s="24">
        <v>46149</v>
      </c>
      <c r="I2298" s="24">
        <v>46149</v>
      </c>
      <c r="J2298" s="23" t="s">
        <v>242</v>
      </c>
      <c r="K2298" s="23" t="s">
        <v>242</v>
      </c>
      <c r="L2298" s="23">
        <v>4</v>
      </c>
      <c r="M2298" s="23" t="s">
        <v>78</v>
      </c>
      <c r="N2298" s="23" t="s">
        <v>78</v>
      </c>
      <c r="O2298" s="23">
        <v>6169.6</v>
      </c>
      <c r="P2298" s="23" t="s">
        <v>79</v>
      </c>
      <c r="Q2298" s="23" t="s">
        <v>83</v>
      </c>
      <c r="R2298" s="23">
        <v>11100176</v>
      </c>
      <c r="S2298" s="24">
        <v>46149</v>
      </c>
      <c r="T2298" s="24">
        <v>46065</v>
      </c>
      <c r="U2298" s="24" t="s">
        <v>80</v>
      </c>
      <c r="X2298" s="24">
        <v>46063</v>
      </c>
      <c r="Y2298" s="23">
        <v>1111</v>
      </c>
      <c r="Z2298" s="23">
        <v>11600003</v>
      </c>
      <c r="AA2298" s="23">
        <v>5051</v>
      </c>
      <c r="AB2298" s="24">
        <v>46057</v>
      </c>
    </row>
    <row r="2299" spans="2:28" x14ac:dyDescent="0.2">
      <c r="C2299" s="23">
        <v>1100576609</v>
      </c>
      <c r="E2299" s="23">
        <v>20</v>
      </c>
      <c r="F2299" s="23" t="s">
        <v>82</v>
      </c>
      <c r="G2299" s="23" t="s">
        <v>139</v>
      </c>
      <c r="H2299" s="24">
        <v>46149</v>
      </c>
      <c r="I2299" s="24">
        <v>46149</v>
      </c>
      <c r="J2299" s="23" t="s">
        <v>242</v>
      </c>
      <c r="K2299" s="23" t="s">
        <v>242</v>
      </c>
      <c r="L2299" s="23">
        <v>1</v>
      </c>
      <c r="M2299" s="23" t="s">
        <v>78</v>
      </c>
      <c r="N2299" s="23" t="s">
        <v>78</v>
      </c>
      <c r="O2299" s="23">
        <v>0.01</v>
      </c>
      <c r="P2299" s="23" t="s">
        <v>79</v>
      </c>
      <c r="Q2299" s="23" t="s">
        <v>83</v>
      </c>
      <c r="R2299" s="23">
        <v>11100176</v>
      </c>
      <c r="S2299" s="24">
        <v>46149</v>
      </c>
      <c r="T2299" s="24">
        <v>46065</v>
      </c>
      <c r="U2299" s="24" t="s">
        <v>80</v>
      </c>
      <c r="X2299" s="24">
        <v>46063</v>
      </c>
      <c r="Y2299" s="23">
        <v>1111</v>
      </c>
      <c r="Z2299" s="23">
        <v>11600003</v>
      </c>
      <c r="AA2299" s="23">
        <v>5051</v>
      </c>
      <c r="AB2299" s="24">
        <v>46057</v>
      </c>
    </row>
    <row r="2300" spans="2:28" x14ac:dyDescent="0.2">
      <c r="B2300" s="23" t="s">
        <v>81</v>
      </c>
      <c r="C2300" s="23">
        <v>1100576609</v>
      </c>
      <c r="H2300" s="24">
        <v>46149</v>
      </c>
      <c r="O2300" s="23">
        <v>6169.61</v>
      </c>
      <c r="P2300" s="23" t="s">
        <v>79</v>
      </c>
    </row>
    <row r="2301" spans="2:28" x14ac:dyDescent="0.2">
      <c r="C2301" s="23">
        <v>1100576730</v>
      </c>
      <c r="E2301" s="23">
        <v>20</v>
      </c>
      <c r="F2301" s="23" t="s">
        <v>3814</v>
      </c>
      <c r="G2301" s="23" t="s">
        <v>3815</v>
      </c>
      <c r="H2301" s="24">
        <v>46149</v>
      </c>
      <c r="I2301" s="24">
        <v>46149</v>
      </c>
      <c r="J2301" s="23" t="s">
        <v>1254</v>
      </c>
      <c r="K2301" s="23" t="s">
        <v>1254</v>
      </c>
      <c r="L2301" s="23">
        <v>1</v>
      </c>
      <c r="M2301" s="23" t="s">
        <v>566</v>
      </c>
      <c r="N2301" s="23" t="s">
        <v>566</v>
      </c>
      <c r="O2301" s="23">
        <v>2441.91</v>
      </c>
      <c r="P2301" s="23" t="s">
        <v>79</v>
      </c>
      <c r="Q2301" s="23" t="s">
        <v>83</v>
      </c>
      <c r="R2301" s="23">
        <v>11100176</v>
      </c>
      <c r="S2301" s="24">
        <v>46149</v>
      </c>
      <c r="T2301" s="24">
        <v>46065</v>
      </c>
      <c r="U2301" s="24">
        <v>46149</v>
      </c>
      <c r="X2301" s="24">
        <v>46065</v>
      </c>
      <c r="Y2301" s="23">
        <v>1111</v>
      </c>
      <c r="Z2301" s="23">
        <v>11400811</v>
      </c>
      <c r="AA2301" s="23">
        <v>335103</v>
      </c>
      <c r="AB2301" s="24">
        <v>46065</v>
      </c>
    </row>
    <row r="2302" spans="2:28" x14ac:dyDescent="0.2">
      <c r="B2302" s="23" t="s">
        <v>81</v>
      </c>
      <c r="C2302" s="23">
        <v>1100576730</v>
      </c>
      <c r="H2302" s="24">
        <v>46149</v>
      </c>
      <c r="O2302" s="23">
        <v>2441.91</v>
      </c>
      <c r="P2302" s="23" t="s">
        <v>79</v>
      </c>
    </row>
    <row r="2303" spans="2:28" x14ac:dyDescent="0.2">
      <c r="C2303" s="23">
        <v>1100577469</v>
      </c>
      <c r="E2303" s="23">
        <v>40</v>
      </c>
      <c r="F2303" s="23" t="s">
        <v>769</v>
      </c>
      <c r="G2303" s="23" t="s">
        <v>770</v>
      </c>
      <c r="H2303" s="24">
        <v>46149</v>
      </c>
      <c r="I2303" s="24">
        <v>46149</v>
      </c>
      <c r="J2303" s="23" t="s">
        <v>3816</v>
      </c>
      <c r="K2303" s="23" t="s">
        <v>3816</v>
      </c>
      <c r="L2303" s="23">
        <v>1</v>
      </c>
      <c r="M2303" s="23" t="s">
        <v>78</v>
      </c>
      <c r="N2303" s="23" t="s">
        <v>78</v>
      </c>
      <c r="O2303" s="23">
        <v>45.4</v>
      </c>
      <c r="P2303" s="23" t="s">
        <v>79</v>
      </c>
      <c r="Q2303" s="23" t="s">
        <v>83</v>
      </c>
      <c r="R2303" s="23">
        <v>11100176</v>
      </c>
      <c r="S2303" s="24">
        <v>46080</v>
      </c>
      <c r="T2303" s="24">
        <v>46074</v>
      </c>
      <c r="U2303" s="24">
        <v>46083</v>
      </c>
      <c r="V2303" s="23">
        <v>6</v>
      </c>
      <c r="X2303" s="24">
        <v>46070</v>
      </c>
      <c r="Y2303" s="23">
        <v>1111</v>
      </c>
      <c r="Z2303" s="23">
        <v>11400937</v>
      </c>
      <c r="AA2303" s="23">
        <v>505103</v>
      </c>
      <c r="AB2303" s="24">
        <v>46071</v>
      </c>
    </row>
    <row r="2304" spans="2:28" x14ac:dyDescent="0.2">
      <c r="B2304" s="23" t="s">
        <v>81</v>
      </c>
      <c r="C2304" s="23">
        <v>1100577469</v>
      </c>
      <c r="H2304" s="24">
        <v>46149</v>
      </c>
      <c r="O2304" s="23">
        <v>45.4</v>
      </c>
      <c r="P2304" s="23" t="s">
        <v>79</v>
      </c>
    </row>
    <row r="2305" spans="2:28" x14ac:dyDescent="0.2">
      <c r="C2305" s="23">
        <v>1100577811</v>
      </c>
      <c r="E2305" s="23">
        <v>10</v>
      </c>
      <c r="F2305" s="23" t="s">
        <v>3817</v>
      </c>
      <c r="G2305" s="23" t="s">
        <v>3818</v>
      </c>
      <c r="H2305" s="24">
        <v>46149</v>
      </c>
      <c r="I2305" s="24">
        <v>46149</v>
      </c>
      <c r="J2305" s="23" t="s">
        <v>91</v>
      </c>
      <c r="K2305" s="23" t="s">
        <v>91</v>
      </c>
      <c r="L2305" s="23">
        <v>1</v>
      </c>
      <c r="M2305" s="23" t="s">
        <v>78</v>
      </c>
      <c r="N2305" s="23" t="s">
        <v>78</v>
      </c>
      <c r="O2305" s="23">
        <v>1346.09</v>
      </c>
      <c r="P2305" s="23" t="s">
        <v>79</v>
      </c>
      <c r="Q2305" s="23" t="s">
        <v>83</v>
      </c>
      <c r="R2305" s="23">
        <v>11100176</v>
      </c>
      <c r="S2305" s="24">
        <v>46098</v>
      </c>
      <c r="T2305" s="24">
        <v>46077</v>
      </c>
      <c r="U2305" s="24" t="s">
        <v>80</v>
      </c>
      <c r="X2305" s="24">
        <v>46077</v>
      </c>
      <c r="Y2305" s="23">
        <v>1111</v>
      </c>
      <c r="Z2305" s="23">
        <v>11400789</v>
      </c>
      <c r="AA2305" s="23">
        <v>3351</v>
      </c>
      <c r="AB2305" s="24">
        <v>46076</v>
      </c>
    </row>
    <row r="2306" spans="2:28" x14ac:dyDescent="0.2">
      <c r="B2306" s="23" t="s">
        <v>81</v>
      </c>
      <c r="C2306" s="23">
        <v>1100577811</v>
      </c>
      <c r="H2306" s="24">
        <v>46149</v>
      </c>
      <c r="O2306" s="23">
        <v>1346.09</v>
      </c>
      <c r="P2306" s="23" t="s">
        <v>79</v>
      </c>
    </row>
    <row r="2307" spans="2:28" x14ac:dyDescent="0.2">
      <c r="C2307" s="23">
        <v>1100577863</v>
      </c>
      <c r="E2307" s="23">
        <v>10</v>
      </c>
      <c r="F2307" s="23" t="s">
        <v>3819</v>
      </c>
      <c r="G2307" s="23" t="s">
        <v>3820</v>
      </c>
      <c r="H2307" s="24">
        <v>46149</v>
      </c>
      <c r="I2307" s="24">
        <v>46149</v>
      </c>
      <c r="J2307" s="23" t="s">
        <v>3821</v>
      </c>
      <c r="K2307" s="23" t="s">
        <v>3821</v>
      </c>
      <c r="L2307" s="23">
        <v>10</v>
      </c>
      <c r="M2307" s="23" t="s">
        <v>78</v>
      </c>
      <c r="N2307" s="23" t="s">
        <v>78</v>
      </c>
      <c r="O2307" s="23">
        <v>697.4</v>
      </c>
      <c r="P2307" s="23" t="s">
        <v>79</v>
      </c>
      <c r="Q2307" s="23" t="s">
        <v>83</v>
      </c>
      <c r="R2307" s="23">
        <v>11100176</v>
      </c>
      <c r="S2307" s="24">
        <v>46114</v>
      </c>
      <c r="T2307" s="24">
        <v>46078</v>
      </c>
      <c r="U2307" s="24" t="s">
        <v>80</v>
      </c>
      <c r="X2307" s="24">
        <v>46076</v>
      </c>
      <c r="Y2307" s="23">
        <v>1111</v>
      </c>
      <c r="Z2307" s="23">
        <v>11100137</v>
      </c>
      <c r="AA2307" s="23">
        <v>3951</v>
      </c>
      <c r="AB2307" s="24">
        <v>46071</v>
      </c>
    </row>
    <row r="2308" spans="2:28" x14ac:dyDescent="0.2">
      <c r="C2308" s="23">
        <v>1100577863</v>
      </c>
      <c r="E2308" s="23">
        <v>20</v>
      </c>
      <c r="F2308" s="23" t="s">
        <v>209</v>
      </c>
      <c r="G2308" s="23" t="s">
        <v>210</v>
      </c>
      <c r="H2308" s="24">
        <v>46149</v>
      </c>
      <c r="I2308" s="24">
        <v>46149</v>
      </c>
      <c r="J2308" s="23" t="s">
        <v>3821</v>
      </c>
      <c r="K2308" s="23" t="s">
        <v>3821</v>
      </c>
      <c r="L2308" s="23">
        <v>1</v>
      </c>
      <c r="M2308" s="23" t="s">
        <v>78</v>
      </c>
      <c r="N2308" s="23" t="s">
        <v>78</v>
      </c>
      <c r="O2308" s="23">
        <v>0.01</v>
      </c>
      <c r="P2308" s="23" t="s">
        <v>79</v>
      </c>
      <c r="Q2308" s="23" t="s">
        <v>83</v>
      </c>
      <c r="R2308" s="23">
        <v>11100176</v>
      </c>
      <c r="S2308" s="24" t="s">
        <v>80</v>
      </c>
      <c r="T2308" s="24">
        <v>46078</v>
      </c>
      <c r="U2308" s="24" t="s">
        <v>80</v>
      </c>
      <c r="X2308" s="24">
        <v>46076</v>
      </c>
      <c r="Y2308" s="23">
        <v>1111</v>
      </c>
      <c r="Z2308" s="23">
        <v>11100137</v>
      </c>
      <c r="AA2308" s="23">
        <v>3951</v>
      </c>
      <c r="AB2308" s="24">
        <v>46071</v>
      </c>
    </row>
    <row r="2309" spans="2:28" x14ac:dyDescent="0.2">
      <c r="B2309" s="23" t="s">
        <v>81</v>
      </c>
      <c r="C2309" s="23">
        <v>1100577863</v>
      </c>
      <c r="H2309" s="24">
        <v>46149</v>
      </c>
      <c r="O2309" s="23">
        <v>697.41</v>
      </c>
      <c r="P2309" s="23" t="s">
        <v>79</v>
      </c>
    </row>
    <row r="2310" spans="2:28" x14ac:dyDescent="0.2">
      <c r="C2310" s="23">
        <v>1100577899</v>
      </c>
      <c r="E2310" s="23">
        <v>10</v>
      </c>
      <c r="F2310" s="23" t="s">
        <v>87</v>
      </c>
      <c r="G2310" s="23" t="s">
        <v>3822</v>
      </c>
      <c r="H2310" s="24">
        <v>46149</v>
      </c>
      <c r="I2310" s="24">
        <v>46149</v>
      </c>
      <c r="J2310" s="23" t="s">
        <v>3399</v>
      </c>
      <c r="K2310" s="23" t="s">
        <v>3399</v>
      </c>
      <c r="L2310" s="23">
        <v>1</v>
      </c>
      <c r="M2310" s="23" t="s">
        <v>78</v>
      </c>
      <c r="N2310" s="23" t="s">
        <v>78</v>
      </c>
      <c r="O2310" s="23">
        <v>13352</v>
      </c>
      <c r="P2310" s="23" t="s">
        <v>79</v>
      </c>
      <c r="Q2310" s="23" t="s">
        <v>83</v>
      </c>
      <c r="R2310" s="23">
        <v>11100176</v>
      </c>
      <c r="S2310" s="24">
        <v>46149</v>
      </c>
      <c r="T2310" s="24">
        <v>46078</v>
      </c>
      <c r="U2310" s="24">
        <v>47116</v>
      </c>
      <c r="X2310" s="24">
        <v>46070</v>
      </c>
      <c r="Y2310" s="23">
        <v>1111</v>
      </c>
      <c r="Z2310" s="23">
        <v>11400124</v>
      </c>
      <c r="AA2310" s="23">
        <v>3358</v>
      </c>
      <c r="AB2310" s="24">
        <v>47118</v>
      </c>
    </row>
    <row r="2311" spans="2:28" x14ac:dyDescent="0.2">
      <c r="C2311" s="23">
        <v>1100577899</v>
      </c>
      <c r="E2311" s="23">
        <v>20</v>
      </c>
      <c r="F2311" s="23" t="s">
        <v>84</v>
      </c>
      <c r="G2311" s="23" t="s">
        <v>123</v>
      </c>
      <c r="H2311" s="24">
        <v>46149</v>
      </c>
      <c r="I2311" s="24">
        <v>46149</v>
      </c>
      <c r="J2311" s="23" t="s">
        <v>3399</v>
      </c>
      <c r="K2311" s="23" t="s">
        <v>3399</v>
      </c>
      <c r="L2311" s="23">
        <v>1</v>
      </c>
      <c r="M2311" s="23" t="s">
        <v>78</v>
      </c>
      <c r="N2311" s="23" t="s">
        <v>78</v>
      </c>
      <c r="O2311" s="23">
        <v>0.01</v>
      </c>
      <c r="P2311" s="23" t="s">
        <v>79</v>
      </c>
      <c r="Q2311" s="23" t="s">
        <v>83</v>
      </c>
      <c r="R2311" s="23">
        <v>11100176</v>
      </c>
      <c r="S2311" s="24">
        <v>46149</v>
      </c>
      <c r="T2311" s="24">
        <v>46078</v>
      </c>
      <c r="U2311" s="24">
        <v>47116</v>
      </c>
      <c r="X2311" s="24">
        <v>46070</v>
      </c>
      <c r="Y2311" s="23">
        <v>1111</v>
      </c>
      <c r="Z2311" s="23">
        <v>11400124</v>
      </c>
      <c r="AA2311" s="23">
        <v>3358</v>
      </c>
      <c r="AB2311" s="24">
        <v>47118</v>
      </c>
    </row>
    <row r="2312" spans="2:28" x14ac:dyDescent="0.2">
      <c r="C2312" s="23">
        <v>1100577899</v>
      </c>
      <c r="E2312" s="23">
        <v>30</v>
      </c>
      <c r="F2312" s="23" t="s">
        <v>96</v>
      </c>
      <c r="G2312" s="23" t="s">
        <v>97</v>
      </c>
      <c r="H2312" s="24">
        <v>46149</v>
      </c>
      <c r="I2312" s="24">
        <v>46149</v>
      </c>
      <c r="J2312" s="23" t="s">
        <v>3399</v>
      </c>
      <c r="K2312" s="23" t="s">
        <v>3399</v>
      </c>
      <c r="L2312" s="23">
        <v>1</v>
      </c>
      <c r="M2312" s="23" t="s">
        <v>78</v>
      </c>
      <c r="N2312" s="23" t="s">
        <v>78</v>
      </c>
      <c r="O2312" s="23">
        <v>0.01</v>
      </c>
      <c r="P2312" s="23" t="s">
        <v>79</v>
      </c>
      <c r="Q2312" s="23" t="s">
        <v>83</v>
      </c>
      <c r="R2312" s="23">
        <v>11100176</v>
      </c>
      <c r="S2312" s="24">
        <v>46149</v>
      </c>
      <c r="T2312" s="24">
        <v>46078</v>
      </c>
      <c r="U2312" s="24">
        <v>47116</v>
      </c>
      <c r="X2312" s="24">
        <v>46070</v>
      </c>
      <c r="Y2312" s="23">
        <v>1111</v>
      </c>
      <c r="Z2312" s="23">
        <v>11400124</v>
      </c>
      <c r="AA2312" s="23">
        <v>3358</v>
      </c>
      <c r="AB2312" s="24">
        <v>47118</v>
      </c>
    </row>
    <row r="2313" spans="2:28" x14ac:dyDescent="0.2">
      <c r="B2313" s="23" t="s">
        <v>81</v>
      </c>
      <c r="C2313" s="23">
        <v>1100577899</v>
      </c>
      <c r="H2313" s="24">
        <v>46149</v>
      </c>
      <c r="O2313" s="23">
        <v>13352.02</v>
      </c>
      <c r="P2313" s="23" t="s">
        <v>79</v>
      </c>
    </row>
    <row r="2314" spans="2:28" x14ac:dyDescent="0.2">
      <c r="C2314" s="23">
        <v>1100578022</v>
      </c>
      <c r="E2314" s="23">
        <v>20</v>
      </c>
      <c r="F2314" s="23" t="s">
        <v>737</v>
      </c>
      <c r="G2314" s="23" t="s">
        <v>738</v>
      </c>
      <c r="H2314" s="24">
        <v>46149</v>
      </c>
      <c r="I2314" s="24">
        <v>46149</v>
      </c>
      <c r="J2314" s="23" t="s">
        <v>3205</v>
      </c>
      <c r="K2314" s="23" t="s">
        <v>3205</v>
      </c>
      <c r="L2314" s="23">
        <v>2</v>
      </c>
      <c r="M2314" s="23" t="s">
        <v>78</v>
      </c>
      <c r="N2314" s="23" t="s">
        <v>78</v>
      </c>
      <c r="O2314" s="23">
        <v>5527.64</v>
      </c>
      <c r="P2314" s="23" t="s">
        <v>79</v>
      </c>
      <c r="Q2314" s="23" t="s">
        <v>83</v>
      </c>
      <c r="R2314" s="23">
        <v>11100176</v>
      </c>
      <c r="S2314" s="24">
        <v>46149</v>
      </c>
      <c r="T2314" s="24">
        <v>46079</v>
      </c>
      <c r="U2314" s="24">
        <v>46387</v>
      </c>
      <c r="X2314" s="24">
        <v>46071</v>
      </c>
      <c r="Y2314" s="23">
        <v>1111</v>
      </c>
      <c r="Z2314" s="23">
        <v>11400797</v>
      </c>
      <c r="AA2314" s="23">
        <v>335103</v>
      </c>
      <c r="AB2314" s="24">
        <v>46077</v>
      </c>
    </row>
    <row r="2315" spans="2:28" x14ac:dyDescent="0.2">
      <c r="B2315" s="23" t="s">
        <v>81</v>
      </c>
      <c r="C2315" s="23">
        <v>1100578022</v>
      </c>
      <c r="H2315" s="24">
        <v>46149</v>
      </c>
      <c r="O2315" s="23">
        <v>5527.64</v>
      </c>
      <c r="P2315" s="23" t="s">
        <v>79</v>
      </c>
    </row>
    <row r="2316" spans="2:28" x14ac:dyDescent="0.2">
      <c r="C2316" s="23">
        <v>1100578030</v>
      </c>
      <c r="E2316" s="23">
        <v>10</v>
      </c>
      <c r="F2316" s="23" t="s">
        <v>1844</v>
      </c>
      <c r="G2316" s="23" t="s">
        <v>1845</v>
      </c>
      <c r="H2316" s="24">
        <v>46149</v>
      </c>
      <c r="I2316" s="24">
        <v>46149</v>
      </c>
      <c r="J2316" s="23" t="s">
        <v>773</v>
      </c>
      <c r="K2316" s="23" t="s">
        <v>773</v>
      </c>
      <c r="L2316" s="23">
        <v>3</v>
      </c>
      <c r="M2316" s="23" t="s">
        <v>78</v>
      </c>
      <c r="N2316" s="23" t="s">
        <v>78</v>
      </c>
      <c r="O2316" s="23">
        <v>585</v>
      </c>
      <c r="P2316" s="23" t="s">
        <v>79</v>
      </c>
      <c r="Q2316" s="23" t="s">
        <v>83</v>
      </c>
      <c r="R2316" s="23">
        <v>11100176</v>
      </c>
      <c r="S2316" s="24">
        <v>46149</v>
      </c>
      <c r="T2316" s="24">
        <v>46079</v>
      </c>
      <c r="U2316" s="24" t="s">
        <v>80</v>
      </c>
      <c r="X2316" s="24">
        <v>46077</v>
      </c>
      <c r="Y2316" s="23">
        <v>1111</v>
      </c>
      <c r="Z2316" s="23">
        <v>11100137</v>
      </c>
      <c r="AA2316" s="23">
        <v>335103</v>
      </c>
      <c r="AB2316" s="24">
        <v>46078</v>
      </c>
    </row>
    <row r="2317" spans="2:28" x14ac:dyDescent="0.2">
      <c r="B2317" s="23" t="s">
        <v>81</v>
      </c>
      <c r="C2317" s="23">
        <v>1100578030</v>
      </c>
      <c r="H2317" s="24">
        <v>46149</v>
      </c>
      <c r="O2317" s="23">
        <v>585</v>
      </c>
      <c r="P2317" s="23" t="s">
        <v>79</v>
      </c>
    </row>
    <row r="2318" spans="2:28" x14ac:dyDescent="0.2">
      <c r="C2318" s="23">
        <v>1100578152</v>
      </c>
      <c r="E2318" s="23">
        <v>20</v>
      </c>
      <c r="F2318" s="23" t="s">
        <v>1727</v>
      </c>
      <c r="G2318" s="23" t="s">
        <v>1728</v>
      </c>
      <c r="H2318" s="24">
        <v>46149</v>
      </c>
      <c r="I2318" s="24">
        <v>46149</v>
      </c>
      <c r="J2318" s="23" t="s">
        <v>2038</v>
      </c>
      <c r="K2318" s="23" t="s">
        <v>2038</v>
      </c>
      <c r="L2318" s="23">
        <v>4</v>
      </c>
      <c r="M2318" s="23" t="s">
        <v>78</v>
      </c>
      <c r="N2318" s="23" t="s">
        <v>78</v>
      </c>
      <c r="O2318" s="23">
        <v>1798.28</v>
      </c>
      <c r="P2318" s="23" t="s">
        <v>79</v>
      </c>
      <c r="Q2318" s="23" t="s">
        <v>83</v>
      </c>
      <c r="R2318" s="23">
        <v>11100176</v>
      </c>
      <c r="S2318" s="24">
        <v>46114</v>
      </c>
      <c r="T2318" s="24">
        <v>46079</v>
      </c>
      <c r="U2318" s="24">
        <v>47116</v>
      </c>
      <c r="X2318" s="24">
        <v>46077</v>
      </c>
      <c r="Y2318" s="23">
        <v>1111</v>
      </c>
      <c r="Z2318" s="23">
        <v>11600001</v>
      </c>
      <c r="AA2318" s="23">
        <v>315103</v>
      </c>
      <c r="AB2318" s="24">
        <v>46078</v>
      </c>
    </row>
    <row r="2319" spans="2:28" x14ac:dyDescent="0.2">
      <c r="B2319" s="23" t="s">
        <v>81</v>
      </c>
      <c r="C2319" s="23">
        <v>1100578152</v>
      </c>
      <c r="H2319" s="24">
        <v>46149</v>
      </c>
      <c r="O2319" s="23">
        <v>1798.28</v>
      </c>
      <c r="P2319" s="23" t="s">
        <v>79</v>
      </c>
    </row>
    <row r="2320" spans="2:28" x14ac:dyDescent="0.2">
      <c r="C2320" s="23">
        <v>1100578171</v>
      </c>
      <c r="E2320" s="23">
        <v>10</v>
      </c>
      <c r="F2320" s="23" t="s">
        <v>900</v>
      </c>
      <c r="G2320" s="23" t="s">
        <v>901</v>
      </c>
      <c r="H2320" s="24">
        <v>46149</v>
      </c>
      <c r="I2320" s="24">
        <v>46149</v>
      </c>
      <c r="J2320" s="23" t="s">
        <v>2712</v>
      </c>
      <c r="K2320" s="23" t="s">
        <v>2712</v>
      </c>
      <c r="L2320" s="23">
        <v>2</v>
      </c>
      <c r="M2320" s="23" t="s">
        <v>78</v>
      </c>
      <c r="N2320" s="23" t="s">
        <v>78</v>
      </c>
      <c r="O2320" s="23">
        <v>394.74</v>
      </c>
      <c r="P2320" s="23" t="s">
        <v>79</v>
      </c>
      <c r="Q2320" s="23" t="s">
        <v>83</v>
      </c>
      <c r="R2320" s="23">
        <v>11100176</v>
      </c>
      <c r="S2320" s="24">
        <v>46105</v>
      </c>
      <c r="T2320" s="24">
        <v>46080</v>
      </c>
      <c r="U2320" s="24" t="s">
        <v>80</v>
      </c>
      <c r="X2320" s="24">
        <v>46078</v>
      </c>
      <c r="Y2320" s="23">
        <v>1111</v>
      </c>
      <c r="Z2320" s="23">
        <v>11400811</v>
      </c>
      <c r="AA2320" s="23">
        <v>395103</v>
      </c>
      <c r="AB2320" s="24">
        <v>46079</v>
      </c>
    </row>
    <row r="2321" spans="2:28" x14ac:dyDescent="0.2">
      <c r="C2321" s="23">
        <v>1100578171</v>
      </c>
      <c r="E2321" s="23">
        <v>20</v>
      </c>
      <c r="F2321" s="23" t="s">
        <v>82</v>
      </c>
      <c r="G2321" s="23" t="s">
        <v>139</v>
      </c>
      <c r="H2321" s="24">
        <v>46149</v>
      </c>
      <c r="I2321" s="24">
        <v>46149</v>
      </c>
      <c r="J2321" s="23" t="s">
        <v>2712</v>
      </c>
      <c r="K2321" s="23" t="s">
        <v>2712</v>
      </c>
      <c r="L2321" s="23">
        <v>1</v>
      </c>
      <c r="M2321" s="23" t="s">
        <v>78</v>
      </c>
      <c r="N2321" s="23" t="s">
        <v>78</v>
      </c>
      <c r="O2321" s="23">
        <v>0.01</v>
      </c>
      <c r="P2321" s="23" t="s">
        <v>79</v>
      </c>
      <c r="Q2321" s="23" t="s">
        <v>83</v>
      </c>
      <c r="R2321" s="23">
        <v>11100176</v>
      </c>
      <c r="S2321" s="24" t="s">
        <v>80</v>
      </c>
      <c r="T2321" s="24">
        <v>46080</v>
      </c>
      <c r="U2321" s="24" t="s">
        <v>80</v>
      </c>
      <c r="X2321" s="24">
        <v>46078</v>
      </c>
      <c r="Y2321" s="23">
        <v>1111</v>
      </c>
      <c r="Z2321" s="23">
        <v>11400811</v>
      </c>
      <c r="AA2321" s="23">
        <v>395103</v>
      </c>
      <c r="AB2321" s="24">
        <v>46079</v>
      </c>
    </row>
    <row r="2322" spans="2:28" x14ac:dyDescent="0.2">
      <c r="B2322" s="23" t="s">
        <v>81</v>
      </c>
      <c r="C2322" s="23">
        <v>1100578171</v>
      </c>
      <c r="H2322" s="24">
        <v>46149</v>
      </c>
      <c r="O2322" s="23">
        <v>394.75</v>
      </c>
      <c r="P2322" s="23" t="s">
        <v>79</v>
      </c>
    </row>
    <row r="2323" spans="2:28" x14ac:dyDescent="0.2">
      <c r="C2323" s="23">
        <v>1100578185</v>
      </c>
      <c r="E2323" s="23">
        <v>10</v>
      </c>
      <c r="F2323" s="23" t="s">
        <v>1119</v>
      </c>
      <c r="G2323" s="23" t="s">
        <v>1120</v>
      </c>
      <c r="H2323" s="24">
        <v>46149</v>
      </c>
      <c r="I2323" s="24">
        <v>46149</v>
      </c>
      <c r="J2323" s="23" t="s">
        <v>561</v>
      </c>
      <c r="K2323" s="23" t="s">
        <v>561</v>
      </c>
      <c r="L2323" s="23">
        <v>5</v>
      </c>
      <c r="M2323" s="23" t="s">
        <v>78</v>
      </c>
      <c r="N2323" s="23" t="s">
        <v>78</v>
      </c>
      <c r="O2323" s="23">
        <v>798</v>
      </c>
      <c r="P2323" s="23" t="s">
        <v>79</v>
      </c>
      <c r="Q2323" s="23" t="s">
        <v>83</v>
      </c>
      <c r="R2323" s="23">
        <v>11100176</v>
      </c>
      <c r="S2323" s="24">
        <v>46087</v>
      </c>
      <c r="T2323" s="24">
        <v>46080</v>
      </c>
      <c r="U2323" s="24" t="s">
        <v>80</v>
      </c>
      <c r="X2323" s="24">
        <v>46077</v>
      </c>
      <c r="Y2323" s="23">
        <v>1111</v>
      </c>
      <c r="Z2323" s="23">
        <v>11400606</v>
      </c>
      <c r="AA2323" s="23">
        <v>335103</v>
      </c>
      <c r="AB2323" s="24">
        <v>46079</v>
      </c>
    </row>
    <row r="2324" spans="2:28" x14ac:dyDescent="0.2">
      <c r="B2324" s="23" t="s">
        <v>81</v>
      </c>
      <c r="C2324" s="23">
        <v>1100578185</v>
      </c>
      <c r="H2324" s="24">
        <v>46149</v>
      </c>
      <c r="O2324" s="23">
        <v>798</v>
      </c>
      <c r="P2324" s="23" t="s">
        <v>79</v>
      </c>
    </row>
    <row r="2325" spans="2:28" x14ac:dyDescent="0.2">
      <c r="C2325" s="23">
        <v>1100578491</v>
      </c>
      <c r="E2325" s="23">
        <v>10</v>
      </c>
      <c r="F2325" s="23" t="s">
        <v>1119</v>
      </c>
      <c r="G2325" s="23" t="s">
        <v>1120</v>
      </c>
      <c r="H2325" s="24">
        <v>46149</v>
      </c>
      <c r="I2325" s="24">
        <v>46149</v>
      </c>
      <c r="J2325" s="23" t="s">
        <v>571</v>
      </c>
      <c r="K2325" s="23" t="s">
        <v>571</v>
      </c>
      <c r="L2325" s="23">
        <v>1</v>
      </c>
      <c r="M2325" s="23" t="s">
        <v>78</v>
      </c>
      <c r="N2325" s="23" t="s">
        <v>78</v>
      </c>
      <c r="O2325" s="23">
        <v>313.60000000000002</v>
      </c>
      <c r="P2325" s="23" t="s">
        <v>79</v>
      </c>
      <c r="Q2325" s="23" t="s">
        <v>83</v>
      </c>
      <c r="R2325" s="23">
        <v>11100176</v>
      </c>
      <c r="S2325" s="24">
        <v>46108</v>
      </c>
      <c r="T2325" s="24">
        <v>46084</v>
      </c>
      <c r="U2325" s="24">
        <v>47116</v>
      </c>
      <c r="X2325" s="24">
        <v>46083</v>
      </c>
      <c r="Y2325" s="23">
        <v>1111</v>
      </c>
      <c r="Z2325" s="23">
        <v>11600003</v>
      </c>
      <c r="AA2325" s="23">
        <v>335103</v>
      </c>
      <c r="AB2325" s="24">
        <v>46083</v>
      </c>
    </row>
    <row r="2326" spans="2:28" x14ac:dyDescent="0.2">
      <c r="C2326" s="23">
        <v>1100578491</v>
      </c>
      <c r="E2326" s="23">
        <v>20</v>
      </c>
      <c r="F2326" s="23" t="s">
        <v>3823</v>
      </c>
      <c r="G2326" s="23" t="s">
        <v>3824</v>
      </c>
      <c r="H2326" s="24">
        <v>46149</v>
      </c>
      <c r="I2326" s="24">
        <v>46149</v>
      </c>
      <c r="J2326" s="23" t="s">
        <v>571</v>
      </c>
      <c r="K2326" s="23" t="s">
        <v>571</v>
      </c>
      <c r="L2326" s="23">
        <v>1</v>
      </c>
      <c r="M2326" s="23" t="s">
        <v>78</v>
      </c>
      <c r="N2326" s="23" t="s">
        <v>78</v>
      </c>
      <c r="O2326" s="23">
        <v>1342.12</v>
      </c>
      <c r="P2326" s="23" t="s">
        <v>79</v>
      </c>
      <c r="Q2326" s="23" t="s">
        <v>83</v>
      </c>
      <c r="R2326" s="23">
        <v>11100176</v>
      </c>
      <c r="S2326" s="24">
        <v>46108</v>
      </c>
      <c r="T2326" s="24">
        <v>46084</v>
      </c>
      <c r="U2326" s="24">
        <v>47116</v>
      </c>
      <c r="X2326" s="24">
        <v>46083</v>
      </c>
      <c r="Y2326" s="23">
        <v>1111</v>
      </c>
      <c r="Z2326" s="23">
        <v>11600003</v>
      </c>
      <c r="AA2326" s="23">
        <v>335103</v>
      </c>
      <c r="AB2326" s="24">
        <v>46083</v>
      </c>
    </row>
    <row r="2327" spans="2:28" x14ac:dyDescent="0.2">
      <c r="C2327" s="23">
        <v>1100578491</v>
      </c>
      <c r="E2327" s="23">
        <v>30</v>
      </c>
      <c r="F2327" s="23" t="s">
        <v>3825</v>
      </c>
      <c r="G2327" s="23" t="s">
        <v>3826</v>
      </c>
      <c r="H2327" s="24">
        <v>46149</v>
      </c>
      <c r="I2327" s="24">
        <v>46107</v>
      </c>
      <c r="J2327" s="23" t="s">
        <v>571</v>
      </c>
      <c r="K2327" s="23" t="s">
        <v>571</v>
      </c>
      <c r="L2327" s="23">
        <v>1</v>
      </c>
      <c r="M2327" s="23" t="s">
        <v>78</v>
      </c>
      <c r="N2327" s="23" t="s">
        <v>78</v>
      </c>
      <c r="O2327" s="23">
        <v>937.51</v>
      </c>
      <c r="P2327" s="23" t="s">
        <v>79</v>
      </c>
      <c r="Q2327" s="23" t="s">
        <v>83</v>
      </c>
      <c r="R2327" s="23">
        <v>11100176</v>
      </c>
      <c r="S2327" s="24">
        <v>46108</v>
      </c>
      <c r="T2327" s="24">
        <v>46084</v>
      </c>
      <c r="U2327" s="24">
        <v>46107</v>
      </c>
      <c r="X2327" s="24">
        <v>46083</v>
      </c>
      <c r="Y2327" s="23">
        <v>1111</v>
      </c>
      <c r="Z2327" s="23">
        <v>11600003</v>
      </c>
      <c r="AA2327" s="23">
        <v>335103</v>
      </c>
      <c r="AB2327" s="24">
        <v>46083</v>
      </c>
    </row>
    <row r="2328" spans="2:28" x14ac:dyDescent="0.2">
      <c r="C2328" s="23">
        <v>1100578491</v>
      </c>
      <c r="E2328" s="23">
        <v>40</v>
      </c>
      <c r="F2328" s="23" t="s">
        <v>1806</v>
      </c>
      <c r="G2328" s="23" t="s">
        <v>1807</v>
      </c>
      <c r="H2328" s="24">
        <v>46149</v>
      </c>
      <c r="I2328" s="24">
        <v>46149</v>
      </c>
      <c r="J2328" s="23" t="s">
        <v>571</v>
      </c>
      <c r="K2328" s="23" t="s">
        <v>571</v>
      </c>
      <c r="L2328" s="23">
        <v>1</v>
      </c>
      <c r="M2328" s="23" t="s">
        <v>78</v>
      </c>
      <c r="N2328" s="23" t="s">
        <v>78</v>
      </c>
      <c r="O2328" s="23">
        <v>1018.65</v>
      </c>
      <c r="P2328" s="23" t="s">
        <v>79</v>
      </c>
      <c r="Q2328" s="23" t="s">
        <v>83</v>
      </c>
      <c r="R2328" s="23">
        <v>11100176</v>
      </c>
      <c r="S2328" s="24">
        <v>46108</v>
      </c>
      <c r="T2328" s="24">
        <v>46084</v>
      </c>
      <c r="U2328" s="24">
        <v>47116</v>
      </c>
      <c r="X2328" s="24">
        <v>46083</v>
      </c>
      <c r="Y2328" s="23">
        <v>1111</v>
      </c>
      <c r="Z2328" s="23">
        <v>11600003</v>
      </c>
      <c r="AA2328" s="23">
        <v>335103</v>
      </c>
      <c r="AB2328" s="24">
        <v>46083</v>
      </c>
    </row>
    <row r="2329" spans="2:28" x14ac:dyDescent="0.2">
      <c r="B2329" s="23" t="s">
        <v>81</v>
      </c>
      <c r="C2329" s="23">
        <v>1100578491</v>
      </c>
      <c r="H2329" s="24">
        <v>46149</v>
      </c>
      <c r="O2329" s="23">
        <v>3611.88</v>
      </c>
      <c r="P2329" s="23" t="s">
        <v>79</v>
      </c>
    </row>
    <row r="2330" spans="2:28" x14ac:dyDescent="0.2">
      <c r="C2330" s="23">
        <v>1100578586</v>
      </c>
      <c r="E2330" s="23">
        <v>10</v>
      </c>
      <c r="F2330" s="23" t="s">
        <v>3827</v>
      </c>
      <c r="G2330" s="23" t="s">
        <v>3828</v>
      </c>
      <c r="H2330" s="24">
        <v>46149</v>
      </c>
      <c r="I2330" s="24">
        <v>46149</v>
      </c>
      <c r="J2330" s="23" t="s">
        <v>3829</v>
      </c>
      <c r="K2330" s="23" t="s">
        <v>3829</v>
      </c>
      <c r="L2330" s="23">
        <v>2</v>
      </c>
      <c r="M2330" s="23" t="s">
        <v>566</v>
      </c>
      <c r="N2330" s="23" t="s">
        <v>566</v>
      </c>
      <c r="O2330" s="23">
        <v>4936.4399999999996</v>
      </c>
      <c r="P2330" s="23" t="s">
        <v>79</v>
      </c>
      <c r="Q2330" s="23" t="s">
        <v>83</v>
      </c>
      <c r="R2330" s="23">
        <v>11100176</v>
      </c>
      <c r="S2330" s="24">
        <v>46143</v>
      </c>
      <c r="T2330" s="24">
        <v>46085</v>
      </c>
      <c r="U2330" s="24" t="s">
        <v>80</v>
      </c>
      <c r="X2330" s="24">
        <v>46069</v>
      </c>
      <c r="Y2330" s="23">
        <v>1111</v>
      </c>
      <c r="Z2330" s="23">
        <v>11100137</v>
      </c>
      <c r="AA2330" s="23">
        <v>515103</v>
      </c>
      <c r="AB2330" s="24">
        <v>46069</v>
      </c>
    </row>
    <row r="2331" spans="2:28" x14ac:dyDescent="0.2">
      <c r="B2331" s="23" t="s">
        <v>81</v>
      </c>
      <c r="C2331" s="23">
        <v>1100578586</v>
      </c>
      <c r="H2331" s="24">
        <v>46149</v>
      </c>
      <c r="O2331" s="23">
        <v>4936.4399999999996</v>
      </c>
      <c r="P2331" s="23" t="s">
        <v>79</v>
      </c>
    </row>
    <row r="2332" spans="2:28" x14ac:dyDescent="0.2">
      <c r="C2332" s="23">
        <v>1100578654</v>
      </c>
      <c r="E2332" s="23">
        <v>10</v>
      </c>
      <c r="F2332" s="23" t="s">
        <v>4138</v>
      </c>
      <c r="G2332" s="23" t="s">
        <v>4139</v>
      </c>
      <c r="H2332" s="24">
        <v>46149</v>
      </c>
      <c r="I2332" s="24">
        <v>46149</v>
      </c>
      <c r="J2332" s="23" t="s">
        <v>854</v>
      </c>
      <c r="K2332" s="23" t="s">
        <v>854</v>
      </c>
      <c r="L2332" s="23">
        <v>2</v>
      </c>
      <c r="M2332" s="23" t="s">
        <v>78</v>
      </c>
      <c r="N2332" s="23" t="s">
        <v>78</v>
      </c>
      <c r="O2332" s="23">
        <v>1381.6</v>
      </c>
      <c r="P2332" s="23" t="s">
        <v>79</v>
      </c>
      <c r="Q2332" s="23" t="s">
        <v>83</v>
      </c>
      <c r="R2332" s="23">
        <v>11100176</v>
      </c>
      <c r="S2332" s="24">
        <v>46099</v>
      </c>
      <c r="T2332" s="24">
        <v>46085</v>
      </c>
      <c r="U2332" s="24" t="s">
        <v>80</v>
      </c>
      <c r="X2332" s="24">
        <v>46079</v>
      </c>
      <c r="Y2332" s="23">
        <v>1111</v>
      </c>
      <c r="Z2332" s="23">
        <v>11400606</v>
      </c>
      <c r="AA2332" s="23">
        <v>3351</v>
      </c>
      <c r="AB2332" s="24">
        <v>46080</v>
      </c>
    </row>
    <row r="2333" spans="2:28" x14ac:dyDescent="0.2">
      <c r="C2333" s="23">
        <v>1100578654</v>
      </c>
      <c r="E2333" s="23">
        <v>20</v>
      </c>
      <c r="F2333" s="23" t="s">
        <v>4140</v>
      </c>
      <c r="G2333" s="23" t="s">
        <v>4141</v>
      </c>
      <c r="H2333" s="24">
        <v>46149</v>
      </c>
      <c r="I2333" s="24">
        <v>46149</v>
      </c>
      <c r="J2333" s="23" t="s">
        <v>854</v>
      </c>
      <c r="K2333" s="23" t="s">
        <v>854</v>
      </c>
      <c r="L2333" s="23">
        <v>1</v>
      </c>
      <c r="M2333" s="23" t="s">
        <v>78</v>
      </c>
      <c r="N2333" s="23" t="s">
        <v>78</v>
      </c>
      <c r="O2333" s="23">
        <v>1.74</v>
      </c>
      <c r="P2333" s="23" t="s">
        <v>79</v>
      </c>
      <c r="Q2333" s="23" t="s">
        <v>83</v>
      </c>
      <c r="R2333" s="23">
        <v>11100176</v>
      </c>
      <c r="S2333" s="24">
        <v>46099</v>
      </c>
      <c r="T2333" s="24">
        <v>46085</v>
      </c>
      <c r="U2333" s="24" t="s">
        <v>80</v>
      </c>
      <c r="X2333" s="24">
        <v>46079</v>
      </c>
      <c r="Y2333" s="23">
        <v>1111</v>
      </c>
      <c r="Z2333" s="23">
        <v>11400606</v>
      </c>
      <c r="AA2333" s="23">
        <v>3351</v>
      </c>
      <c r="AB2333" s="24">
        <v>46080</v>
      </c>
    </row>
    <row r="2334" spans="2:28" x14ac:dyDescent="0.2">
      <c r="C2334" s="23">
        <v>1100578654</v>
      </c>
      <c r="E2334" s="23">
        <v>30</v>
      </c>
      <c r="F2334" s="23" t="s">
        <v>800</v>
      </c>
      <c r="G2334" s="23" t="s">
        <v>801</v>
      </c>
      <c r="H2334" s="24">
        <v>46149</v>
      </c>
      <c r="I2334" s="24">
        <v>46149</v>
      </c>
      <c r="J2334" s="23" t="s">
        <v>854</v>
      </c>
      <c r="K2334" s="23" t="s">
        <v>854</v>
      </c>
      <c r="L2334" s="23">
        <v>1</v>
      </c>
      <c r="M2334" s="23" t="s">
        <v>78</v>
      </c>
      <c r="N2334" s="23" t="s">
        <v>78</v>
      </c>
      <c r="O2334" s="23">
        <v>10.9</v>
      </c>
      <c r="P2334" s="23" t="s">
        <v>79</v>
      </c>
      <c r="Q2334" s="23" t="s">
        <v>83</v>
      </c>
      <c r="R2334" s="23">
        <v>11100176</v>
      </c>
      <c r="S2334" s="24">
        <v>46099</v>
      </c>
      <c r="T2334" s="24">
        <v>46085</v>
      </c>
      <c r="U2334" s="24" t="s">
        <v>80</v>
      </c>
      <c r="X2334" s="24">
        <v>46079</v>
      </c>
      <c r="Y2334" s="23">
        <v>1111</v>
      </c>
      <c r="Z2334" s="23">
        <v>11400606</v>
      </c>
      <c r="AA2334" s="23">
        <v>3351</v>
      </c>
      <c r="AB2334" s="24">
        <v>46080</v>
      </c>
    </row>
    <row r="2335" spans="2:28" x14ac:dyDescent="0.2">
      <c r="B2335" s="23" t="s">
        <v>81</v>
      </c>
      <c r="C2335" s="23">
        <v>1100578654</v>
      </c>
      <c r="H2335" s="24">
        <v>46149</v>
      </c>
      <c r="O2335" s="23">
        <v>1394.24</v>
      </c>
      <c r="P2335" s="23" t="s">
        <v>79</v>
      </c>
    </row>
    <row r="2336" spans="2:28" x14ac:dyDescent="0.2">
      <c r="C2336" s="23">
        <v>1100571563</v>
      </c>
      <c r="E2336" s="23">
        <v>10</v>
      </c>
      <c r="F2336" s="23" t="s">
        <v>2186</v>
      </c>
      <c r="G2336" s="23" t="s">
        <v>2187</v>
      </c>
      <c r="H2336" s="24">
        <v>46150</v>
      </c>
      <c r="I2336" s="24">
        <v>46150</v>
      </c>
      <c r="J2336" s="23" t="s">
        <v>1808</v>
      </c>
      <c r="K2336" s="23" t="s">
        <v>1808</v>
      </c>
      <c r="L2336" s="23">
        <v>2</v>
      </c>
      <c r="M2336" s="23" t="s">
        <v>78</v>
      </c>
      <c r="N2336" s="23" t="s">
        <v>78</v>
      </c>
      <c r="O2336" s="23">
        <v>11501.52</v>
      </c>
      <c r="P2336" s="23" t="s">
        <v>79</v>
      </c>
      <c r="Q2336" s="23" t="s">
        <v>83</v>
      </c>
      <c r="R2336" s="23">
        <v>11100176</v>
      </c>
      <c r="S2336" s="24">
        <v>46150</v>
      </c>
      <c r="T2336" s="24">
        <v>46007</v>
      </c>
      <c r="U2336" s="24" t="s">
        <v>80</v>
      </c>
      <c r="X2336" s="24">
        <v>46000</v>
      </c>
      <c r="Y2336" s="23">
        <v>1111</v>
      </c>
      <c r="Z2336" s="23">
        <v>11400704</v>
      </c>
      <c r="AA2336" s="23">
        <v>515103</v>
      </c>
      <c r="AB2336" s="24">
        <v>45852</v>
      </c>
    </row>
    <row r="2337" spans="2:28" x14ac:dyDescent="0.2">
      <c r="C2337" s="23">
        <v>1100571563</v>
      </c>
      <c r="E2337" s="23">
        <v>20</v>
      </c>
      <c r="F2337" s="23" t="s">
        <v>2188</v>
      </c>
      <c r="G2337" s="23" t="s">
        <v>2189</v>
      </c>
      <c r="H2337" s="24">
        <v>46150</v>
      </c>
      <c r="I2337" s="24">
        <v>46150</v>
      </c>
      <c r="J2337" s="23" t="s">
        <v>1808</v>
      </c>
      <c r="K2337" s="23" t="s">
        <v>1808</v>
      </c>
      <c r="L2337" s="23">
        <v>5</v>
      </c>
      <c r="M2337" s="23" t="s">
        <v>566</v>
      </c>
      <c r="N2337" s="23" t="s">
        <v>566</v>
      </c>
      <c r="O2337" s="23">
        <v>22531.8</v>
      </c>
      <c r="P2337" s="23" t="s">
        <v>79</v>
      </c>
      <c r="Q2337" s="23" t="s">
        <v>83</v>
      </c>
      <c r="R2337" s="23">
        <v>11100176</v>
      </c>
      <c r="S2337" s="24">
        <v>46150</v>
      </c>
      <c r="T2337" s="24">
        <v>46007</v>
      </c>
      <c r="U2337" s="24" t="s">
        <v>80</v>
      </c>
      <c r="X2337" s="24">
        <v>46000</v>
      </c>
      <c r="Y2337" s="23">
        <v>1111</v>
      </c>
      <c r="Z2337" s="23">
        <v>11400704</v>
      </c>
      <c r="AA2337" s="23">
        <v>515103</v>
      </c>
      <c r="AB2337" s="24">
        <v>45852</v>
      </c>
    </row>
    <row r="2338" spans="2:28" x14ac:dyDescent="0.2">
      <c r="C2338" s="23">
        <v>1100571563</v>
      </c>
      <c r="E2338" s="23">
        <v>30</v>
      </c>
      <c r="F2338" s="23" t="s">
        <v>2188</v>
      </c>
      <c r="G2338" s="23" t="s">
        <v>2189</v>
      </c>
      <c r="H2338" s="24">
        <v>46150</v>
      </c>
      <c r="I2338" s="24">
        <v>46150</v>
      </c>
      <c r="J2338" s="23" t="s">
        <v>1808</v>
      </c>
      <c r="K2338" s="23" t="s">
        <v>1808</v>
      </c>
      <c r="L2338" s="23">
        <v>4</v>
      </c>
      <c r="M2338" s="23" t="s">
        <v>566</v>
      </c>
      <c r="N2338" s="23" t="s">
        <v>566</v>
      </c>
      <c r="O2338" s="23">
        <v>18025.439999999999</v>
      </c>
      <c r="P2338" s="23" t="s">
        <v>79</v>
      </c>
      <c r="Q2338" s="23" t="s">
        <v>83</v>
      </c>
      <c r="R2338" s="23">
        <v>11100176</v>
      </c>
      <c r="S2338" s="24">
        <v>46150</v>
      </c>
      <c r="T2338" s="24">
        <v>46007</v>
      </c>
      <c r="U2338" s="24" t="s">
        <v>80</v>
      </c>
      <c r="X2338" s="24">
        <v>46000</v>
      </c>
      <c r="Y2338" s="23">
        <v>1111</v>
      </c>
      <c r="Z2338" s="23">
        <v>11400704</v>
      </c>
      <c r="AA2338" s="23">
        <v>515103</v>
      </c>
      <c r="AB2338" s="24">
        <v>45852</v>
      </c>
    </row>
    <row r="2339" spans="2:28" x14ac:dyDescent="0.2">
      <c r="C2339" s="23">
        <v>1100571563</v>
      </c>
      <c r="E2339" s="23">
        <v>40</v>
      </c>
      <c r="F2339" s="23" t="s">
        <v>2188</v>
      </c>
      <c r="G2339" s="23" t="s">
        <v>2189</v>
      </c>
      <c r="H2339" s="24">
        <v>46150</v>
      </c>
      <c r="I2339" s="24">
        <v>46150</v>
      </c>
      <c r="J2339" s="23" t="s">
        <v>1808</v>
      </c>
      <c r="K2339" s="23" t="s">
        <v>1808</v>
      </c>
      <c r="L2339" s="23">
        <v>3</v>
      </c>
      <c r="M2339" s="23" t="s">
        <v>566</v>
      </c>
      <c r="N2339" s="23" t="s">
        <v>566</v>
      </c>
      <c r="O2339" s="23">
        <v>13519.08</v>
      </c>
      <c r="P2339" s="23" t="s">
        <v>79</v>
      </c>
      <c r="Q2339" s="23" t="s">
        <v>83</v>
      </c>
      <c r="R2339" s="23">
        <v>11100176</v>
      </c>
      <c r="S2339" s="24">
        <v>46150</v>
      </c>
      <c r="T2339" s="24">
        <v>46007</v>
      </c>
      <c r="U2339" s="24" t="s">
        <v>80</v>
      </c>
      <c r="X2339" s="24">
        <v>46000</v>
      </c>
      <c r="Y2339" s="23">
        <v>1111</v>
      </c>
      <c r="Z2339" s="23">
        <v>11400704</v>
      </c>
      <c r="AA2339" s="23">
        <v>515103</v>
      </c>
      <c r="AB2339" s="24">
        <v>45852</v>
      </c>
    </row>
    <row r="2340" spans="2:28" x14ac:dyDescent="0.2">
      <c r="C2340" s="23">
        <v>1100571563</v>
      </c>
      <c r="E2340" s="23">
        <v>50</v>
      </c>
      <c r="F2340" s="23" t="s">
        <v>209</v>
      </c>
      <c r="G2340" s="23" t="s">
        <v>210</v>
      </c>
      <c r="H2340" s="24">
        <v>46150</v>
      </c>
      <c r="I2340" s="24">
        <v>46150</v>
      </c>
      <c r="J2340" s="23" t="s">
        <v>1808</v>
      </c>
      <c r="K2340" s="23" t="s">
        <v>1808</v>
      </c>
      <c r="L2340" s="23">
        <v>1</v>
      </c>
      <c r="M2340" s="23" t="s">
        <v>78</v>
      </c>
      <c r="N2340" s="23" t="s">
        <v>78</v>
      </c>
      <c r="O2340" s="23">
        <v>0</v>
      </c>
      <c r="P2340" s="23" t="s">
        <v>79</v>
      </c>
      <c r="Q2340" s="23" t="s">
        <v>83</v>
      </c>
      <c r="R2340" s="23">
        <v>11100176</v>
      </c>
      <c r="S2340" s="24" t="s">
        <v>80</v>
      </c>
      <c r="T2340" s="24">
        <v>46007</v>
      </c>
      <c r="U2340" s="24" t="s">
        <v>80</v>
      </c>
      <c r="X2340" s="24">
        <v>46000</v>
      </c>
      <c r="Y2340" s="23">
        <v>1111</v>
      </c>
      <c r="Z2340" s="23">
        <v>11400704</v>
      </c>
      <c r="AA2340" s="23">
        <v>515103</v>
      </c>
      <c r="AB2340" s="24">
        <v>45852</v>
      </c>
    </row>
    <row r="2341" spans="2:28" x14ac:dyDescent="0.2">
      <c r="B2341" s="23" t="s">
        <v>81</v>
      </c>
      <c r="C2341" s="23">
        <v>1100571563</v>
      </c>
      <c r="H2341" s="24">
        <v>46150</v>
      </c>
      <c r="O2341" s="23">
        <v>65577.84</v>
      </c>
      <c r="P2341" s="23" t="s">
        <v>79</v>
      </c>
    </row>
    <row r="2342" spans="2:28" x14ac:dyDescent="0.2">
      <c r="C2342" s="23">
        <v>1100575538</v>
      </c>
      <c r="E2342" s="23">
        <v>10</v>
      </c>
      <c r="F2342" s="23" t="s">
        <v>3830</v>
      </c>
      <c r="G2342" s="23" t="s">
        <v>3831</v>
      </c>
      <c r="H2342" s="24">
        <v>46150</v>
      </c>
      <c r="I2342" s="24">
        <v>46150</v>
      </c>
      <c r="J2342" s="23" t="s">
        <v>3832</v>
      </c>
      <c r="K2342" s="23" t="s">
        <v>3832</v>
      </c>
      <c r="L2342" s="23">
        <v>1</v>
      </c>
      <c r="M2342" s="23" t="s">
        <v>566</v>
      </c>
      <c r="N2342" s="23" t="s">
        <v>566</v>
      </c>
      <c r="O2342" s="23">
        <v>2274.6999999999998</v>
      </c>
      <c r="P2342" s="23" t="s">
        <v>79</v>
      </c>
      <c r="Q2342" s="23" t="s">
        <v>83</v>
      </c>
      <c r="R2342" s="23">
        <v>11100176</v>
      </c>
      <c r="S2342" s="24">
        <v>46150</v>
      </c>
      <c r="T2342" s="24">
        <v>46052</v>
      </c>
      <c r="U2342" s="24" t="s">
        <v>80</v>
      </c>
      <c r="X2342" s="24">
        <v>46051</v>
      </c>
      <c r="Y2342" s="23">
        <v>1111</v>
      </c>
      <c r="Z2342" s="23">
        <v>11400895</v>
      </c>
      <c r="AA2342" s="23">
        <v>515103</v>
      </c>
      <c r="AB2342" s="24">
        <v>46051</v>
      </c>
    </row>
    <row r="2343" spans="2:28" x14ac:dyDescent="0.2">
      <c r="C2343" s="23">
        <v>1100575538</v>
      </c>
      <c r="E2343" s="23">
        <v>20</v>
      </c>
      <c r="F2343" s="23" t="s">
        <v>82</v>
      </c>
      <c r="G2343" s="23" t="s">
        <v>139</v>
      </c>
      <c r="H2343" s="24">
        <v>46150</v>
      </c>
      <c r="I2343" s="24">
        <v>46150</v>
      </c>
      <c r="J2343" s="23" t="s">
        <v>3832</v>
      </c>
      <c r="K2343" s="23" t="s">
        <v>3832</v>
      </c>
      <c r="L2343" s="23">
        <v>1</v>
      </c>
      <c r="M2343" s="23" t="s">
        <v>78</v>
      </c>
      <c r="N2343" s="23" t="s">
        <v>78</v>
      </c>
      <c r="O2343" s="23">
        <v>0.01</v>
      </c>
      <c r="P2343" s="23" t="s">
        <v>79</v>
      </c>
      <c r="Q2343" s="23" t="s">
        <v>83</v>
      </c>
      <c r="R2343" s="23">
        <v>11100176</v>
      </c>
      <c r="S2343" s="24" t="s">
        <v>80</v>
      </c>
      <c r="T2343" s="24">
        <v>46052</v>
      </c>
      <c r="U2343" s="24" t="s">
        <v>80</v>
      </c>
      <c r="X2343" s="24">
        <v>46051</v>
      </c>
      <c r="Y2343" s="23">
        <v>1111</v>
      </c>
      <c r="Z2343" s="23">
        <v>11400895</v>
      </c>
      <c r="AA2343" s="23">
        <v>515103</v>
      </c>
      <c r="AB2343" s="24">
        <v>46051</v>
      </c>
    </row>
    <row r="2344" spans="2:28" x14ac:dyDescent="0.2">
      <c r="B2344" s="23" t="s">
        <v>81</v>
      </c>
      <c r="C2344" s="23">
        <v>1100575538</v>
      </c>
      <c r="H2344" s="24">
        <v>46150</v>
      </c>
      <c r="O2344" s="23">
        <v>2274.71</v>
      </c>
      <c r="P2344" s="23" t="s">
        <v>79</v>
      </c>
    </row>
    <row r="2345" spans="2:28" x14ac:dyDescent="0.2">
      <c r="C2345" s="23">
        <v>1100577848</v>
      </c>
      <c r="E2345" s="23">
        <v>10</v>
      </c>
      <c r="F2345" s="23" t="s">
        <v>3833</v>
      </c>
      <c r="G2345" s="23" t="s">
        <v>3834</v>
      </c>
      <c r="H2345" s="24">
        <v>46150</v>
      </c>
      <c r="I2345" s="24">
        <v>46150</v>
      </c>
      <c r="J2345" s="23" t="s">
        <v>3835</v>
      </c>
      <c r="K2345" s="23" t="s">
        <v>3835</v>
      </c>
      <c r="L2345" s="23">
        <v>1</v>
      </c>
      <c r="M2345" s="23" t="s">
        <v>78</v>
      </c>
      <c r="N2345" s="23" t="s">
        <v>78</v>
      </c>
      <c r="O2345" s="23">
        <v>11392.32</v>
      </c>
      <c r="P2345" s="23" t="s">
        <v>79</v>
      </c>
      <c r="Q2345" s="23" t="s">
        <v>83</v>
      </c>
      <c r="R2345" s="23">
        <v>11100189</v>
      </c>
      <c r="S2345" s="24">
        <v>46133</v>
      </c>
      <c r="T2345" s="24">
        <v>46077</v>
      </c>
      <c r="U2345" s="24" t="s">
        <v>80</v>
      </c>
      <c r="X2345" s="24">
        <v>46070</v>
      </c>
      <c r="Y2345" s="23">
        <v>1111</v>
      </c>
      <c r="Z2345" s="23">
        <v>11400606</v>
      </c>
      <c r="AA2345" s="23">
        <v>505103</v>
      </c>
      <c r="AB2345" s="24">
        <v>46070</v>
      </c>
    </row>
    <row r="2346" spans="2:28" x14ac:dyDescent="0.2">
      <c r="B2346" s="23" t="s">
        <v>81</v>
      </c>
      <c r="C2346" s="23">
        <v>1100577848</v>
      </c>
      <c r="H2346" s="24">
        <v>46150</v>
      </c>
      <c r="O2346" s="23">
        <v>11392.32</v>
      </c>
      <c r="P2346" s="23" t="s">
        <v>79</v>
      </c>
    </row>
    <row r="2347" spans="2:28" x14ac:dyDescent="0.2">
      <c r="C2347" s="23">
        <v>1100578056</v>
      </c>
      <c r="E2347" s="23">
        <v>10</v>
      </c>
      <c r="F2347" s="23" t="s">
        <v>3459</v>
      </c>
      <c r="G2347" s="23" t="s">
        <v>3460</v>
      </c>
      <c r="H2347" s="24">
        <v>46150</v>
      </c>
      <c r="I2347" s="24">
        <v>46150</v>
      </c>
      <c r="J2347" s="23" t="s">
        <v>1401</v>
      </c>
      <c r="K2347" s="23" t="s">
        <v>1401</v>
      </c>
      <c r="L2347" s="23">
        <v>1</v>
      </c>
      <c r="M2347" s="23" t="s">
        <v>78</v>
      </c>
      <c r="N2347" s="23" t="s">
        <v>78</v>
      </c>
      <c r="O2347" s="23">
        <v>3015.45</v>
      </c>
      <c r="P2347" s="23" t="s">
        <v>79</v>
      </c>
      <c r="Q2347" s="23" t="s">
        <v>83</v>
      </c>
      <c r="R2347" s="23">
        <v>11100176</v>
      </c>
      <c r="S2347" s="24">
        <v>46149</v>
      </c>
      <c r="T2347" s="24">
        <v>46079</v>
      </c>
      <c r="U2347" s="24" t="s">
        <v>80</v>
      </c>
      <c r="X2347" s="24">
        <v>46078</v>
      </c>
      <c r="Y2347" s="23">
        <v>1111</v>
      </c>
      <c r="Z2347" s="23">
        <v>11600001</v>
      </c>
      <c r="AA2347" s="23">
        <v>3351</v>
      </c>
      <c r="AB2347" s="24">
        <v>46078</v>
      </c>
    </row>
    <row r="2348" spans="2:28" x14ac:dyDescent="0.2">
      <c r="B2348" s="23" t="s">
        <v>81</v>
      </c>
      <c r="C2348" s="23">
        <v>1100578056</v>
      </c>
      <c r="H2348" s="24">
        <v>46150</v>
      </c>
      <c r="O2348" s="23">
        <v>3015.45</v>
      </c>
      <c r="P2348" s="23" t="s">
        <v>79</v>
      </c>
    </row>
    <row r="2349" spans="2:28" x14ac:dyDescent="0.2">
      <c r="C2349" s="23">
        <v>1100578234</v>
      </c>
      <c r="E2349" s="23">
        <v>10</v>
      </c>
      <c r="F2349" s="23" t="s">
        <v>2047</v>
      </c>
      <c r="G2349" s="23" t="s">
        <v>2048</v>
      </c>
      <c r="H2349" s="24">
        <v>46150</v>
      </c>
      <c r="I2349" s="24">
        <v>46150</v>
      </c>
      <c r="J2349" s="23" t="s">
        <v>863</v>
      </c>
      <c r="K2349" s="23" t="s">
        <v>863</v>
      </c>
      <c r="L2349" s="23">
        <v>1</v>
      </c>
      <c r="M2349" s="23" t="s">
        <v>566</v>
      </c>
      <c r="N2349" s="23" t="s">
        <v>566</v>
      </c>
      <c r="O2349" s="23">
        <v>4845.43</v>
      </c>
      <c r="P2349" s="23" t="s">
        <v>79</v>
      </c>
      <c r="Q2349" s="23" t="s">
        <v>83</v>
      </c>
      <c r="R2349" s="23">
        <v>11100176</v>
      </c>
      <c r="S2349" s="24">
        <v>46150</v>
      </c>
      <c r="T2349" s="24">
        <v>46080</v>
      </c>
      <c r="U2349" s="24" t="s">
        <v>80</v>
      </c>
      <c r="X2349" s="24">
        <v>46079</v>
      </c>
      <c r="Y2349" s="23">
        <v>1111</v>
      </c>
      <c r="Z2349" s="23">
        <v>11600003</v>
      </c>
      <c r="AA2349" s="23">
        <v>525103</v>
      </c>
      <c r="AB2349" s="24">
        <v>46079</v>
      </c>
    </row>
    <row r="2350" spans="2:28" x14ac:dyDescent="0.2">
      <c r="C2350" s="23">
        <v>1100578234</v>
      </c>
      <c r="E2350" s="23">
        <v>20</v>
      </c>
      <c r="F2350" s="23" t="s">
        <v>82</v>
      </c>
      <c r="G2350" s="23" t="s">
        <v>139</v>
      </c>
      <c r="H2350" s="24">
        <v>46150</v>
      </c>
      <c r="I2350" s="24">
        <v>46150</v>
      </c>
      <c r="J2350" s="23" t="s">
        <v>863</v>
      </c>
      <c r="K2350" s="23" t="s">
        <v>863</v>
      </c>
      <c r="L2350" s="23">
        <v>1</v>
      </c>
      <c r="M2350" s="23" t="s">
        <v>78</v>
      </c>
      <c r="N2350" s="23" t="s">
        <v>78</v>
      </c>
      <c r="O2350" s="23">
        <v>0.01</v>
      </c>
      <c r="P2350" s="23" t="s">
        <v>79</v>
      </c>
      <c r="Q2350" s="23" t="s">
        <v>83</v>
      </c>
      <c r="R2350" s="23">
        <v>11100176</v>
      </c>
      <c r="S2350" s="24">
        <v>46150</v>
      </c>
      <c r="T2350" s="24">
        <v>46080</v>
      </c>
      <c r="U2350" s="24" t="s">
        <v>80</v>
      </c>
      <c r="X2350" s="24">
        <v>46079</v>
      </c>
      <c r="Y2350" s="23">
        <v>1111</v>
      </c>
      <c r="Z2350" s="23">
        <v>11600003</v>
      </c>
      <c r="AA2350" s="23">
        <v>525103</v>
      </c>
      <c r="AB2350" s="24">
        <v>46079</v>
      </c>
    </row>
    <row r="2351" spans="2:28" x14ac:dyDescent="0.2">
      <c r="B2351" s="23" t="s">
        <v>81</v>
      </c>
      <c r="C2351" s="23">
        <v>1100578234</v>
      </c>
      <c r="H2351" s="24">
        <v>46150</v>
      </c>
      <c r="O2351" s="23">
        <v>4845.4399999999996</v>
      </c>
      <c r="P2351" s="23" t="s">
        <v>79</v>
      </c>
    </row>
    <row r="2352" spans="2:28" x14ac:dyDescent="0.2">
      <c r="C2352" s="23">
        <v>1100563499</v>
      </c>
      <c r="E2352" s="23">
        <v>10</v>
      </c>
      <c r="F2352" s="23" t="s">
        <v>900</v>
      </c>
      <c r="G2352" s="23" t="s">
        <v>901</v>
      </c>
      <c r="H2352" s="24">
        <v>46152</v>
      </c>
      <c r="I2352" s="24">
        <v>46152</v>
      </c>
      <c r="J2352" s="23" t="s">
        <v>1128</v>
      </c>
      <c r="K2352" s="23" t="s">
        <v>1128</v>
      </c>
      <c r="L2352" s="23">
        <v>10</v>
      </c>
      <c r="M2352" s="23" t="s">
        <v>78</v>
      </c>
      <c r="N2352" s="23" t="s">
        <v>78</v>
      </c>
      <c r="O2352" s="23">
        <v>1836</v>
      </c>
      <c r="P2352" s="23" t="s">
        <v>79</v>
      </c>
      <c r="Q2352" s="23" t="s">
        <v>83</v>
      </c>
      <c r="R2352" s="23">
        <v>11100008</v>
      </c>
      <c r="S2352" s="24">
        <v>46135</v>
      </c>
      <c r="T2352" s="24">
        <v>45918</v>
      </c>
      <c r="U2352" s="24" t="s">
        <v>80</v>
      </c>
      <c r="X2352" s="24">
        <v>45916</v>
      </c>
      <c r="Y2352" s="23">
        <v>1111</v>
      </c>
      <c r="Z2352" s="23">
        <v>11400937</v>
      </c>
      <c r="AA2352" s="23">
        <v>505103</v>
      </c>
      <c r="AB2352" s="24">
        <v>45917</v>
      </c>
    </row>
    <row r="2353" spans="2:28" x14ac:dyDescent="0.2">
      <c r="C2353" s="23">
        <v>1100563499</v>
      </c>
      <c r="E2353" s="23">
        <v>20</v>
      </c>
      <c r="F2353" s="23" t="s">
        <v>82</v>
      </c>
      <c r="G2353" s="23" t="s">
        <v>139</v>
      </c>
      <c r="H2353" s="24">
        <v>46152</v>
      </c>
      <c r="I2353" s="24">
        <v>46152</v>
      </c>
      <c r="J2353" s="23" t="s">
        <v>1128</v>
      </c>
      <c r="K2353" s="23" t="s">
        <v>1128</v>
      </c>
      <c r="L2353" s="23">
        <v>1</v>
      </c>
      <c r="M2353" s="23" t="s">
        <v>78</v>
      </c>
      <c r="N2353" s="23" t="s">
        <v>78</v>
      </c>
      <c r="O2353" s="23">
        <v>0.01</v>
      </c>
      <c r="P2353" s="23" t="s">
        <v>79</v>
      </c>
      <c r="Q2353" s="23" t="s">
        <v>83</v>
      </c>
      <c r="R2353" s="23">
        <v>11100008</v>
      </c>
      <c r="S2353" s="24" t="s">
        <v>80</v>
      </c>
      <c r="T2353" s="24">
        <v>45918</v>
      </c>
      <c r="U2353" s="24" t="s">
        <v>80</v>
      </c>
      <c r="X2353" s="24">
        <v>45916</v>
      </c>
      <c r="Y2353" s="23">
        <v>1111</v>
      </c>
      <c r="Z2353" s="23">
        <v>11400937</v>
      </c>
      <c r="AA2353" s="23">
        <v>505103</v>
      </c>
      <c r="AB2353" s="24">
        <v>45917</v>
      </c>
    </row>
    <row r="2354" spans="2:28" x14ac:dyDescent="0.2">
      <c r="B2354" s="23" t="s">
        <v>81</v>
      </c>
      <c r="C2354" s="23">
        <v>1100563499</v>
      </c>
      <c r="H2354" s="24">
        <v>46152</v>
      </c>
      <c r="O2354" s="23">
        <v>1836.01</v>
      </c>
      <c r="P2354" s="23" t="s">
        <v>79</v>
      </c>
    </row>
    <row r="2355" spans="2:28" x14ac:dyDescent="0.2">
      <c r="C2355" s="23">
        <v>1100576165</v>
      </c>
      <c r="E2355" s="23">
        <v>10</v>
      </c>
      <c r="F2355" s="23" t="s">
        <v>3836</v>
      </c>
      <c r="G2355" s="23" t="s">
        <v>3837</v>
      </c>
      <c r="H2355" s="24">
        <v>46152</v>
      </c>
      <c r="I2355" s="24">
        <v>46152</v>
      </c>
      <c r="J2355" s="23" t="s">
        <v>3307</v>
      </c>
      <c r="K2355" s="23" t="s">
        <v>3307</v>
      </c>
      <c r="L2355" s="23">
        <v>2</v>
      </c>
      <c r="M2355" s="23" t="s">
        <v>78</v>
      </c>
      <c r="N2355" s="23" t="s">
        <v>78</v>
      </c>
      <c r="O2355" s="23">
        <v>14849.82</v>
      </c>
      <c r="P2355" s="23" t="s">
        <v>79</v>
      </c>
      <c r="Q2355" s="23" t="s">
        <v>83</v>
      </c>
      <c r="R2355" s="23">
        <v>11100176</v>
      </c>
      <c r="S2355" s="24">
        <v>46115</v>
      </c>
      <c r="T2355" s="24">
        <v>46059</v>
      </c>
      <c r="U2355" s="24" t="s">
        <v>80</v>
      </c>
      <c r="X2355" s="24">
        <v>46058</v>
      </c>
      <c r="Y2355" s="23">
        <v>1111</v>
      </c>
      <c r="Z2355" s="23">
        <v>11100137</v>
      </c>
      <c r="AA2355" s="23">
        <v>3951</v>
      </c>
      <c r="AB2355" s="24">
        <v>46058</v>
      </c>
    </row>
    <row r="2356" spans="2:28" x14ac:dyDescent="0.2">
      <c r="C2356" s="23">
        <v>1100576165</v>
      </c>
      <c r="E2356" s="23">
        <v>20</v>
      </c>
      <c r="F2356" s="23" t="s">
        <v>3838</v>
      </c>
      <c r="G2356" s="23" t="s">
        <v>3839</v>
      </c>
      <c r="H2356" s="24">
        <v>46152</v>
      </c>
      <c r="I2356" s="24">
        <v>46152</v>
      </c>
      <c r="J2356" s="23" t="s">
        <v>3307</v>
      </c>
      <c r="K2356" s="23" t="s">
        <v>3307</v>
      </c>
      <c r="L2356" s="23">
        <v>1</v>
      </c>
      <c r="M2356" s="23" t="s">
        <v>78</v>
      </c>
      <c r="N2356" s="23" t="s">
        <v>78</v>
      </c>
      <c r="O2356" s="23">
        <v>2569.19</v>
      </c>
      <c r="P2356" s="23" t="s">
        <v>79</v>
      </c>
      <c r="Q2356" s="23" t="s">
        <v>83</v>
      </c>
      <c r="R2356" s="23">
        <v>11100176</v>
      </c>
      <c r="S2356" s="24">
        <v>46115</v>
      </c>
      <c r="T2356" s="24">
        <v>46059</v>
      </c>
      <c r="U2356" s="24" t="s">
        <v>80</v>
      </c>
      <c r="X2356" s="24">
        <v>46058</v>
      </c>
      <c r="Y2356" s="23">
        <v>1111</v>
      </c>
      <c r="Z2356" s="23">
        <v>11100137</v>
      </c>
      <c r="AA2356" s="23">
        <v>3951</v>
      </c>
      <c r="AB2356" s="24">
        <v>46058</v>
      </c>
    </row>
    <row r="2357" spans="2:28" x14ac:dyDescent="0.2">
      <c r="C2357" s="23">
        <v>1100576165</v>
      </c>
      <c r="E2357" s="23">
        <v>30</v>
      </c>
      <c r="F2357" s="23" t="s">
        <v>3840</v>
      </c>
      <c r="G2357" s="23" t="s">
        <v>3841</v>
      </c>
      <c r="H2357" s="24">
        <v>46152</v>
      </c>
      <c r="I2357" s="24">
        <v>46152</v>
      </c>
      <c r="J2357" s="23" t="s">
        <v>3307</v>
      </c>
      <c r="K2357" s="23" t="s">
        <v>3307</v>
      </c>
      <c r="L2357" s="23">
        <v>1</v>
      </c>
      <c r="M2357" s="23" t="s">
        <v>78</v>
      </c>
      <c r="N2357" s="23" t="s">
        <v>78</v>
      </c>
      <c r="O2357" s="23">
        <v>5130</v>
      </c>
      <c r="P2357" s="23" t="s">
        <v>79</v>
      </c>
      <c r="Q2357" s="23" t="s">
        <v>83</v>
      </c>
      <c r="R2357" s="23">
        <v>11100176</v>
      </c>
      <c r="S2357" s="24">
        <v>46115</v>
      </c>
      <c r="T2357" s="24">
        <v>46059</v>
      </c>
      <c r="U2357" s="24" t="s">
        <v>80</v>
      </c>
      <c r="X2357" s="24">
        <v>46058</v>
      </c>
      <c r="Y2357" s="23">
        <v>1111</v>
      </c>
      <c r="Z2357" s="23">
        <v>11100137</v>
      </c>
      <c r="AA2357" s="23">
        <v>3951</v>
      </c>
      <c r="AB2357" s="24">
        <v>46058</v>
      </c>
    </row>
    <row r="2358" spans="2:28" x14ac:dyDescent="0.2">
      <c r="C2358" s="23">
        <v>1100576165</v>
      </c>
      <c r="E2358" s="23">
        <v>40</v>
      </c>
      <c r="F2358" s="23" t="s">
        <v>3842</v>
      </c>
      <c r="G2358" s="23" t="s">
        <v>3843</v>
      </c>
      <c r="H2358" s="24">
        <v>46152</v>
      </c>
      <c r="I2358" s="24">
        <v>46152</v>
      </c>
      <c r="J2358" s="23" t="s">
        <v>3307</v>
      </c>
      <c r="K2358" s="23" t="s">
        <v>3307</v>
      </c>
      <c r="L2358" s="23">
        <v>4</v>
      </c>
      <c r="M2358" s="23" t="s">
        <v>78</v>
      </c>
      <c r="N2358" s="23" t="s">
        <v>78</v>
      </c>
      <c r="O2358" s="23">
        <v>2322.2399999999998</v>
      </c>
      <c r="P2358" s="23" t="s">
        <v>79</v>
      </c>
      <c r="Q2358" s="23" t="s">
        <v>83</v>
      </c>
      <c r="R2358" s="23">
        <v>11100176</v>
      </c>
      <c r="S2358" s="24">
        <v>46115</v>
      </c>
      <c r="T2358" s="24">
        <v>46059</v>
      </c>
      <c r="U2358" s="24" t="s">
        <v>80</v>
      </c>
      <c r="X2358" s="24">
        <v>46058</v>
      </c>
      <c r="Y2358" s="23">
        <v>1111</v>
      </c>
      <c r="Z2358" s="23">
        <v>11100137</v>
      </c>
      <c r="AA2358" s="23">
        <v>3951</v>
      </c>
      <c r="AB2358" s="24">
        <v>46058</v>
      </c>
    </row>
    <row r="2359" spans="2:28" x14ac:dyDescent="0.2">
      <c r="C2359" s="23">
        <v>1100576165</v>
      </c>
      <c r="E2359" s="23">
        <v>50</v>
      </c>
      <c r="F2359" s="23" t="s">
        <v>84</v>
      </c>
      <c r="G2359" s="23" t="s">
        <v>123</v>
      </c>
      <c r="H2359" s="24">
        <v>46152</v>
      </c>
      <c r="I2359" s="24">
        <v>46152</v>
      </c>
      <c r="J2359" s="23" t="s">
        <v>3307</v>
      </c>
      <c r="K2359" s="23" t="s">
        <v>3307</v>
      </c>
      <c r="L2359" s="23">
        <v>1</v>
      </c>
      <c r="M2359" s="23" t="s">
        <v>78</v>
      </c>
      <c r="N2359" s="23" t="s">
        <v>78</v>
      </c>
      <c r="O2359" s="23">
        <v>0.01</v>
      </c>
      <c r="P2359" s="23" t="s">
        <v>79</v>
      </c>
      <c r="Q2359" s="23" t="s">
        <v>83</v>
      </c>
      <c r="R2359" s="23">
        <v>11100176</v>
      </c>
      <c r="S2359" s="24" t="s">
        <v>80</v>
      </c>
      <c r="T2359" s="24">
        <v>46059</v>
      </c>
      <c r="U2359" s="24" t="s">
        <v>80</v>
      </c>
      <c r="X2359" s="24">
        <v>46058</v>
      </c>
      <c r="Y2359" s="23">
        <v>1111</v>
      </c>
      <c r="Z2359" s="23">
        <v>11100137</v>
      </c>
      <c r="AA2359" s="23">
        <v>3951</v>
      </c>
      <c r="AB2359" s="24">
        <v>46058</v>
      </c>
    </row>
    <row r="2360" spans="2:28" x14ac:dyDescent="0.2">
      <c r="B2360" s="23" t="s">
        <v>81</v>
      </c>
      <c r="C2360" s="23">
        <v>1100576165</v>
      </c>
      <c r="H2360" s="24">
        <v>46152</v>
      </c>
      <c r="O2360" s="23">
        <v>24871.26</v>
      </c>
      <c r="P2360" s="23" t="s">
        <v>79</v>
      </c>
    </row>
    <row r="2361" spans="2:28" x14ac:dyDescent="0.2">
      <c r="C2361" s="23">
        <v>1100577701</v>
      </c>
      <c r="E2361" s="23">
        <v>10</v>
      </c>
      <c r="F2361" s="23" t="s">
        <v>87</v>
      </c>
      <c r="G2361" s="23" t="s">
        <v>3844</v>
      </c>
      <c r="H2361" s="24">
        <v>46152</v>
      </c>
      <c r="I2361" s="24">
        <v>46152</v>
      </c>
      <c r="J2361" s="23" t="s">
        <v>493</v>
      </c>
      <c r="K2361" s="23" t="s">
        <v>493</v>
      </c>
      <c r="L2361" s="23">
        <v>1</v>
      </c>
      <c r="M2361" s="23" t="s">
        <v>78</v>
      </c>
      <c r="N2361" s="23" t="s">
        <v>78</v>
      </c>
      <c r="O2361" s="23">
        <v>18870</v>
      </c>
      <c r="P2361" s="23" t="s">
        <v>79</v>
      </c>
      <c r="Q2361" s="23" t="s">
        <v>83</v>
      </c>
      <c r="R2361" s="23">
        <v>11100176</v>
      </c>
      <c r="S2361" s="24" t="s">
        <v>80</v>
      </c>
      <c r="T2361" s="24">
        <v>46076</v>
      </c>
      <c r="U2361" s="24" t="s">
        <v>80</v>
      </c>
      <c r="X2361" s="24" t="s">
        <v>80</v>
      </c>
      <c r="Y2361" s="23">
        <v>1111</v>
      </c>
      <c r="Z2361" s="23">
        <v>11400606</v>
      </c>
      <c r="AA2361" s="23">
        <v>335803</v>
      </c>
      <c r="AB2361" s="24" t="s">
        <v>80</v>
      </c>
    </row>
    <row r="2362" spans="2:28" x14ac:dyDescent="0.2">
      <c r="C2362" s="23">
        <v>1100577701</v>
      </c>
      <c r="E2362" s="23">
        <v>20</v>
      </c>
      <c r="F2362" s="23" t="s">
        <v>84</v>
      </c>
      <c r="G2362" s="23" t="s">
        <v>123</v>
      </c>
      <c r="H2362" s="24">
        <v>46152</v>
      </c>
      <c r="I2362" s="24">
        <v>46152</v>
      </c>
      <c r="J2362" s="23" t="s">
        <v>493</v>
      </c>
      <c r="K2362" s="23" t="s">
        <v>493</v>
      </c>
      <c r="L2362" s="23">
        <v>1</v>
      </c>
      <c r="M2362" s="23" t="s">
        <v>78</v>
      </c>
      <c r="N2362" s="23" t="s">
        <v>78</v>
      </c>
      <c r="O2362" s="23">
        <v>0.01</v>
      </c>
      <c r="P2362" s="23" t="s">
        <v>79</v>
      </c>
      <c r="Q2362" s="23" t="s">
        <v>83</v>
      </c>
      <c r="R2362" s="23">
        <v>11100176</v>
      </c>
      <c r="S2362" s="24" t="s">
        <v>80</v>
      </c>
      <c r="T2362" s="24">
        <v>46076</v>
      </c>
      <c r="U2362" s="24" t="s">
        <v>80</v>
      </c>
      <c r="X2362" s="24">
        <v>46072</v>
      </c>
      <c r="Y2362" s="23">
        <v>1111</v>
      </c>
      <c r="Z2362" s="23">
        <v>11400606</v>
      </c>
      <c r="AA2362" s="23">
        <v>335803</v>
      </c>
      <c r="AB2362" s="24">
        <v>46076</v>
      </c>
    </row>
    <row r="2363" spans="2:28" x14ac:dyDescent="0.2">
      <c r="C2363" s="23">
        <v>1100577701</v>
      </c>
      <c r="E2363" s="23">
        <v>30</v>
      </c>
      <c r="F2363" s="23" t="s">
        <v>96</v>
      </c>
      <c r="G2363" s="23" t="s">
        <v>97</v>
      </c>
      <c r="H2363" s="24">
        <v>46152</v>
      </c>
      <c r="I2363" s="24">
        <v>46152</v>
      </c>
      <c r="J2363" s="23" t="s">
        <v>493</v>
      </c>
      <c r="K2363" s="23" t="s">
        <v>493</v>
      </c>
      <c r="L2363" s="23">
        <v>1</v>
      </c>
      <c r="M2363" s="23" t="s">
        <v>78</v>
      </c>
      <c r="N2363" s="23" t="s">
        <v>78</v>
      </c>
      <c r="O2363" s="23">
        <v>0.01</v>
      </c>
      <c r="P2363" s="23" t="s">
        <v>79</v>
      </c>
      <c r="Q2363" s="23" t="s">
        <v>83</v>
      </c>
      <c r="R2363" s="23">
        <v>11100176</v>
      </c>
      <c r="S2363" s="24" t="s">
        <v>80</v>
      </c>
      <c r="T2363" s="24">
        <v>46076</v>
      </c>
      <c r="U2363" s="24" t="s">
        <v>80</v>
      </c>
      <c r="X2363" s="24">
        <v>46072</v>
      </c>
      <c r="Y2363" s="23">
        <v>1111</v>
      </c>
      <c r="Z2363" s="23">
        <v>11400606</v>
      </c>
      <c r="AA2363" s="23">
        <v>335803</v>
      </c>
      <c r="AB2363" s="24">
        <v>46076</v>
      </c>
    </row>
    <row r="2364" spans="2:28" x14ac:dyDescent="0.2">
      <c r="C2364" s="23">
        <v>1100577701</v>
      </c>
      <c r="E2364" s="23">
        <v>40</v>
      </c>
      <c r="F2364" s="23" t="s">
        <v>82</v>
      </c>
      <c r="G2364" s="23" t="s">
        <v>139</v>
      </c>
      <c r="H2364" s="24">
        <v>46152</v>
      </c>
      <c r="I2364" s="24">
        <v>46152</v>
      </c>
      <c r="J2364" s="23" t="s">
        <v>493</v>
      </c>
      <c r="K2364" s="23" t="s">
        <v>493</v>
      </c>
      <c r="L2364" s="23">
        <v>1</v>
      </c>
      <c r="M2364" s="23" t="s">
        <v>78</v>
      </c>
      <c r="N2364" s="23" t="s">
        <v>78</v>
      </c>
      <c r="O2364" s="23">
        <v>0.01</v>
      </c>
      <c r="P2364" s="23" t="s">
        <v>79</v>
      </c>
      <c r="Q2364" s="23" t="s">
        <v>83</v>
      </c>
      <c r="R2364" s="23">
        <v>11100176</v>
      </c>
      <c r="S2364" s="24" t="s">
        <v>80</v>
      </c>
      <c r="T2364" s="24">
        <v>46076</v>
      </c>
      <c r="U2364" s="24" t="s">
        <v>80</v>
      </c>
      <c r="X2364" s="24">
        <v>46072</v>
      </c>
      <c r="Y2364" s="23">
        <v>1111</v>
      </c>
      <c r="Z2364" s="23">
        <v>11400606</v>
      </c>
      <c r="AA2364" s="23">
        <v>335803</v>
      </c>
      <c r="AB2364" s="24">
        <v>46076</v>
      </c>
    </row>
    <row r="2365" spans="2:28" x14ac:dyDescent="0.2">
      <c r="B2365" s="23" t="s">
        <v>81</v>
      </c>
      <c r="C2365" s="23">
        <v>1100577701</v>
      </c>
      <c r="H2365" s="24">
        <v>46152</v>
      </c>
      <c r="O2365" s="23">
        <v>18870.03</v>
      </c>
      <c r="P2365" s="23" t="s">
        <v>79</v>
      </c>
    </row>
    <row r="2366" spans="2:28" x14ac:dyDescent="0.2">
      <c r="C2366" s="23">
        <v>1100577896</v>
      </c>
      <c r="E2366" s="23">
        <v>10</v>
      </c>
      <c r="F2366" s="23" t="s">
        <v>3845</v>
      </c>
      <c r="G2366" s="23" t="s">
        <v>3846</v>
      </c>
      <c r="H2366" s="24">
        <v>46153</v>
      </c>
      <c r="I2366" s="24">
        <v>46153</v>
      </c>
      <c r="J2366" s="23" t="s">
        <v>571</v>
      </c>
      <c r="K2366" s="23" t="s">
        <v>571</v>
      </c>
      <c r="L2366" s="23">
        <v>1</v>
      </c>
      <c r="M2366" s="23" t="s">
        <v>78</v>
      </c>
      <c r="N2366" s="23" t="s">
        <v>78</v>
      </c>
      <c r="O2366" s="23">
        <v>1381.59</v>
      </c>
      <c r="P2366" s="23" t="s">
        <v>79</v>
      </c>
      <c r="Q2366" s="23" t="s">
        <v>83</v>
      </c>
      <c r="R2366" s="23">
        <v>11100176</v>
      </c>
      <c r="S2366" s="24">
        <v>46108</v>
      </c>
      <c r="T2366" s="24">
        <v>46078</v>
      </c>
      <c r="U2366" s="24" t="s">
        <v>80</v>
      </c>
      <c r="X2366" s="24">
        <v>46076</v>
      </c>
      <c r="Y2366" s="23">
        <v>1111</v>
      </c>
      <c r="Z2366" s="23">
        <v>11400704</v>
      </c>
      <c r="AA2366" s="23">
        <v>335103</v>
      </c>
      <c r="AB2366" s="24">
        <v>46077</v>
      </c>
    </row>
    <row r="2367" spans="2:28" x14ac:dyDescent="0.2">
      <c r="B2367" s="23" t="s">
        <v>81</v>
      </c>
      <c r="C2367" s="23">
        <v>1100577896</v>
      </c>
      <c r="H2367" s="24">
        <v>46153</v>
      </c>
      <c r="O2367" s="23">
        <v>1381.59</v>
      </c>
      <c r="P2367" s="23" t="s">
        <v>79</v>
      </c>
    </row>
    <row r="2368" spans="2:28" x14ac:dyDescent="0.2">
      <c r="C2368" s="23">
        <v>1100578304</v>
      </c>
      <c r="E2368" s="23">
        <v>10</v>
      </c>
      <c r="F2368" s="23" t="s">
        <v>429</v>
      </c>
      <c r="G2368" s="23" t="s">
        <v>430</v>
      </c>
      <c r="H2368" s="24">
        <v>46153</v>
      </c>
      <c r="I2368" s="24">
        <v>46153</v>
      </c>
      <c r="J2368" s="23" t="s">
        <v>271</v>
      </c>
      <c r="K2368" s="23" t="s">
        <v>271</v>
      </c>
      <c r="L2368" s="23">
        <v>1</v>
      </c>
      <c r="M2368" s="23" t="s">
        <v>78</v>
      </c>
      <c r="N2368" s="23" t="s">
        <v>78</v>
      </c>
      <c r="O2368" s="23">
        <v>2357.14</v>
      </c>
      <c r="P2368" s="23" t="s">
        <v>79</v>
      </c>
      <c r="Q2368" s="23" t="s">
        <v>83</v>
      </c>
      <c r="R2368" s="23">
        <v>11100176</v>
      </c>
      <c r="S2368" s="24">
        <v>46122</v>
      </c>
      <c r="T2368" s="24">
        <v>46080</v>
      </c>
      <c r="U2368" s="24">
        <v>47116</v>
      </c>
      <c r="X2368" s="24">
        <v>46079</v>
      </c>
      <c r="Y2368" s="23">
        <v>1111</v>
      </c>
      <c r="Z2368" s="23">
        <v>11100320</v>
      </c>
      <c r="AA2368" s="23">
        <v>5151</v>
      </c>
      <c r="AB2368" s="24">
        <v>46079</v>
      </c>
    </row>
    <row r="2369" spans="2:28" x14ac:dyDescent="0.2">
      <c r="B2369" s="23" t="s">
        <v>81</v>
      </c>
      <c r="C2369" s="23">
        <v>1100578304</v>
      </c>
      <c r="H2369" s="24">
        <v>46153</v>
      </c>
      <c r="O2369" s="23">
        <v>2357.14</v>
      </c>
      <c r="P2369" s="23" t="s">
        <v>79</v>
      </c>
    </row>
    <row r="2370" spans="2:28" x14ac:dyDescent="0.2">
      <c r="C2370" s="23">
        <v>1100578476</v>
      </c>
      <c r="E2370" s="23">
        <v>10</v>
      </c>
      <c r="F2370" s="23" t="s">
        <v>3847</v>
      </c>
      <c r="G2370" s="23" t="s">
        <v>3848</v>
      </c>
      <c r="H2370" s="24">
        <v>46153</v>
      </c>
      <c r="I2370" s="24">
        <v>46153</v>
      </c>
      <c r="J2370" s="23" t="s">
        <v>3849</v>
      </c>
      <c r="K2370" s="23" t="s">
        <v>3849</v>
      </c>
      <c r="L2370" s="23">
        <v>2</v>
      </c>
      <c r="M2370" s="23" t="s">
        <v>78</v>
      </c>
      <c r="N2370" s="23" t="s">
        <v>78</v>
      </c>
      <c r="O2370" s="23">
        <v>8757.7800000000007</v>
      </c>
      <c r="P2370" s="23" t="s">
        <v>3850</v>
      </c>
      <c r="Q2370" s="23" t="s">
        <v>83</v>
      </c>
      <c r="R2370" s="23">
        <v>11100176</v>
      </c>
      <c r="S2370" s="24">
        <v>46115</v>
      </c>
      <c r="T2370" s="24">
        <v>46083</v>
      </c>
      <c r="U2370" s="24" t="s">
        <v>80</v>
      </c>
      <c r="X2370" s="24">
        <v>46074</v>
      </c>
      <c r="Y2370" s="23">
        <v>1111</v>
      </c>
      <c r="Z2370" s="23">
        <v>11400704</v>
      </c>
      <c r="AA2370" s="23">
        <v>3351</v>
      </c>
      <c r="AB2370" s="24">
        <v>46064</v>
      </c>
    </row>
    <row r="2371" spans="2:28" x14ac:dyDescent="0.2">
      <c r="C2371" s="23">
        <v>1100578476</v>
      </c>
      <c r="E2371" s="23">
        <v>20</v>
      </c>
      <c r="F2371" s="23" t="s">
        <v>3851</v>
      </c>
      <c r="G2371" s="23" t="s">
        <v>3852</v>
      </c>
      <c r="H2371" s="24">
        <v>46153</v>
      </c>
      <c r="I2371" s="24">
        <v>46153</v>
      </c>
      <c r="J2371" s="23" t="s">
        <v>3849</v>
      </c>
      <c r="K2371" s="23" t="s">
        <v>3849</v>
      </c>
      <c r="L2371" s="23">
        <v>1</v>
      </c>
      <c r="M2371" s="23" t="s">
        <v>78</v>
      </c>
      <c r="N2371" s="23" t="s">
        <v>78</v>
      </c>
      <c r="O2371" s="23">
        <v>9683.43</v>
      </c>
      <c r="P2371" s="23" t="s">
        <v>3850</v>
      </c>
      <c r="Q2371" s="23" t="s">
        <v>83</v>
      </c>
      <c r="R2371" s="23">
        <v>11100176</v>
      </c>
      <c r="S2371" s="24">
        <v>46115</v>
      </c>
      <c r="T2371" s="24">
        <v>46083</v>
      </c>
      <c r="U2371" s="24" t="s">
        <v>80</v>
      </c>
      <c r="X2371" s="24">
        <v>46074</v>
      </c>
      <c r="Y2371" s="23">
        <v>1111</v>
      </c>
      <c r="Z2371" s="23">
        <v>11400704</v>
      </c>
      <c r="AA2371" s="23">
        <v>3351</v>
      </c>
      <c r="AB2371" s="24">
        <v>46064</v>
      </c>
    </row>
    <row r="2372" spans="2:28" x14ac:dyDescent="0.2">
      <c r="B2372" s="23" t="s">
        <v>81</v>
      </c>
      <c r="C2372" s="23">
        <v>1100578476</v>
      </c>
      <c r="H2372" s="24">
        <v>46153</v>
      </c>
      <c r="O2372" s="23">
        <v>18441.21</v>
      </c>
      <c r="P2372" s="23" t="s">
        <v>3850</v>
      </c>
    </row>
    <row r="2373" spans="2:28" x14ac:dyDescent="0.2">
      <c r="C2373" s="23">
        <v>1100575090</v>
      </c>
      <c r="E2373" s="23">
        <v>10</v>
      </c>
      <c r="F2373" s="23" t="s">
        <v>3853</v>
      </c>
      <c r="G2373" s="23" t="s">
        <v>3854</v>
      </c>
      <c r="H2373" s="24">
        <v>46154</v>
      </c>
      <c r="I2373" s="24">
        <v>46154</v>
      </c>
      <c r="J2373" s="23" t="s">
        <v>682</v>
      </c>
      <c r="K2373" s="23" t="s">
        <v>682</v>
      </c>
      <c r="L2373" s="23">
        <v>2</v>
      </c>
      <c r="M2373" s="23" t="s">
        <v>78</v>
      </c>
      <c r="N2373" s="23" t="s">
        <v>78</v>
      </c>
      <c r="O2373" s="23">
        <v>6372.86</v>
      </c>
      <c r="P2373" s="23" t="s">
        <v>79</v>
      </c>
      <c r="Q2373" s="23" t="s">
        <v>83</v>
      </c>
      <c r="R2373" s="23">
        <v>11100176</v>
      </c>
      <c r="S2373" s="24">
        <v>46154</v>
      </c>
      <c r="T2373" s="24">
        <v>46049</v>
      </c>
      <c r="U2373" s="24" t="s">
        <v>80</v>
      </c>
      <c r="X2373" s="24">
        <v>46049</v>
      </c>
      <c r="Y2373" s="23">
        <v>1111</v>
      </c>
      <c r="Z2373" s="23">
        <v>11400811</v>
      </c>
      <c r="AA2373" s="23">
        <v>335103</v>
      </c>
      <c r="AB2373" s="24">
        <v>46049</v>
      </c>
    </row>
    <row r="2374" spans="2:28" x14ac:dyDescent="0.2">
      <c r="C2374" s="23">
        <v>1100575090</v>
      </c>
      <c r="E2374" s="23">
        <v>20</v>
      </c>
      <c r="F2374" s="23" t="s">
        <v>2142</v>
      </c>
      <c r="G2374" s="23" t="s">
        <v>2143</v>
      </c>
      <c r="H2374" s="24">
        <v>46154</v>
      </c>
      <c r="I2374" s="24">
        <v>46154</v>
      </c>
      <c r="J2374" s="23" t="s">
        <v>682</v>
      </c>
      <c r="K2374" s="23" t="s">
        <v>682</v>
      </c>
      <c r="L2374" s="23">
        <v>2</v>
      </c>
      <c r="M2374" s="23" t="s">
        <v>78</v>
      </c>
      <c r="N2374" s="23" t="s">
        <v>78</v>
      </c>
      <c r="O2374" s="23">
        <v>7535.14</v>
      </c>
      <c r="P2374" s="23" t="s">
        <v>79</v>
      </c>
      <c r="Q2374" s="23" t="s">
        <v>83</v>
      </c>
      <c r="R2374" s="23">
        <v>11100176</v>
      </c>
      <c r="S2374" s="24">
        <v>46154</v>
      </c>
      <c r="T2374" s="24">
        <v>46049</v>
      </c>
      <c r="U2374" s="24" t="s">
        <v>80</v>
      </c>
      <c r="X2374" s="24">
        <v>46049</v>
      </c>
      <c r="Y2374" s="23">
        <v>1111</v>
      </c>
      <c r="Z2374" s="23">
        <v>11400811</v>
      </c>
      <c r="AA2374" s="23">
        <v>335103</v>
      </c>
      <c r="AB2374" s="24">
        <v>46049</v>
      </c>
    </row>
    <row r="2375" spans="2:28" x14ac:dyDescent="0.2">
      <c r="C2375" s="23">
        <v>1100575090</v>
      </c>
      <c r="E2375" s="23">
        <v>30</v>
      </c>
      <c r="F2375" s="23" t="s">
        <v>3855</v>
      </c>
      <c r="G2375" s="23" t="s">
        <v>3856</v>
      </c>
      <c r="H2375" s="24">
        <v>46154</v>
      </c>
      <c r="I2375" s="24">
        <v>46154</v>
      </c>
      <c r="J2375" s="23" t="s">
        <v>682</v>
      </c>
      <c r="K2375" s="23" t="s">
        <v>682</v>
      </c>
      <c r="L2375" s="23">
        <v>1</v>
      </c>
      <c r="M2375" s="23" t="s">
        <v>78</v>
      </c>
      <c r="N2375" s="23" t="s">
        <v>78</v>
      </c>
      <c r="O2375" s="23">
        <v>3299.37</v>
      </c>
      <c r="P2375" s="23" t="s">
        <v>79</v>
      </c>
      <c r="Q2375" s="23" t="s">
        <v>83</v>
      </c>
      <c r="R2375" s="23">
        <v>11100176</v>
      </c>
      <c r="S2375" s="24">
        <v>46154</v>
      </c>
      <c r="T2375" s="24">
        <v>46049</v>
      </c>
      <c r="U2375" s="24" t="s">
        <v>80</v>
      </c>
      <c r="X2375" s="24">
        <v>46049</v>
      </c>
      <c r="Y2375" s="23">
        <v>1111</v>
      </c>
      <c r="Z2375" s="23">
        <v>11400811</v>
      </c>
      <c r="AA2375" s="23">
        <v>335103</v>
      </c>
      <c r="AB2375" s="24">
        <v>46049</v>
      </c>
    </row>
    <row r="2376" spans="2:28" x14ac:dyDescent="0.2">
      <c r="C2376" s="23">
        <v>1100575090</v>
      </c>
      <c r="E2376" s="23">
        <v>40</v>
      </c>
      <c r="F2376" s="23" t="s">
        <v>3393</v>
      </c>
      <c r="G2376" s="23" t="s">
        <v>3394</v>
      </c>
      <c r="H2376" s="24">
        <v>46154</v>
      </c>
      <c r="I2376" s="24">
        <v>46154</v>
      </c>
      <c r="J2376" s="23" t="s">
        <v>682</v>
      </c>
      <c r="K2376" s="23" t="s">
        <v>682</v>
      </c>
      <c r="L2376" s="23">
        <v>1</v>
      </c>
      <c r="M2376" s="23" t="s">
        <v>78</v>
      </c>
      <c r="N2376" s="23" t="s">
        <v>78</v>
      </c>
      <c r="O2376" s="23">
        <v>3267.57</v>
      </c>
      <c r="P2376" s="23" t="s">
        <v>79</v>
      </c>
      <c r="Q2376" s="23" t="s">
        <v>83</v>
      </c>
      <c r="R2376" s="23">
        <v>11100176</v>
      </c>
      <c r="S2376" s="24">
        <v>46154</v>
      </c>
      <c r="T2376" s="24">
        <v>46049</v>
      </c>
      <c r="U2376" s="24" t="s">
        <v>80</v>
      </c>
      <c r="X2376" s="24">
        <v>46049</v>
      </c>
      <c r="Y2376" s="23">
        <v>1111</v>
      </c>
      <c r="Z2376" s="23">
        <v>11400811</v>
      </c>
      <c r="AA2376" s="23">
        <v>335103</v>
      </c>
      <c r="AB2376" s="24">
        <v>46049</v>
      </c>
    </row>
    <row r="2377" spans="2:28" x14ac:dyDescent="0.2">
      <c r="C2377" s="23">
        <v>1100575090</v>
      </c>
      <c r="E2377" s="23">
        <v>50</v>
      </c>
      <c r="F2377" s="23" t="s">
        <v>3857</v>
      </c>
      <c r="G2377" s="23" t="s">
        <v>3858</v>
      </c>
      <c r="H2377" s="24">
        <v>46154</v>
      </c>
      <c r="I2377" s="24">
        <v>46154</v>
      </c>
      <c r="J2377" s="23" t="s">
        <v>682</v>
      </c>
      <c r="K2377" s="23" t="s">
        <v>682</v>
      </c>
      <c r="L2377" s="23">
        <v>1</v>
      </c>
      <c r="M2377" s="23" t="s">
        <v>78</v>
      </c>
      <c r="N2377" s="23" t="s">
        <v>78</v>
      </c>
      <c r="O2377" s="23">
        <v>3495.42</v>
      </c>
      <c r="P2377" s="23" t="s">
        <v>79</v>
      </c>
      <c r="Q2377" s="23" t="s">
        <v>83</v>
      </c>
      <c r="R2377" s="23">
        <v>11100176</v>
      </c>
      <c r="S2377" s="24">
        <v>46154</v>
      </c>
      <c r="T2377" s="24">
        <v>46049</v>
      </c>
      <c r="U2377" s="24" t="s">
        <v>80</v>
      </c>
      <c r="X2377" s="24">
        <v>46049</v>
      </c>
      <c r="Y2377" s="23">
        <v>1111</v>
      </c>
      <c r="Z2377" s="23">
        <v>11400811</v>
      </c>
      <c r="AA2377" s="23">
        <v>335103</v>
      </c>
      <c r="AB2377" s="24">
        <v>46049</v>
      </c>
    </row>
    <row r="2378" spans="2:28" x14ac:dyDescent="0.2">
      <c r="B2378" s="23" t="s">
        <v>81</v>
      </c>
      <c r="C2378" s="23">
        <v>1100575090</v>
      </c>
      <c r="H2378" s="24">
        <v>46154</v>
      </c>
      <c r="O2378" s="23">
        <v>23970.36</v>
      </c>
      <c r="P2378" s="23" t="s">
        <v>79</v>
      </c>
    </row>
    <row r="2379" spans="2:28" x14ac:dyDescent="0.2">
      <c r="C2379" s="23">
        <v>1100575155</v>
      </c>
      <c r="E2379" s="23">
        <v>10</v>
      </c>
      <c r="F2379" s="23" t="s">
        <v>900</v>
      </c>
      <c r="G2379" s="23" t="s">
        <v>901</v>
      </c>
      <c r="H2379" s="24">
        <v>46154</v>
      </c>
      <c r="I2379" s="24">
        <v>46154</v>
      </c>
      <c r="J2379" s="23" t="s">
        <v>736</v>
      </c>
      <c r="K2379" s="23" t="s">
        <v>736</v>
      </c>
      <c r="L2379" s="23">
        <v>10</v>
      </c>
      <c r="M2379" s="23" t="s">
        <v>78</v>
      </c>
      <c r="N2379" s="23" t="s">
        <v>78</v>
      </c>
      <c r="O2379" s="23">
        <v>1776.33</v>
      </c>
      <c r="P2379" s="23" t="s">
        <v>79</v>
      </c>
      <c r="Q2379" s="23" t="s">
        <v>83</v>
      </c>
      <c r="R2379" s="23">
        <v>11100189</v>
      </c>
      <c r="S2379" s="24">
        <v>46154</v>
      </c>
      <c r="T2379" s="24">
        <v>46050</v>
      </c>
      <c r="U2379" s="24" t="s">
        <v>80</v>
      </c>
      <c r="X2379" s="24">
        <v>45952</v>
      </c>
      <c r="Y2379" s="23">
        <v>1111</v>
      </c>
      <c r="Z2379" s="23">
        <v>11400937</v>
      </c>
      <c r="AA2379" s="23">
        <v>395103</v>
      </c>
      <c r="AB2379" s="24">
        <v>46050</v>
      </c>
    </row>
    <row r="2380" spans="2:28" x14ac:dyDescent="0.2">
      <c r="C2380" s="23">
        <v>1100575155</v>
      </c>
      <c r="E2380" s="23">
        <v>20</v>
      </c>
      <c r="F2380" s="23" t="s">
        <v>82</v>
      </c>
      <c r="G2380" s="23" t="s">
        <v>139</v>
      </c>
      <c r="H2380" s="24">
        <v>46154</v>
      </c>
      <c r="I2380" s="24">
        <v>46154</v>
      </c>
      <c r="J2380" s="23" t="s">
        <v>736</v>
      </c>
      <c r="K2380" s="23" t="s">
        <v>736</v>
      </c>
      <c r="L2380" s="23">
        <v>1</v>
      </c>
      <c r="M2380" s="23" t="s">
        <v>78</v>
      </c>
      <c r="N2380" s="23" t="s">
        <v>78</v>
      </c>
      <c r="O2380" s="23">
        <v>0.01</v>
      </c>
      <c r="P2380" s="23" t="s">
        <v>79</v>
      </c>
      <c r="Q2380" s="23" t="s">
        <v>83</v>
      </c>
      <c r="R2380" s="23">
        <v>11100189</v>
      </c>
      <c r="S2380" s="24" t="s">
        <v>80</v>
      </c>
      <c r="T2380" s="24">
        <v>46050</v>
      </c>
      <c r="U2380" s="24" t="s">
        <v>80</v>
      </c>
      <c r="X2380" s="24">
        <v>45952</v>
      </c>
      <c r="Y2380" s="23">
        <v>1111</v>
      </c>
      <c r="Z2380" s="23">
        <v>11400937</v>
      </c>
      <c r="AA2380" s="23">
        <v>395103</v>
      </c>
      <c r="AB2380" s="24">
        <v>46050</v>
      </c>
    </row>
    <row r="2381" spans="2:28" x14ac:dyDescent="0.2">
      <c r="B2381" s="23" t="s">
        <v>81</v>
      </c>
      <c r="C2381" s="23">
        <v>1100575155</v>
      </c>
      <c r="H2381" s="24">
        <v>46154</v>
      </c>
      <c r="O2381" s="23">
        <v>1776.34</v>
      </c>
      <c r="P2381" s="23" t="s">
        <v>79</v>
      </c>
    </row>
    <row r="2382" spans="2:28" x14ac:dyDescent="0.2">
      <c r="C2382" s="23">
        <v>1100576955</v>
      </c>
      <c r="E2382" s="23">
        <v>10</v>
      </c>
      <c r="F2382" s="23" t="s">
        <v>2027</v>
      </c>
      <c r="G2382" s="23" t="s">
        <v>2028</v>
      </c>
      <c r="H2382" s="24">
        <v>46154</v>
      </c>
      <c r="I2382" s="24">
        <v>46154</v>
      </c>
      <c r="J2382" s="23" t="s">
        <v>389</v>
      </c>
      <c r="K2382" s="23" t="s">
        <v>389</v>
      </c>
      <c r="L2382" s="23">
        <v>4</v>
      </c>
      <c r="M2382" s="23" t="s">
        <v>78</v>
      </c>
      <c r="N2382" s="23" t="s">
        <v>78</v>
      </c>
      <c r="O2382" s="23">
        <v>11425.48</v>
      </c>
      <c r="P2382" s="23" t="s">
        <v>79</v>
      </c>
      <c r="Q2382" s="23" t="s">
        <v>83</v>
      </c>
      <c r="R2382" s="23">
        <v>11100176</v>
      </c>
      <c r="S2382" s="24">
        <v>46112</v>
      </c>
      <c r="T2382" s="24">
        <v>46070</v>
      </c>
      <c r="U2382" s="24" t="s">
        <v>80</v>
      </c>
      <c r="X2382" s="24">
        <v>46066</v>
      </c>
      <c r="Y2382" s="23">
        <v>1111</v>
      </c>
      <c r="Z2382" s="23">
        <v>11600003</v>
      </c>
      <c r="AA2382" s="23">
        <v>5051</v>
      </c>
      <c r="AB2382" s="24">
        <v>46066</v>
      </c>
    </row>
    <row r="2383" spans="2:28" x14ac:dyDescent="0.2">
      <c r="C2383" s="23">
        <v>1100576955</v>
      </c>
      <c r="E2383" s="23">
        <v>20</v>
      </c>
      <c r="F2383" s="23" t="s">
        <v>82</v>
      </c>
      <c r="G2383" s="23" t="s">
        <v>139</v>
      </c>
      <c r="H2383" s="24">
        <v>46154</v>
      </c>
      <c r="I2383" s="24">
        <v>46154</v>
      </c>
      <c r="J2383" s="23" t="s">
        <v>389</v>
      </c>
      <c r="K2383" s="23" t="s">
        <v>389</v>
      </c>
      <c r="L2383" s="23">
        <v>1</v>
      </c>
      <c r="M2383" s="23" t="s">
        <v>78</v>
      </c>
      <c r="N2383" s="23" t="s">
        <v>78</v>
      </c>
      <c r="O2383" s="23">
        <v>0.01</v>
      </c>
      <c r="P2383" s="23" t="s">
        <v>79</v>
      </c>
      <c r="Q2383" s="23" t="s">
        <v>83</v>
      </c>
      <c r="R2383" s="23">
        <v>11100176</v>
      </c>
      <c r="S2383" s="24">
        <v>46112</v>
      </c>
      <c r="T2383" s="24">
        <v>46070</v>
      </c>
      <c r="U2383" s="24" t="s">
        <v>80</v>
      </c>
      <c r="X2383" s="24">
        <v>46066</v>
      </c>
      <c r="Y2383" s="23">
        <v>1111</v>
      </c>
      <c r="Z2383" s="23">
        <v>11600003</v>
      </c>
      <c r="AA2383" s="23">
        <v>5051</v>
      </c>
      <c r="AB2383" s="24">
        <v>46066</v>
      </c>
    </row>
    <row r="2384" spans="2:28" x14ac:dyDescent="0.2">
      <c r="B2384" s="23" t="s">
        <v>81</v>
      </c>
      <c r="C2384" s="23">
        <v>1100576955</v>
      </c>
      <c r="H2384" s="24">
        <v>46154</v>
      </c>
      <c r="O2384" s="23">
        <v>11425.49</v>
      </c>
      <c r="P2384" s="23" t="s">
        <v>79</v>
      </c>
    </row>
    <row r="2385" spans="2:28" x14ac:dyDescent="0.2">
      <c r="C2385" s="23">
        <v>1100577222</v>
      </c>
      <c r="E2385" s="23">
        <v>10</v>
      </c>
      <c r="F2385" s="23" t="s">
        <v>3859</v>
      </c>
      <c r="G2385" s="23" t="s">
        <v>3860</v>
      </c>
      <c r="H2385" s="24">
        <v>46154</v>
      </c>
      <c r="I2385" s="24">
        <v>46154</v>
      </c>
      <c r="J2385" s="23" t="s">
        <v>3861</v>
      </c>
      <c r="K2385" s="23" t="s">
        <v>3861</v>
      </c>
      <c r="L2385" s="23">
        <v>2</v>
      </c>
      <c r="M2385" s="23" t="s">
        <v>78</v>
      </c>
      <c r="N2385" s="23" t="s">
        <v>78</v>
      </c>
      <c r="O2385" s="23">
        <v>1063.48</v>
      </c>
      <c r="P2385" s="23" t="s">
        <v>79</v>
      </c>
      <c r="Q2385" s="23" t="s">
        <v>83</v>
      </c>
      <c r="R2385" s="23">
        <v>11100176</v>
      </c>
      <c r="S2385" s="24">
        <v>46149</v>
      </c>
      <c r="T2385" s="24">
        <v>46072</v>
      </c>
      <c r="U2385" s="24" t="s">
        <v>80</v>
      </c>
      <c r="X2385" s="24">
        <v>46063</v>
      </c>
      <c r="Y2385" s="23">
        <v>1111</v>
      </c>
      <c r="Z2385" s="23">
        <v>11400895</v>
      </c>
      <c r="AA2385" s="23">
        <v>3951</v>
      </c>
      <c r="AB2385" s="24">
        <v>46063</v>
      </c>
    </row>
    <row r="2386" spans="2:28" x14ac:dyDescent="0.2">
      <c r="B2386" s="23" t="s">
        <v>81</v>
      </c>
      <c r="C2386" s="23">
        <v>1100577222</v>
      </c>
      <c r="H2386" s="24">
        <v>46154</v>
      </c>
      <c r="O2386" s="23">
        <v>1063.48</v>
      </c>
      <c r="P2386" s="23" t="s">
        <v>79</v>
      </c>
    </row>
    <row r="2387" spans="2:28" x14ac:dyDescent="0.2">
      <c r="C2387" s="23">
        <v>1100577011</v>
      </c>
      <c r="E2387" s="23">
        <v>10</v>
      </c>
      <c r="F2387" s="23" t="s">
        <v>728</v>
      </c>
      <c r="G2387" s="23" t="s">
        <v>729</v>
      </c>
      <c r="H2387" s="24">
        <v>46155</v>
      </c>
      <c r="I2387" s="24">
        <v>47118</v>
      </c>
      <c r="J2387" s="23" t="s">
        <v>730</v>
      </c>
      <c r="K2387" s="23" t="s">
        <v>730</v>
      </c>
      <c r="L2387" s="23">
        <v>1</v>
      </c>
      <c r="M2387" s="23" t="s">
        <v>78</v>
      </c>
      <c r="N2387" s="23" t="s">
        <v>78</v>
      </c>
      <c r="O2387" s="23">
        <v>3023</v>
      </c>
      <c r="P2387" s="23" t="s">
        <v>79</v>
      </c>
      <c r="Q2387" s="23" t="s">
        <v>83</v>
      </c>
      <c r="R2387" s="23">
        <v>11100176</v>
      </c>
      <c r="S2387" s="24">
        <v>46113</v>
      </c>
      <c r="T2387" s="24">
        <v>46070</v>
      </c>
      <c r="U2387" s="24" t="s">
        <v>80</v>
      </c>
      <c r="X2387" s="24">
        <v>46067</v>
      </c>
      <c r="Y2387" s="23">
        <v>1111</v>
      </c>
      <c r="Z2387" s="23">
        <v>11100320</v>
      </c>
      <c r="AA2387" s="23">
        <v>3951</v>
      </c>
      <c r="AB2387" s="24">
        <v>46066</v>
      </c>
    </row>
    <row r="2388" spans="2:28" x14ac:dyDescent="0.2">
      <c r="B2388" s="23" t="s">
        <v>81</v>
      </c>
      <c r="C2388" s="23">
        <v>1100577011</v>
      </c>
      <c r="H2388" s="24">
        <v>46155</v>
      </c>
      <c r="O2388" s="23">
        <v>3023</v>
      </c>
      <c r="P2388" s="23" t="s">
        <v>79</v>
      </c>
    </row>
    <row r="2389" spans="2:28" x14ac:dyDescent="0.2">
      <c r="C2389" s="23">
        <v>1100577106</v>
      </c>
      <c r="E2389" s="23">
        <v>10</v>
      </c>
      <c r="F2389" s="23" t="s">
        <v>3862</v>
      </c>
      <c r="G2389" s="23" t="s">
        <v>3863</v>
      </c>
      <c r="H2389" s="24">
        <v>46155</v>
      </c>
      <c r="I2389" s="24">
        <v>46155</v>
      </c>
      <c r="J2389" s="23" t="s">
        <v>2668</v>
      </c>
      <c r="K2389" s="23" t="s">
        <v>2668</v>
      </c>
      <c r="L2389" s="23">
        <v>1</v>
      </c>
      <c r="M2389" s="23" t="s">
        <v>78</v>
      </c>
      <c r="N2389" s="23" t="s">
        <v>78</v>
      </c>
      <c r="O2389" s="23">
        <v>2226</v>
      </c>
      <c r="P2389" s="23" t="s">
        <v>79</v>
      </c>
      <c r="Q2389" s="23" t="s">
        <v>83</v>
      </c>
      <c r="R2389" s="23">
        <v>11100176</v>
      </c>
      <c r="S2389" s="24">
        <v>46099</v>
      </c>
      <c r="T2389" s="24">
        <v>46071</v>
      </c>
      <c r="U2389" s="24">
        <v>47116</v>
      </c>
      <c r="X2389" s="24">
        <v>46071</v>
      </c>
      <c r="Y2389" s="23">
        <v>1111</v>
      </c>
      <c r="Z2389" s="23">
        <v>11400789</v>
      </c>
      <c r="AA2389" s="23">
        <v>5151</v>
      </c>
      <c r="AB2389" s="24">
        <v>46069</v>
      </c>
    </row>
    <row r="2390" spans="2:28" x14ac:dyDescent="0.2">
      <c r="C2390" s="23">
        <v>1100577106</v>
      </c>
      <c r="E2390" s="23">
        <v>20</v>
      </c>
      <c r="F2390" s="23" t="s">
        <v>3864</v>
      </c>
      <c r="G2390" s="23" t="s">
        <v>3865</v>
      </c>
      <c r="H2390" s="24">
        <v>46155</v>
      </c>
      <c r="I2390" s="24">
        <v>46155</v>
      </c>
      <c r="J2390" s="23" t="s">
        <v>2668</v>
      </c>
      <c r="K2390" s="23" t="s">
        <v>2668</v>
      </c>
      <c r="L2390" s="23">
        <v>4</v>
      </c>
      <c r="M2390" s="23" t="s">
        <v>78</v>
      </c>
      <c r="N2390" s="23" t="s">
        <v>78</v>
      </c>
      <c r="O2390" s="23">
        <v>1646.6</v>
      </c>
      <c r="P2390" s="23" t="s">
        <v>79</v>
      </c>
      <c r="Q2390" s="23" t="s">
        <v>83</v>
      </c>
      <c r="R2390" s="23">
        <v>11100176</v>
      </c>
      <c r="S2390" s="24">
        <v>46099</v>
      </c>
      <c r="T2390" s="24">
        <v>46071</v>
      </c>
      <c r="U2390" s="24">
        <v>47116</v>
      </c>
      <c r="X2390" s="24">
        <v>46071</v>
      </c>
      <c r="Y2390" s="23">
        <v>1111</v>
      </c>
      <c r="Z2390" s="23">
        <v>11400789</v>
      </c>
      <c r="AA2390" s="23">
        <v>5151</v>
      </c>
      <c r="AB2390" s="24">
        <v>46069</v>
      </c>
    </row>
    <row r="2391" spans="2:28" x14ac:dyDescent="0.2">
      <c r="B2391" s="23" t="s">
        <v>81</v>
      </c>
      <c r="C2391" s="23">
        <v>1100577106</v>
      </c>
      <c r="H2391" s="24">
        <v>46155</v>
      </c>
      <c r="O2391" s="23">
        <v>3872.6</v>
      </c>
      <c r="P2391" s="23" t="s">
        <v>79</v>
      </c>
    </row>
    <row r="2392" spans="2:28" x14ac:dyDescent="0.2">
      <c r="C2392" s="23">
        <v>1100573456</v>
      </c>
      <c r="E2392" s="23">
        <v>10</v>
      </c>
      <c r="F2392" s="23" t="s">
        <v>3866</v>
      </c>
      <c r="G2392" s="23" t="s">
        <v>3867</v>
      </c>
      <c r="H2392" s="24">
        <v>46156</v>
      </c>
      <c r="I2392" s="24">
        <v>46156</v>
      </c>
      <c r="J2392" s="23" t="s">
        <v>138</v>
      </c>
      <c r="K2392" s="23" t="s">
        <v>138</v>
      </c>
      <c r="L2392" s="23">
        <v>1</v>
      </c>
      <c r="M2392" s="23" t="s">
        <v>78</v>
      </c>
      <c r="N2392" s="23" t="s">
        <v>78</v>
      </c>
      <c r="O2392" s="23">
        <v>2460</v>
      </c>
      <c r="P2392" s="23" t="s">
        <v>79</v>
      </c>
      <c r="Q2392" s="23" t="s">
        <v>83</v>
      </c>
      <c r="R2392" s="23">
        <v>11100176</v>
      </c>
      <c r="S2392" s="24">
        <v>46139</v>
      </c>
      <c r="T2392" s="24">
        <v>46034</v>
      </c>
      <c r="U2392" s="24">
        <v>46164</v>
      </c>
      <c r="X2392" s="24">
        <v>46034</v>
      </c>
      <c r="Y2392" s="23">
        <v>1111</v>
      </c>
      <c r="Z2392" s="23">
        <v>11400789</v>
      </c>
      <c r="AA2392" s="23">
        <v>3951</v>
      </c>
      <c r="AB2392" s="24">
        <v>46030</v>
      </c>
    </row>
    <row r="2393" spans="2:28" x14ac:dyDescent="0.2">
      <c r="B2393" s="23" t="s">
        <v>81</v>
      </c>
      <c r="C2393" s="23">
        <v>1100573456</v>
      </c>
      <c r="H2393" s="24">
        <v>46156</v>
      </c>
      <c r="O2393" s="23">
        <v>2460</v>
      </c>
      <c r="P2393" s="23" t="s">
        <v>79</v>
      </c>
    </row>
    <row r="2394" spans="2:28" x14ac:dyDescent="0.2">
      <c r="C2394" s="23">
        <v>1100576197</v>
      </c>
      <c r="E2394" s="23">
        <v>10</v>
      </c>
      <c r="F2394" s="23" t="s">
        <v>3868</v>
      </c>
      <c r="G2394" s="23" t="s">
        <v>3869</v>
      </c>
      <c r="H2394" s="24">
        <v>46156</v>
      </c>
      <c r="I2394" s="24">
        <v>46156</v>
      </c>
      <c r="J2394" s="23" t="s">
        <v>257</v>
      </c>
      <c r="K2394" s="23" t="s">
        <v>257</v>
      </c>
      <c r="L2394" s="23">
        <v>1</v>
      </c>
      <c r="M2394" s="23" t="s">
        <v>78</v>
      </c>
      <c r="N2394" s="23" t="s">
        <v>78</v>
      </c>
      <c r="O2394" s="23">
        <v>786.11</v>
      </c>
      <c r="P2394" s="23" t="s">
        <v>79</v>
      </c>
      <c r="Q2394" s="23" t="s">
        <v>83</v>
      </c>
      <c r="R2394" s="23">
        <v>11100176</v>
      </c>
      <c r="S2394" s="24">
        <v>46156</v>
      </c>
      <c r="T2394" s="24">
        <v>46059</v>
      </c>
      <c r="U2394" s="24" t="s">
        <v>80</v>
      </c>
      <c r="X2394" s="24">
        <v>46059</v>
      </c>
      <c r="Y2394" s="23">
        <v>1111</v>
      </c>
      <c r="Z2394" s="23">
        <v>11100137</v>
      </c>
      <c r="AA2394" s="23">
        <v>3351</v>
      </c>
      <c r="AB2394" s="24">
        <v>46056</v>
      </c>
    </row>
    <row r="2395" spans="2:28" x14ac:dyDescent="0.2">
      <c r="B2395" s="23" t="s">
        <v>81</v>
      </c>
      <c r="C2395" s="23">
        <v>1100576197</v>
      </c>
      <c r="H2395" s="24">
        <v>46156</v>
      </c>
      <c r="O2395" s="23">
        <v>786.11</v>
      </c>
      <c r="P2395" s="23" t="s">
        <v>79</v>
      </c>
    </row>
    <row r="2396" spans="2:28" x14ac:dyDescent="0.2">
      <c r="C2396" s="23">
        <v>1100577137</v>
      </c>
      <c r="E2396" s="23">
        <v>10</v>
      </c>
      <c r="F2396" s="23" t="s">
        <v>2027</v>
      </c>
      <c r="G2396" s="23" t="s">
        <v>2028</v>
      </c>
      <c r="H2396" s="24">
        <v>46156</v>
      </c>
      <c r="I2396" s="24">
        <v>46156</v>
      </c>
      <c r="J2396" s="23" t="s">
        <v>389</v>
      </c>
      <c r="K2396" s="23" t="s">
        <v>389</v>
      </c>
      <c r="L2396" s="23">
        <v>1</v>
      </c>
      <c r="M2396" s="23" t="s">
        <v>78</v>
      </c>
      <c r="N2396" s="23" t="s">
        <v>78</v>
      </c>
      <c r="O2396" s="23">
        <v>2856.37</v>
      </c>
      <c r="P2396" s="23" t="s">
        <v>79</v>
      </c>
      <c r="Q2396" s="23" t="s">
        <v>83</v>
      </c>
      <c r="R2396" s="23">
        <v>11100176</v>
      </c>
      <c r="S2396" s="24">
        <v>46126</v>
      </c>
      <c r="T2396" s="24">
        <v>46071</v>
      </c>
      <c r="U2396" s="24" t="s">
        <v>80</v>
      </c>
      <c r="X2396" s="24">
        <v>46069</v>
      </c>
      <c r="Y2396" s="23">
        <v>1111</v>
      </c>
      <c r="Z2396" s="23">
        <v>11100320</v>
      </c>
      <c r="AA2396" s="23">
        <v>5051</v>
      </c>
      <c r="AB2396" s="24">
        <v>46064</v>
      </c>
    </row>
    <row r="2397" spans="2:28" x14ac:dyDescent="0.2">
      <c r="C2397" s="23">
        <v>1100577137</v>
      </c>
      <c r="E2397" s="23">
        <v>20</v>
      </c>
      <c r="F2397" s="23" t="s">
        <v>82</v>
      </c>
      <c r="G2397" s="23" t="s">
        <v>139</v>
      </c>
      <c r="H2397" s="24">
        <v>46156</v>
      </c>
      <c r="I2397" s="24">
        <v>46156</v>
      </c>
      <c r="J2397" s="23" t="s">
        <v>389</v>
      </c>
      <c r="K2397" s="23" t="s">
        <v>389</v>
      </c>
      <c r="L2397" s="23">
        <v>1</v>
      </c>
      <c r="M2397" s="23" t="s">
        <v>78</v>
      </c>
      <c r="N2397" s="23" t="s">
        <v>78</v>
      </c>
      <c r="O2397" s="23">
        <v>0.01</v>
      </c>
      <c r="P2397" s="23" t="s">
        <v>79</v>
      </c>
      <c r="Q2397" s="23" t="s">
        <v>83</v>
      </c>
      <c r="R2397" s="23">
        <v>11100176</v>
      </c>
      <c r="S2397" s="24">
        <v>46126</v>
      </c>
      <c r="T2397" s="24">
        <v>46071</v>
      </c>
      <c r="U2397" s="24" t="s">
        <v>80</v>
      </c>
      <c r="X2397" s="24">
        <v>46069</v>
      </c>
      <c r="Y2397" s="23">
        <v>1111</v>
      </c>
      <c r="Z2397" s="23">
        <v>11100320</v>
      </c>
      <c r="AA2397" s="23">
        <v>5051</v>
      </c>
      <c r="AB2397" s="24">
        <v>46064</v>
      </c>
    </row>
    <row r="2398" spans="2:28" x14ac:dyDescent="0.2">
      <c r="B2398" s="23" t="s">
        <v>81</v>
      </c>
      <c r="C2398" s="23">
        <v>1100577137</v>
      </c>
      <c r="H2398" s="24">
        <v>46156</v>
      </c>
      <c r="O2398" s="23">
        <v>2856.38</v>
      </c>
      <c r="P2398" s="23" t="s">
        <v>79</v>
      </c>
    </row>
    <row r="2399" spans="2:28" x14ac:dyDescent="0.2">
      <c r="C2399" s="23">
        <v>1100577178</v>
      </c>
      <c r="E2399" s="23">
        <v>10</v>
      </c>
      <c r="F2399" s="23" t="s">
        <v>3870</v>
      </c>
      <c r="G2399" s="23" t="s">
        <v>3871</v>
      </c>
      <c r="H2399" s="24">
        <v>46156</v>
      </c>
      <c r="I2399" s="24">
        <v>46156</v>
      </c>
      <c r="J2399" s="23" t="s">
        <v>99</v>
      </c>
      <c r="K2399" s="23" t="s">
        <v>99</v>
      </c>
      <c r="L2399" s="23">
        <v>1</v>
      </c>
      <c r="M2399" s="23" t="s">
        <v>78</v>
      </c>
      <c r="N2399" s="23" t="s">
        <v>78</v>
      </c>
      <c r="O2399" s="23">
        <v>4151.17</v>
      </c>
      <c r="P2399" s="23" t="s">
        <v>79</v>
      </c>
      <c r="Q2399" s="23" t="s">
        <v>83</v>
      </c>
      <c r="R2399" s="23">
        <v>11100176</v>
      </c>
      <c r="S2399" s="24">
        <v>46108</v>
      </c>
      <c r="T2399" s="24">
        <v>46072</v>
      </c>
      <c r="U2399" s="24" t="s">
        <v>80</v>
      </c>
      <c r="X2399" s="24">
        <v>46065</v>
      </c>
      <c r="Y2399" s="23">
        <v>1111</v>
      </c>
      <c r="Z2399" s="23">
        <v>11600003</v>
      </c>
      <c r="AA2399" s="23">
        <v>5151</v>
      </c>
      <c r="AB2399" s="24">
        <v>46066</v>
      </c>
    </row>
    <row r="2400" spans="2:28" x14ac:dyDescent="0.2">
      <c r="B2400" s="23" t="s">
        <v>81</v>
      </c>
      <c r="C2400" s="23">
        <v>1100577178</v>
      </c>
      <c r="H2400" s="24">
        <v>46156</v>
      </c>
      <c r="O2400" s="23">
        <v>4151.17</v>
      </c>
      <c r="P2400" s="23" t="s">
        <v>79</v>
      </c>
    </row>
    <row r="2401" spans="2:28" x14ac:dyDescent="0.2">
      <c r="C2401" s="23">
        <v>1100577201</v>
      </c>
      <c r="E2401" s="23">
        <v>10</v>
      </c>
      <c r="F2401" s="23" t="s">
        <v>3872</v>
      </c>
      <c r="G2401" s="23" t="s">
        <v>3873</v>
      </c>
      <c r="H2401" s="24">
        <v>46156</v>
      </c>
      <c r="I2401" s="24">
        <v>46156</v>
      </c>
      <c r="J2401" s="23" t="s">
        <v>99</v>
      </c>
      <c r="K2401" s="23" t="s">
        <v>99</v>
      </c>
      <c r="L2401" s="23">
        <v>1</v>
      </c>
      <c r="M2401" s="23" t="s">
        <v>78</v>
      </c>
      <c r="N2401" s="23" t="s">
        <v>78</v>
      </c>
      <c r="O2401" s="23">
        <v>1752</v>
      </c>
      <c r="P2401" s="23" t="s">
        <v>79</v>
      </c>
      <c r="Q2401" s="23" t="s">
        <v>83</v>
      </c>
      <c r="R2401" s="23">
        <v>11100176</v>
      </c>
      <c r="S2401" s="24">
        <v>46142</v>
      </c>
      <c r="T2401" s="24">
        <v>46072</v>
      </c>
      <c r="U2401" s="24">
        <v>47116</v>
      </c>
      <c r="X2401" s="24">
        <v>46069</v>
      </c>
      <c r="Y2401" s="23">
        <v>1111</v>
      </c>
      <c r="Z2401" s="23">
        <v>11400937</v>
      </c>
      <c r="AA2401" s="23">
        <v>5151</v>
      </c>
      <c r="AB2401" s="24">
        <v>46070</v>
      </c>
    </row>
    <row r="2402" spans="2:28" x14ac:dyDescent="0.2">
      <c r="B2402" s="23" t="s">
        <v>81</v>
      </c>
      <c r="C2402" s="23">
        <v>1100577201</v>
      </c>
      <c r="H2402" s="24">
        <v>46156</v>
      </c>
      <c r="O2402" s="23">
        <v>1752</v>
      </c>
      <c r="P2402" s="23" t="s">
        <v>79</v>
      </c>
    </row>
    <row r="2403" spans="2:28" x14ac:dyDescent="0.2">
      <c r="C2403" s="23">
        <v>1100575464</v>
      </c>
      <c r="E2403" s="23">
        <v>10</v>
      </c>
      <c r="F2403" s="23" t="s">
        <v>3874</v>
      </c>
      <c r="G2403" s="23" t="s">
        <v>3875</v>
      </c>
      <c r="H2403" s="24">
        <v>46157</v>
      </c>
      <c r="I2403" s="24">
        <v>46157</v>
      </c>
      <c r="J2403" s="23" t="s">
        <v>1272</v>
      </c>
      <c r="K2403" s="23" t="s">
        <v>1272</v>
      </c>
      <c r="L2403" s="23">
        <v>1</v>
      </c>
      <c r="M2403" s="23" t="s">
        <v>78</v>
      </c>
      <c r="N2403" s="23" t="s">
        <v>78</v>
      </c>
      <c r="O2403" s="23">
        <v>8290</v>
      </c>
      <c r="P2403" s="23" t="s">
        <v>79</v>
      </c>
      <c r="Q2403" s="23" t="s">
        <v>83</v>
      </c>
      <c r="R2403" s="23">
        <v>11100176</v>
      </c>
      <c r="S2403" s="24">
        <v>46136</v>
      </c>
      <c r="T2403" s="24">
        <v>46052</v>
      </c>
      <c r="U2403" s="24" t="s">
        <v>80</v>
      </c>
      <c r="X2403" s="24">
        <v>45979</v>
      </c>
      <c r="Y2403" s="23">
        <v>1111</v>
      </c>
      <c r="Z2403" s="23">
        <v>11400124</v>
      </c>
      <c r="AA2403" s="23">
        <v>395803</v>
      </c>
      <c r="AB2403" s="24">
        <v>47118</v>
      </c>
    </row>
    <row r="2404" spans="2:28" x14ac:dyDescent="0.2">
      <c r="C2404" s="23">
        <v>1100575464</v>
      </c>
      <c r="E2404" s="23">
        <v>20</v>
      </c>
      <c r="F2404" s="23" t="s">
        <v>84</v>
      </c>
      <c r="G2404" s="23" t="s">
        <v>123</v>
      </c>
      <c r="H2404" s="24">
        <v>46157</v>
      </c>
      <c r="I2404" s="24">
        <v>46157</v>
      </c>
      <c r="J2404" s="23" t="s">
        <v>1272</v>
      </c>
      <c r="K2404" s="23" t="s">
        <v>1272</v>
      </c>
      <c r="L2404" s="23">
        <v>1</v>
      </c>
      <c r="M2404" s="23" t="s">
        <v>78</v>
      </c>
      <c r="N2404" s="23" t="s">
        <v>78</v>
      </c>
      <c r="O2404" s="23">
        <v>0.01</v>
      </c>
      <c r="P2404" s="23" t="s">
        <v>79</v>
      </c>
      <c r="Q2404" s="23" t="s">
        <v>83</v>
      </c>
      <c r="R2404" s="23">
        <v>11100176</v>
      </c>
      <c r="S2404" s="24">
        <v>46136</v>
      </c>
      <c r="T2404" s="24">
        <v>46052</v>
      </c>
      <c r="U2404" s="24" t="s">
        <v>80</v>
      </c>
      <c r="X2404" s="24">
        <v>45979</v>
      </c>
      <c r="Y2404" s="23">
        <v>1111</v>
      </c>
      <c r="Z2404" s="23">
        <v>11400124</v>
      </c>
      <c r="AA2404" s="23">
        <v>395803</v>
      </c>
      <c r="AB2404" s="24">
        <v>47118</v>
      </c>
    </row>
    <row r="2405" spans="2:28" x14ac:dyDescent="0.2">
      <c r="C2405" s="23">
        <v>1100575464</v>
      </c>
      <c r="E2405" s="23">
        <v>30</v>
      </c>
      <c r="F2405" s="23" t="s">
        <v>96</v>
      </c>
      <c r="G2405" s="23" t="s">
        <v>97</v>
      </c>
      <c r="H2405" s="24">
        <v>46157</v>
      </c>
      <c r="I2405" s="24">
        <v>46157</v>
      </c>
      <c r="J2405" s="23" t="s">
        <v>1272</v>
      </c>
      <c r="K2405" s="23" t="s">
        <v>1272</v>
      </c>
      <c r="L2405" s="23">
        <v>1</v>
      </c>
      <c r="M2405" s="23" t="s">
        <v>78</v>
      </c>
      <c r="N2405" s="23" t="s">
        <v>78</v>
      </c>
      <c r="O2405" s="23">
        <v>0.01</v>
      </c>
      <c r="P2405" s="23" t="s">
        <v>79</v>
      </c>
      <c r="Q2405" s="23" t="s">
        <v>83</v>
      </c>
      <c r="R2405" s="23">
        <v>11100176</v>
      </c>
      <c r="S2405" s="24">
        <v>46136</v>
      </c>
      <c r="T2405" s="24">
        <v>46052</v>
      </c>
      <c r="U2405" s="24" t="s">
        <v>80</v>
      </c>
      <c r="X2405" s="24">
        <v>45979</v>
      </c>
      <c r="Y2405" s="23">
        <v>1111</v>
      </c>
      <c r="Z2405" s="23">
        <v>11400124</v>
      </c>
      <c r="AA2405" s="23">
        <v>395803</v>
      </c>
      <c r="AB2405" s="24">
        <v>47118</v>
      </c>
    </row>
    <row r="2406" spans="2:28" x14ac:dyDescent="0.2">
      <c r="B2406" s="23" t="s">
        <v>81</v>
      </c>
      <c r="C2406" s="23">
        <v>1100575464</v>
      </c>
      <c r="H2406" s="24">
        <v>46157</v>
      </c>
      <c r="O2406" s="23">
        <v>8290.02</v>
      </c>
      <c r="P2406" s="23" t="s">
        <v>79</v>
      </c>
    </row>
    <row r="2407" spans="2:28" x14ac:dyDescent="0.2">
      <c r="C2407" s="23">
        <v>1100576011</v>
      </c>
      <c r="E2407" s="23">
        <v>10</v>
      </c>
      <c r="F2407" s="23" t="s">
        <v>3876</v>
      </c>
      <c r="G2407" s="23" t="s">
        <v>3877</v>
      </c>
      <c r="H2407" s="24">
        <v>46157</v>
      </c>
      <c r="I2407" s="24">
        <v>46157</v>
      </c>
      <c r="J2407" s="23" t="s">
        <v>3878</v>
      </c>
      <c r="K2407" s="23" t="s">
        <v>3878</v>
      </c>
      <c r="L2407" s="23">
        <v>1</v>
      </c>
      <c r="M2407" s="23" t="s">
        <v>78</v>
      </c>
      <c r="N2407" s="23" t="s">
        <v>78</v>
      </c>
      <c r="O2407" s="23">
        <v>11850.4</v>
      </c>
      <c r="P2407" s="23" t="s">
        <v>79</v>
      </c>
      <c r="Q2407" s="23" t="s">
        <v>83</v>
      </c>
      <c r="R2407" s="23">
        <v>11100176</v>
      </c>
      <c r="S2407" s="24">
        <v>46157</v>
      </c>
      <c r="T2407" s="24">
        <v>46058</v>
      </c>
      <c r="U2407" s="24" t="s">
        <v>80</v>
      </c>
      <c r="X2407" s="24">
        <v>46056</v>
      </c>
      <c r="Y2407" s="23">
        <v>1111</v>
      </c>
      <c r="Z2407" s="23">
        <v>11100320</v>
      </c>
      <c r="AA2407" s="23">
        <v>5051</v>
      </c>
      <c r="AB2407" s="24">
        <v>46036</v>
      </c>
    </row>
    <row r="2408" spans="2:28" x14ac:dyDescent="0.2">
      <c r="C2408" s="23">
        <v>1100576011</v>
      </c>
      <c r="E2408" s="23">
        <v>20</v>
      </c>
      <c r="F2408" s="23" t="s">
        <v>82</v>
      </c>
      <c r="G2408" s="23" t="s">
        <v>139</v>
      </c>
      <c r="H2408" s="24">
        <v>46157</v>
      </c>
      <c r="I2408" s="24">
        <v>46157</v>
      </c>
      <c r="J2408" s="23" t="s">
        <v>3878</v>
      </c>
      <c r="K2408" s="23" t="s">
        <v>3878</v>
      </c>
      <c r="L2408" s="23">
        <v>1</v>
      </c>
      <c r="M2408" s="23" t="s">
        <v>78</v>
      </c>
      <c r="N2408" s="23" t="s">
        <v>78</v>
      </c>
      <c r="O2408" s="23">
        <v>0.01</v>
      </c>
      <c r="P2408" s="23" t="s">
        <v>79</v>
      </c>
      <c r="Q2408" s="23" t="s">
        <v>83</v>
      </c>
      <c r="R2408" s="23">
        <v>11100176</v>
      </c>
      <c r="S2408" s="24">
        <v>46157</v>
      </c>
      <c r="T2408" s="24">
        <v>46058</v>
      </c>
      <c r="U2408" s="24" t="s">
        <v>80</v>
      </c>
      <c r="X2408" s="24">
        <v>46056</v>
      </c>
      <c r="Y2408" s="23">
        <v>1111</v>
      </c>
      <c r="Z2408" s="23">
        <v>11100320</v>
      </c>
      <c r="AA2408" s="23">
        <v>5051</v>
      </c>
      <c r="AB2408" s="24">
        <v>46036</v>
      </c>
    </row>
    <row r="2409" spans="2:28" x14ac:dyDescent="0.2">
      <c r="B2409" s="23" t="s">
        <v>81</v>
      </c>
      <c r="C2409" s="23">
        <v>1100576011</v>
      </c>
      <c r="H2409" s="24">
        <v>46157</v>
      </c>
      <c r="O2409" s="23">
        <v>11850.41</v>
      </c>
      <c r="P2409" s="23" t="s">
        <v>79</v>
      </c>
    </row>
    <row r="2410" spans="2:28" x14ac:dyDescent="0.2">
      <c r="C2410" s="23">
        <v>1100576879</v>
      </c>
      <c r="E2410" s="23">
        <v>10</v>
      </c>
      <c r="F2410" s="23" t="s">
        <v>124</v>
      </c>
      <c r="G2410" s="23" t="s">
        <v>125</v>
      </c>
      <c r="H2410" s="24">
        <v>46157</v>
      </c>
      <c r="I2410" s="24">
        <v>46157</v>
      </c>
      <c r="J2410" s="23" t="s">
        <v>260</v>
      </c>
      <c r="K2410" s="23" t="s">
        <v>260</v>
      </c>
      <c r="L2410" s="23">
        <v>7</v>
      </c>
      <c r="M2410" s="23" t="s">
        <v>78</v>
      </c>
      <c r="N2410" s="23" t="s">
        <v>78</v>
      </c>
      <c r="O2410" s="23">
        <v>2461.06</v>
      </c>
      <c r="P2410" s="23" t="s">
        <v>79</v>
      </c>
      <c r="Q2410" s="23" t="s">
        <v>83</v>
      </c>
      <c r="R2410" s="23">
        <v>11100008</v>
      </c>
      <c r="S2410" s="24">
        <v>46157</v>
      </c>
      <c r="T2410" s="24">
        <v>46066</v>
      </c>
      <c r="U2410" s="24" t="s">
        <v>80</v>
      </c>
      <c r="X2410" s="24">
        <v>46063</v>
      </c>
      <c r="Y2410" s="23">
        <v>1111</v>
      </c>
      <c r="Z2410" s="23">
        <v>11400606</v>
      </c>
      <c r="AA2410" s="23">
        <v>3351</v>
      </c>
      <c r="AB2410" s="24">
        <v>46063</v>
      </c>
    </row>
    <row r="2411" spans="2:28" x14ac:dyDescent="0.2">
      <c r="C2411" s="23">
        <v>1100576879</v>
      </c>
      <c r="E2411" s="23">
        <v>20</v>
      </c>
      <c r="F2411" s="23" t="s">
        <v>261</v>
      </c>
      <c r="G2411" s="23" t="s">
        <v>262</v>
      </c>
      <c r="H2411" s="24">
        <v>46157</v>
      </c>
      <c r="I2411" s="24">
        <v>46157</v>
      </c>
      <c r="J2411" s="23" t="s">
        <v>260</v>
      </c>
      <c r="K2411" s="23" t="s">
        <v>260</v>
      </c>
      <c r="L2411" s="23">
        <v>6</v>
      </c>
      <c r="M2411" s="23" t="s">
        <v>78</v>
      </c>
      <c r="N2411" s="23" t="s">
        <v>78</v>
      </c>
      <c r="O2411" s="23">
        <v>344.64</v>
      </c>
      <c r="P2411" s="23" t="s">
        <v>79</v>
      </c>
      <c r="Q2411" s="23" t="s">
        <v>83</v>
      </c>
      <c r="R2411" s="23">
        <v>11100008</v>
      </c>
      <c r="S2411" s="24">
        <v>46157</v>
      </c>
      <c r="T2411" s="24">
        <v>46066</v>
      </c>
      <c r="U2411" s="24" t="s">
        <v>80</v>
      </c>
      <c r="X2411" s="24">
        <v>46063</v>
      </c>
      <c r="Y2411" s="23">
        <v>1111</v>
      </c>
      <c r="Z2411" s="23">
        <v>11400606</v>
      </c>
      <c r="AA2411" s="23">
        <v>3351</v>
      </c>
      <c r="AB2411" s="24">
        <v>46063</v>
      </c>
    </row>
    <row r="2412" spans="2:28" x14ac:dyDescent="0.2">
      <c r="C2412" s="23">
        <v>1100576879</v>
      </c>
      <c r="E2412" s="23">
        <v>30</v>
      </c>
      <c r="F2412" s="23" t="s">
        <v>261</v>
      </c>
      <c r="G2412" s="23" t="s">
        <v>262</v>
      </c>
      <c r="H2412" s="24">
        <v>46157</v>
      </c>
      <c r="I2412" s="24">
        <v>46157</v>
      </c>
      <c r="J2412" s="23" t="s">
        <v>260</v>
      </c>
      <c r="K2412" s="23" t="s">
        <v>260</v>
      </c>
      <c r="L2412" s="23">
        <v>1</v>
      </c>
      <c r="M2412" s="23" t="s">
        <v>78</v>
      </c>
      <c r="N2412" s="23" t="s">
        <v>78</v>
      </c>
      <c r="O2412" s="23">
        <v>57.44</v>
      </c>
      <c r="P2412" s="23" t="s">
        <v>79</v>
      </c>
      <c r="Q2412" s="23" t="s">
        <v>83</v>
      </c>
      <c r="R2412" s="23">
        <v>11100008</v>
      </c>
      <c r="S2412" s="24">
        <v>46157</v>
      </c>
      <c r="T2412" s="24">
        <v>46066</v>
      </c>
      <c r="U2412" s="24" t="s">
        <v>80</v>
      </c>
      <c r="X2412" s="24">
        <v>46063</v>
      </c>
      <c r="Y2412" s="23">
        <v>1111</v>
      </c>
      <c r="Z2412" s="23">
        <v>11400606</v>
      </c>
      <c r="AA2412" s="23">
        <v>3351</v>
      </c>
      <c r="AB2412" s="24">
        <v>46063</v>
      </c>
    </row>
    <row r="2413" spans="2:28" x14ac:dyDescent="0.2">
      <c r="C2413" s="23">
        <v>1100576879</v>
      </c>
      <c r="E2413" s="23">
        <v>40</v>
      </c>
      <c r="F2413" s="23" t="s">
        <v>390</v>
      </c>
      <c r="G2413" s="23" t="s">
        <v>391</v>
      </c>
      <c r="H2413" s="24">
        <v>46157</v>
      </c>
      <c r="I2413" s="24">
        <v>46157</v>
      </c>
      <c r="J2413" s="23" t="s">
        <v>260</v>
      </c>
      <c r="K2413" s="23" t="s">
        <v>260</v>
      </c>
      <c r="L2413" s="23">
        <v>3</v>
      </c>
      <c r="M2413" s="23" t="s">
        <v>78</v>
      </c>
      <c r="N2413" s="23" t="s">
        <v>78</v>
      </c>
      <c r="O2413" s="23">
        <v>2083.7399999999998</v>
      </c>
      <c r="P2413" s="23" t="s">
        <v>79</v>
      </c>
      <c r="Q2413" s="23" t="s">
        <v>83</v>
      </c>
      <c r="R2413" s="23">
        <v>11100008</v>
      </c>
      <c r="S2413" s="24">
        <v>46157</v>
      </c>
      <c r="T2413" s="24">
        <v>46066</v>
      </c>
      <c r="U2413" s="24" t="s">
        <v>80</v>
      </c>
      <c r="X2413" s="24">
        <v>46063</v>
      </c>
      <c r="Y2413" s="23">
        <v>1111</v>
      </c>
      <c r="Z2413" s="23">
        <v>11400606</v>
      </c>
      <c r="AA2413" s="23">
        <v>3351</v>
      </c>
      <c r="AB2413" s="24">
        <v>46063</v>
      </c>
    </row>
    <row r="2414" spans="2:28" x14ac:dyDescent="0.2">
      <c r="C2414" s="23">
        <v>1100576879</v>
      </c>
      <c r="E2414" s="23">
        <v>50</v>
      </c>
      <c r="F2414" s="23" t="s">
        <v>816</v>
      </c>
      <c r="G2414" s="23" t="s">
        <v>817</v>
      </c>
      <c r="H2414" s="24">
        <v>46157</v>
      </c>
      <c r="I2414" s="24">
        <v>46157</v>
      </c>
      <c r="J2414" s="23" t="s">
        <v>260</v>
      </c>
      <c r="K2414" s="23" t="s">
        <v>260</v>
      </c>
      <c r="L2414" s="23">
        <v>1</v>
      </c>
      <c r="M2414" s="23" t="s">
        <v>78</v>
      </c>
      <c r="N2414" s="23" t="s">
        <v>78</v>
      </c>
      <c r="O2414" s="23">
        <v>323.39999999999998</v>
      </c>
      <c r="P2414" s="23" t="s">
        <v>79</v>
      </c>
      <c r="Q2414" s="23" t="s">
        <v>83</v>
      </c>
      <c r="R2414" s="23">
        <v>11100008</v>
      </c>
      <c r="S2414" s="24">
        <v>46157</v>
      </c>
      <c r="T2414" s="24">
        <v>46066</v>
      </c>
      <c r="U2414" s="24" t="s">
        <v>80</v>
      </c>
      <c r="X2414" s="24">
        <v>46063</v>
      </c>
      <c r="Y2414" s="23">
        <v>1111</v>
      </c>
      <c r="Z2414" s="23">
        <v>11400606</v>
      </c>
      <c r="AA2414" s="23">
        <v>3351</v>
      </c>
      <c r="AB2414" s="24">
        <v>46063</v>
      </c>
    </row>
    <row r="2415" spans="2:28" x14ac:dyDescent="0.2">
      <c r="C2415" s="23">
        <v>1100576879</v>
      </c>
      <c r="E2415" s="23">
        <v>60</v>
      </c>
      <c r="F2415" s="23" t="s">
        <v>284</v>
      </c>
      <c r="G2415" s="23" t="s">
        <v>285</v>
      </c>
      <c r="H2415" s="24">
        <v>46157</v>
      </c>
      <c r="I2415" s="24">
        <v>46157</v>
      </c>
      <c r="J2415" s="23" t="s">
        <v>260</v>
      </c>
      <c r="K2415" s="23" t="s">
        <v>260</v>
      </c>
      <c r="L2415" s="23">
        <v>1</v>
      </c>
      <c r="M2415" s="23" t="s">
        <v>78</v>
      </c>
      <c r="N2415" s="23" t="s">
        <v>78</v>
      </c>
      <c r="O2415" s="23">
        <v>429.88</v>
      </c>
      <c r="P2415" s="23" t="s">
        <v>79</v>
      </c>
      <c r="Q2415" s="23" t="s">
        <v>83</v>
      </c>
      <c r="R2415" s="23">
        <v>11100008</v>
      </c>
      <c r="S2415" s="24">
        <v>46157</v>
      </c>
      <c r="T2415" s="24">
        <v>46066</v>
      </c>
      <c r="U2415" s="24" t="s">
        <v>80</v>
      </c>
      <c r="X2415" s="24">
        <v>46063</v>
      </c>
      <c r="Y2415" s="23">
        <v>1111</v>
      </c>
      <c r="Z2415" s="23">
        <v>11400606</v>
      </c>
      <c r="AA2415" s="23">
        <v>3351</v>
      </c>
      <c r="AB2415" s="24">
        <v>46063</v>
      </c>
    </row>
    <row r="2416" spans="2:28" x14ac:dyDescent="0.2">
      <c r="C2416" s="23">
        <v>1100576879</v>
      </c>
      <c r="E2416" s="23">
        <v>70</v>
      </c>
      <c r="F2416" s="23" t="s">
        <v>284</v>
      </c>
      <c r="G2416" s="23" t="s">
        <v>285</v>
      </c>
      <c r="H2416" s="24">
        <v>46157</v>
      </c>
      <c r="I2416" s="24">
        <v>46157</v>
      </c>
      <c r="J2416" s="23" t="s">
        <v>260</v>
      </c>
      <c r="K2416" s="23" t="s">
        <v>260</v>
      </c>
      <c r="L2416" s="23">
        <v>1</v>
      </c>
      <c r="M2416" s="23" t="s">
        <v>78</v>
      </c>
      <c r="N2416" s="23" t="s">
        <v>78</v>
      </c>
      <c r="O2416" s="23">
        <v>429.88</v>
      </c>
      <c r="P2416" s="23" t="s">
        <v>79</v>
      </c>
      <c r="Q2416" s="23" t="s">
        <v>83</v>
      </c>
      <c r="R2416" s="23">
        <v>11100008</v>
      </c>
      <c r="S2416" s="24">
        <v>46157</v>
      </c>
      <c r="T2416" s="24">
        <v>46066</v>
      </c>
      <c r="U2416" s="24" t="s">
        <v>80</v>
      </c>
      <c r="X2416" s="24">
        <v>46063</v>
      </c>
      <c r="Y2416" s="23">
        <v>1111</v>
      </c>
      <c r="Z2416" s="23">
        <v>11400606</v>
      </c>
      <c r="AA2416" s="23">
        <v>3351</v>
      </c>
      <c r="AB2416" s="24">
        <v>46063</v>
      </c>
    </row>
    <row r="2417" spans="2:28" x14ac:dyDescent="0.2">
      <c r="C2417" s="23">
        <v>1100576879</v>
      </c>
      <c r="E2417" s="23">
        <v>80</v>
      </c>
      <c r="F2417" s="23" t="s">
        <v>1729</v>
      </c>
      <c r="G2417" s="23" t="s">
        <v>1730</v>
      </c>
      <c r="H2417" s="24">
        <v>46157</v>
      </c>
      <c r="I2417" s="24">
        <v>46157</v>
      </c>
      <c r="J2417" s="23" t="s">
        <v>260</v>
      </c>
      <c r="K2417" s="23" t="s">
        <v>260</v>
      </c>
      <c r="L2417" s="23">
        <v>7</v>
      </c>
      <c r="M2417" s="23" t="s">
        <v>78</v>
      </c>
      <c r="N2417" s="23" t="s">
        <v>78</v>
      </c>
      <c r="O2417" s="23">
        <v>1828.96</v>
      </c>
      <c r="P2417" s="23" t="s">
        <v>79</v>
      </c>
      <c r="Q2417" s="23" t="s">
        <v>83</v>
      </c>
      <c r="R2417" s="23">
        <v>11100008</v>
      </c>
      <c r="S2417" s="24">
        <v>46157</v>
      </c>
      <c r="T2417" s="24">
        <v>46066</v>
      </c>
      <c r="U2417" s="24" t="s">
        <v>80</v>
      </c>
      <c r="X2417" s="24">
        <v>46063</v>
      </c>
      <c r="Y2417" s="23">
        <v>1111</v>
      </c>
      <c r="Z2417" s="23">
        <v>11400606</v>
      </c>
      <c r="AA2417" s="23">
        <v>3351</v>
      </c>
      <c r="AB2417" s="24">
        <v>46063</v>
      </c>
    </row>
    <row r="2418" spans="2:28" x14ac:dyDescent="0.2">
      <c r="B2418" s="23" t="s">
        <v>81</v>
      </c>
      <c r="C2418" s="23">
        <v>1100576879</v>
      </c>
      <c r="H2418" s="24">
        <v>46157</v>
      </c>
      <c r="O2418" s="23">
        <v>7959</v>
      </c>
      <c r="P2418" s="23" t="s">
        <v>79</v>
      </c>
    </row>
    <row r="2419" spans="2:28" x14ac:dyDescent="0.2">
      <c r="C2419" s="23">
        <v>1100577402</v>
      </c>
      <c r="E2419" s="23">
        <v>10</v>
      </c>
      <c r="F2419" s="23" t="s">
        <v>1108</v>
      </c>
      <c r="G2419" s="23" t="s">
        <v>1109</v>
      </c>
      <c r="H2419" s="24">
        <v>46157</v>
      </c>
      <c r="I2419" s="24">
        <v>46157</v>
      </c>
      <c r="J2419" s="23" t="s">
        <v>99</v>
      </c>
      <c r="K2419" s="23" t="s">
        <v>99</v>
      </c>
      <c r="L2419" s="23">
        <v>1</v>
      </c>
      <c r="M2419" s="23" t="s">
        <v>78</v>
      </c>
      <c r="N2419" s="23" t="s">
        <v>78</v>
      </c>
      <c r="O2419" s="23">
        <v>2271</v>
      </c>
      <c r="P2419" s="23" t="s">
        <v>79</v>
      </c>
      <c r="Q2419" s="23" t="s">
        <v>83</v>
      </c>
      <c r="R2419" s="23">
        <v>11100176</v>
      </c>
      <c r="S2419" s="24">
        <v>46143</v>
      </c>
      <c r="T2419" s="24">
        <v>46073</v>
      </c>
      <c r="U2419" s="24" t="s">
        <v>80</v>
      </c>
      <c r="X2419" s="24">
        <v>46069</v>
      </c>
      <c r="Y2419" s="23">
        <v>1111</v>
      </c>
      <c r="Z2419" s="23">
        <v>11600001</v>
      </c>
      <c r="AA2419" s="23">
        <v>5051</v>
      </c>
      <c r="AB2419" s="24">
        <v>46071</v>
      </c>
    </row>
    <row r="2420" spans="2:28" x14ac:dyDescent="0.2">
      <c r="B2420" s="23" t="s">
        <v>81</v>
      </c>
      <c r="C2420" s="23">
        <v>1100577402</v>
      </c>
      <c r="H2420" s="24">
        <v>46157</v>
      </c>
      <c r="O2420" s="23">
        <v>2271</v>
      </c>
      <c r="P2420" s="23" t="s">
        <v>79</v>
      </c>
    </row>
    <row r="2421" spans="2:28" x14ac:dyDescent="0.2">
      <c r="C2421" s="23">
        <v>1100577513</v>
      </c>
      <c r="E2421" s="23">
        <v>10</v>
      </c>
      <c r="F2421" s="23" t="s">
        <v>3879</v>
      </c>
      <c r="G2421" s="23" t="s">
        <v>3880</v>
      </c>
      <c r="H2421" s="24">
        <v>46157</v>
      </c>
      <c r="I2421" s="24">
        <v>46157</v>
      </c>
      <c r="J2421" s="23" t="s">
        <v>434</v>
      </c>
      <c r="K2421" s="23" t="s">
        <v>434</v>
      </c>
      <c r="L2421" s="23">
        <v>30</v>
      </c>
      <c r="M2421" s="23" t="s">
        <v>78</v>
      </c>
      <c r="N2421" s="23" t="s">
        <v>78</v>
      </c>
      <c r="O2421" s="23">
        <v>11698.5</v>
      </c>
      <c r="P2421" s="23" t="s">
        <v>79</v>
      </c>
      <c r="Q2421" s="23" t="s">
        <v>83</v>
      </c>
      <c r="R2421" s="23">
        <v>11100176</v>
      </c>
      <c r="S2421" s="24">
        <v>46192</v>
      </c>
      <c r="T2421" s="24">
        <v>46074</v>
      </c>
      <c r="U2421" s="24" t="s">
        <v>80</v>
      </c>
      <c r="X2421" s="24">
        <v>46072</v>
      </c>
      <c r="Y2421" s="23">
        <v>1111</v>
      </c>
      <c r="Z2421" s="23">
        <v>11400811</v>
      </c>
      <c r="AA2421" s="23">
        <v>3951</v>
      </c>
      <c r="AB2421" s="24">
        <v>46072</v>
      </c>
    </row>
    <row r="2422" spans="2:28" x14ac:dyDescent="0.2">
      <c r="C2422" s="23">
        <v>1100577513</v>
      </c>
      <c r="E2422" s="23">
        <v>20</v>
      </c>
      <c r="F2422" s="23" t="s">
        <v>1968</v>
      </c>
      <c r="G2422" s="23" t="s">
        <v>1969</v>
      </c>
      <c r="H2422" s="24">
        <v>46157</v>
      </c>
      <c r="I2422" s="24">
        <v>46157</v>
      </c>
      <c r="J2422" s="23" t="s">
        <v>434</v>
      </c>
      <c r="K2422" s="23" t="s">
        <v>434</v>
      </c>
      <c r="L2422" s="23">
        <v>1</v>
      </c>
      <c r="M2422" s="23" t="s">
        <v>78</v>
      </c>
      <c r="N2422" s="23" t="s">
        <v>78</v>
      </c>
      <c r="O2422" s="23">
        <v>25433.8</v>
      </c>
      <c r="P2422" s="23" t="s">
        <v>79</v>
      </c>
      <c r="Q2422" s="23" t="s">
        <v>83</v>
      </c>
      <c r="R2422" s="23">
        <v>11100176</v>
      </c>
      <c r="S2422" s="24">
        <v>46192</v>
      </c>
      <c r="T2422" s="24">
        <v>46074</v>
      </c>
      <c r="U2422" s="24" t="s">
        <v>80</v>
      </c>
      <c r="X2422" s="24">
        <v>46072</v>
      </c>
      <c r="Y2422" s="23">
        <v>1111</v>
      </c>
      <c r="Z2422" s="23">
        <v>11400811</v>
      </c>
      <c r="AA2422" s="23">
        <v>3951</v>
      </c>
      <c r="AB2422" s="24">
        <v>46072</v>
      </c>
    </row>
    <row r="2423" spans="2:28" x14ac:dyDescent="0.2">
      <c r="C2423" s="23">
        <v>1100577513</v>
      </c>
      <c r="E2423" s="23">
        <v>30</v>
      </c>
      <c r="F2423" s="23" t="s">
        <v>1966</v>
      </c>
      <c r="G2423" s="23" t="s">
        <v>1967</v>
      </c>
      <c r="H2423" s="24">
        <v>46157</v>
      </c>
      <c r="I2423" s="24">
        <v>46157</v>
      </c>
      <c r="J2423" s="23" t="s">
        <v>434</v>
      </c>
      <c r="K2423" s="23" t="s">
        <v>434</v>
      </c>
      <c r="L2423" s="23">
        <v>50</v>
      </c>
      <c r="M2423" s="23" t="s">
        <v>78</v>
      </c>
      <c r="N2423" s="23" t="s">
        <v>78</v>
      </c>
      <c r="O2423" s="23">
        <v>1890</v>
      </c>
      <c r="P2423" s="23" t="s">
        <v>79</v>
      </c>
      <c r="Q2423" s="23" t="s">
        <v>83</v>
      </c>
      <c r="R2423" s="23">
        <v>11100176</v>
      </c>
      <c r="S2423" s="24">
        <v>46192</v>
      </c>
      <c r="T2423" s="24">
        <v>46074</v>
      </c>
      <c r="U2423" s="24" t="s">
        <v>80</v>
      </c>
      <c r="X2423" s="24">
        <v>46072</v>
      </c>
      <c r="Y2423" s="23">
        <v>1111</v>
      </c>
      <c r="Z2423" s="23">
        <v>11400811</v>
      </c>
      <c r="AA2423" s="23">
        <v>3951</v>
      </c>
      <c r="AB2423" s="24">
        <v>46072</v>
      </c>
    </row>
    <row r="2424" spans="2:28" x14ac:dyDescent="0.2">
      <c r="C2424" s="23">
        <v>1100577513</v>
      </c>
      <c r="E2424" s="23">
        <v>40</v>
      </c>
      <c r="F2424" s="23" t="s">
        <v>1964</v>
      </c>
      <c r="G2424" s="23" t="s">
        <v>1965</v>
      </c>
      <c r="H2424" s="24">
        <v>46157</v>
      </c>
      <c r="I2424" s="24">
        <v>46157</v>
      </c>
      <c r="J2424" s="23" t="s">
        <v>434</v>
      </c>
      <c r="K2424" s="23" t="s">
        <v>434</v>
      </c>
      <c r="L2424" s="23">
        <v>50</v>
      </c>
      <c r="M2424" s="23" t="s">
        <v>78</v>
      </c>
      <c r="N2424" s="23" t="s">
        <v>78</v>
      </c>
      <c r="O2424" s="23">
        <v>1400</v>
      </c>
      <c r="P2424" s="23" t="s">
        <v>79</v>
      </c>
      <c r="Q2424" s="23" t="s">
        <v>83</v>
      </c>
      <c r="R2424" s="23">
        <v>11100176</v>
      </c>
      <c r="S2424" s="24">
        <v>46192</v>
      </c>
      <c r="T2424" s="24">
        <v>46074</v>
      </c>
      <c r="U2424" s="24" t="s">
        <v>80</v>
      </c>
      <c r="X2424" s="24">
        <v>46072</v>
      </c>
      <c r="Y2424" s="23">
        <v>1111</v>
      </c>
      <c r="Z2424" s="23">
        <v>11400811</v>
      </c>
      <c r="AA2424" s="23">
        <v>3951</v>
      </c>
      <c r="AB2424" s="24">
        <v>46072</v>
      </c>
    </row>
    <row r="2425" spans="2:28" x14ac:dyDescent="0.2">
      <c r="C2425" s="23">
        <v>1100577513</v>
      </c>
      <c r="E2425" s="23">
        <v>50</v>
      </c>
      <c r="F2425" s="23" t="s">
        <v>1962</v>
      </c>
      <c r="G2425" s="23" t="s">
        <v>1963</v>
      </c>
      <c r="H2425" s="24">
        <v>46157</v>
      </c>
      <c r="I2425" s="24">
        <v>46157</v>
      </c>
      <c r="J2425" s="23" t="s">
        <v>434</v>
      </c>
      <c r="K2425" s="23" t="s">
        <v>434</v>
      </c>
      <c r="L2425" s="23">
        <v>50</v>
      </c>
      <c r="M2425" s="23" t="s">
        <v>78</v>
      </c>
      <c r="N2425" s="23" t="s">
        <v>78</v>
      </c>
      <c r="O2425" s="23">
        <v>1190</v>
      </c>
      <c r="P2425" s="23" t="s">
        <v>79</v>
      </c>
      <c r="Q2425" s="23" t="s">
        <v>83</v>
      </c>
      <c r="R2425" s="23">
        <v>11100176</v>
      </c>
      <c r="S2425" s="24">
        <v>46192</v>
      </c>
      <c r="T2425" s="24">
        <v>46074</v>
      </c>
      <c r="U2425" s="24" t="s">
        <v>80</v>
      </c>
      <c r="X2425" s="24">
        <v>46072</v>
      </c>
      <c r="Y2425" s="23">
        <v>1111</v>
      </c>
      <c r="Z2425" s="23">
        <v>11400811</v>
      </c>
      <c r="AA2425" s="23">
        <v>3951</v>
      </c>
      <c r="AB2425" s="24">
        <v>46072</v>
      </c>
    </row>
    <row r="2426" spans="2:28" x14ac:dyDescent="0.2">
      <c r="B2426" s="23" t="s">
        <v>81</v>
      </c>
      <c r="C2426" s="23">
        <v>1100577513</v>
      </c>
      <c r="H2426" s="24">
        <v>46157</v>
      </c>
      <c r="O2426" s="23">
        <v>41612.300000000003</v>
      </c>
      <c r="P2426" s="23" t="s">
        <v>79</v>
      </c>
    </row>
    <row r="2427" spans="2:28" x14ac:dyDescent="0.2">
      <c r="C2427" s="23">
        <v>1100578508</v>
      </c>
      <c r="E2427" s="23">
        <v>20</v>
      </c>
      <c r="F2427" s="23" t="s">
        <v>3158</v>
      </c>
      <c r="G2427" s="23" t="s">
        <v>3159</v>
      </c>
      <c r="H2427" s="24">
        <v>46157</v>
      </c>
      <c r="I2427" s="24">
        <v>46157</v>
      </c>
      <c r="J2427" s="23" t="s">
        <v>3881</v>
      </c>
      <c r="K2427" s="23" t="s">
        <v>3881</v>
      </c>
      <c r="L2427" s="23">
        <v>3</v>
      </c>
      <c r="M2427" s="23" t="s">
        <v>78</v>
      </c>
      <c r="N2427" s="23" t="s">
        <v>78</v>
      </c>
      <c r="O2427" s="23">
        <v>375</v>
      </c>
      <c r="P2427" s="23" t="s">
        <v>79</v>
      </c>
      <c r="Q2427" s="23" t="s">
        <v>83</v>
      </c>
      <c r="R2427" s="23">
        <v>11100176</v>
      </c>
      <c r="S2427" s="24">
        <v>46154</v>
      </c>
      <c r="T2427" s="24">
        <v>46084</v>
      </c>
      <c r="U2427" s="24">
        <v>47116</v>
      </c>
      <c r="X2427" s="24">
        <v>46084</v>
      </c>
      <c r="Y2427" s="23">
        <v>1111</v>
      </c>
      <c r="Z2427" s="23">
        <v>11400895</v>
      </c>
      <c r="AA2427" s="23">
        <v>335103</v>
      </c>
      <c r="AB2427" s="24">
        <v>46084</v>
      </c>
    </row>
    <row r="2428" spans="2:28" x14ac:dyDescent="0.2">
      <c r="C2428" s="23">
        <v>1100578508</v>
      </c>
      <c r="E2428" s="23">
        <v>30</v>
      </c>
      <c r="F2428" s="23" t="s">
        <v>1076</v>
      </c>
      <c r="G2428" s="23" t="s">
        <v>1077</v>
      </c>
      <c r="H2428" s="24">
        <v>46157</v>
      </c>
      <c r="I2428" s="24">
        <v>47118</v>
      </c>
      <c r="J2428" s="23" t="s">
        <v>3881</v>
      </c>
      <c r="K2428" s="23" t="s">
        <v>3881</v>
      </c>
      <c r="L2428" s="23">
        <v>1</v>
      </c>
      <c r="M2428" s="23" t="s">
        <v>78</v>
      </c>
      <c r="N2428" s="23" t="s">
        <v>78</v>
      </c>
      <c r="O2428" s="23">
        <v>150</v>
      </c>
      <c r="P2428" s="23" t="s">
        <v>79</v>
      </c>
      <c r="Q2428" s="23" t="s">
        <v>83</v>
      </c>
      <c r="R2428" s="23">
        <v>11100176</v>
      </c>
      <c r="S2428" s="24" t="s">
        <v>80</v>
      </c>
      <c r="T2428" s="24">
        <v>46084</v>
      </c>
      <c r="U2428" s="24">
        <v>47116</v>
      </c>
      <c r="X2428" s="24">
        <v>46084</v>
      </c>
      <c r="Y2428" s="23">
        <v>1111</v>
      </c>
      <c r="Z2428" s="23">
        <v>11400895</v>
      </c>
      <c r="AA2428" s="23">
        <v>335103</v>
      </c>
      <c r="AB2428" s="24">
        <v>46084</v>
      </c>
    </row>
    <row r="2429" spans="2:28" x14ac:dyDescent="0.2">
      <c r="B2429" s="23" t="s">
        <v>81</v>
      </c>
      <c r="C2429" s="23">
        <v>1100578508</v>
      </c>
      <c r="H2429" s="24">
        <v>46157</v>
      </c>
      <c r="O2429" s="23">
        <v>525</v>
      </c>
      <c r="P2429" s="23" t="s">
        <v>79</v>
      </c>
    </row>
    <row r="2430" spans="2:28" x14ac:dyDescent="0.2">
      <c r="C2430" s="23">
        <v>1100577239</v>
      </c>
      <c r="E2430" s="23">
        <v>10</v>
      </c>
      <c r="F2430" s="23" t="s">
        <v>3882</v>
      </c>
      <c r="G2430" s="23" t="s">
        <v>3883</v>
      </c>
      <c r="H2430" s="24">
        <v>46159</v>
      </c>
      <c r="I2430" s="24">
        <v>46159</v>
      </c>
      <c r="J2430" s="23" t="s">
        <v>389</v>
      </c>
      <c r="K2430" s="23" t="s">
        <v>389</v>
      </c>
      <c r="L2430" s="23">
        <v>1</v>
      </c>
      <c r="M2430" s="23" t="s">
        <v>78</v>
      </c>
      <c r="N2430" s="23" t="s">
        <v>78</v>
      </c>
      <c r="O2430" s="23">
        <v>2478.0500000000002</v>
      </c>
      <c r="P2430" s="23" t="s">
        <v>79</v>
      </c>
      <c r="Q2430" s="23" t="s">
        <v>83</v>
      </c>
      <c r="R2430" s="23">
        <v>11100176</v>
      </c>
      <c r="S2430" s="24">
        <v>46129</v>
      </c>
      <c r="T2430" s="24">
        <v>46072</v>
      </c>
      <c r="U2430" s="24" t="s">
        <v>80</v>
      </c>
      <c r="X2430" s="24">
        <v>46072</v>
      </c>
      <c r="Y2430" s="23">
        <v>1111</v>
      </c>
      <c r="Z2430" s="23">
        <v>11400789</v>
      </c>
      <c r="AA2430" s="23">
        <v>5051</v>
      </c>
      <c r="AB2430" s="24">
        <v>46070</v>
      </c>
    </row>
    <row r="2431" spans="2:28" x14ac:dyDescent="0.2">
      <c r="B2431" s="23" t="s">
        <v>81</v>
      </c>
      <c r="C2431" s="23">
        <v>1100577239</v>
      </c>
      <c r="H2431" s="24">
        <v>46159</v>
      </c>
      <c r="O2431" s="23">
        <v>2478.0500000000002</v>
      </c>
      <c r="P2431" s="23" t="s">
        <v>79</v>
      </c>
    </row>
    <row r="2432" spans="2:28" x14ac:dyDescent="0.2">
      <c r="C2432" s="23">
        <v>1100574960</v>
      </c>
      <c r="E2432" s="23">
        <v>10</v>
      </c>
      <c r="F2432" s="23" t="s">
        <v>3884</v>
      </c>
      <c r="G2432" s="23" t="s">
        <v>3885</v>
      </c>
      <c r="H2432" s="24">
        <v>46162</v>
      </c>
      <c r="I2432" s="24">
        <v>46162</v>
      </c>
      <c r="J2432" s="23" t="s">
        <v>92</v>
      </c>
      <c r="K2432" s="23" t="s">
        <v>92</v>
      </c>
      <c r="L2432" s="23">
        <v>4</v>
      </c>
      <c r="M2432" s="23" t="s">
        <v>78</v>
      </c>
      <c r="N2432" s="23" t="s">
        <v>78</v>
      </c>
      <c r="O2432" s="23">
        <v>91000</v>
      </c>
      <c r="P2432" s="23" t="s">
        <v>79</v>
      </c>
      <c r="Q2432" s="23" t="s">
        <v>83</v>
      </c>
      <c r="R2432" s="23">
        <v>11100176</v>
      </c>
      <c r="S2432" s="24">
        <v>46132</v>
      </c>
      <c r="T2432" s="24">
        <v>46049</v>
      </c>
      <c r="U2432" s="24" t="s">
        <v>80</v>
      </c>
      <c r="X2432" s="24">
        <v>46048</v>
      </c>
      <c r="Y2432" s="23">
        <v>1111</v>
      </c>
      <c r="Z2432" s="23">
        <v>11400124</v>
      </c>
      <c r="AA2432" s="23">
        <v>525803</v>
      </c>
      <c r="AB2432" s="24">
        <v>47118</v>
      </c>
    </row>
    <row r="2433" spans="2:28" x14ac:dyDescent="0.2">
      <c r="C2433" s="23">
        <v>1100574960</v>
      </c>
      <c r="E2433" s="23">
        <v>20</v>
      </c>
      <c r="F2433" s="23" t="s">
        <v>84</v>
      </c>
      <c r="G2433" s="23" t="s">
        <v>123</v>
      </c>
      <c r="H2433" s="24">
        <v>46162</v>
      </c>
      <c r="I2433" s="24">
        <v>46162</v>
      </c>
      <c r="J2433" s="23" t="s">
        <v>92</v>
      </c>
      <c r="K2433" s="23" t="s">
        <v>92</v>
      </c>
      <c r="L2433" s="23">
        <v>1</v>
      </c>
      <c r="M2433" s="23" t="s">
        <v>78</v>
      </c>
      <c r="N2433" s="23" t="s">
        <v>78</v>
      </c>
      <c r="O2433" s="23">
        <v>0.01</v>
      </c>
      <c r="P2433" s="23" t="s">
        <v>79</v>
      </c>
      <c r="Q2433" s="23" t="s">
        <v>83</v>
      </c>
      <c r="R2433" s="23">
        <v>11100176</v>
      </c>
      <c r="S2433" s="24">
        <v>46132</v>
      </c>
      <c r="T2433" s="24">
        <v>46049</v>
      </c>
      <c r="U2433" s="24" t="s">
        <v>80</v>
      </c>
      <c r="X2433" s="24">
        <v>46048</v>
      </c>
      <c r="Y2433" s="23">
        <v>1111</v>
      </c>
      <c r="Z2433" s="23">
        <v>11400124</v>
      </c>
      <c r="AA2433" s="23">
        <v>525803</v>
      </c>
      <c r="AB2433" s="24">
        <v>47118</v>
      </c>
    </row>
    <row r="2434" spans="2:28" x14ac:dyDescent="0.2">
      <c r="C2434" s="23">
        <v>1100574960</v>
      </c>
      <c r="E2434" s="23">
        <v>30</v>
      </c>
      <c r="F2434" s="23" t="s">
        <v>96</v>
      </c>
      <c r="G2434" s="23" t="s">
        <v>97</v>
      </c>
      <c r="H2434" s="24">
        <v>46162</v>
      </c>
      <c r="I2434" s="24">
        <v>46162</v>
      </c>
      <c r="J2434" s="23" t="s">
        <v>92</v>
      </c>
      <c r="K2434" s="23" t="s">
        <v>92</v>
      </c>
      <c r="L2434" s="23">
        <v>1</v>
      </c>
      <c r="M2434" s="23" t="s">
        <v>78</v>
      </c>
      <c r="N2434" s="23" t="s">
        <v>78</v>
      </c>
      <c r="O2434" s="23">
        <v>0.01</v>
      </c>
      <c r="P2434" s="23" t="s">
        <v>79</v>
      </c>
      <c r="Q2434" s="23" t="s">
        <v>83</v>
      </c>
      <c r="R2434" s="23">
        <v>11100176</v>
      </c>
      <c r="S2434" s="24">
        <v>46132</v>
      </c>
      <c r="T2434" s="24">
        <v>46049</v>
      </c>
      <c r="U2434" s="24" t="s">
        <v>80</v>
      </c>
      <c r="X2434" s="24">
        <v>46048</v>
      </c>
      <c r="Y2434" s="23">
        <v>1111</v>
      </c>
      <c r="Z2434" s="23">
        <v>11400124</v>
      </c>
      <c r="AA2434" s="23">
        <v>525803</v>
      </c>
      <c r="AB2434" s="24">
        <v>47118</v>
      </c>
    </row>
    <row r="2435" spans="2:28" x14ac:dyDescent="0.2">
      <c r="B2435" s="23" t="s">
        <v>81</v>
      </c>
      <c r="C2435" s="23">
        <v>1100574960</v>
      </c>
      <c r="H2435" s="24">
        <v>46162</v>
      </c>
      <c r="O2435" s="23">
        <v>91000.02</v>
      </c>
      <c r="P2435" s="23" t="s">
        <v>79</v>
      </c>
    </row>
    <row r="2436" spans="2:28" x14ac:dyDescent="0.2">
      <c r="C2436" s="23">
        <v>1100575900</v>
      </c>
      <c r="E2436" s="23">
        <v>10</v>
      </c>
      <c r="F2436" s="23" t="s">
        <v>3886</v>
      </c>
      <c r="G2436" s="23" t="s">
        <v>3887</v>
      </c>
      <c r="H2436" s="24">
        <v>46162</v>
      </c>
      <c r="I2436" s="24">
        <v>46162</v>
      </c>
      <c r="J2436" s="23" t="s">
        <v>1757</v>
      </c>
      <c r="K2436" s="23" t="s">
        <v>1757</v>
      </c>
      <c r="L2436" s="23">
        <v>1</v>
      </c>
      <c r="M2436" s="23" t="s">
        <v>566</v>
      </c>
      <c r="N2436" s="23" t="s">
        <v>566</v>
      </c>
      <c r="O2436" s="23">
        <v>3722.62</v>
      </c>
      <c r="P2436" s="23" t="s">
        <v>79</v>
      </c>
      <c r="Q2436" s="23" t="s">
        <v>83</v>
      </c>
      <c r="R2436" s="23">
        <v>11100176</v>
      </c>
      <c r="S2436" s="24">
        <v>46162</v>
      </c>
      <c r="T2436" s="24">
        <v>46057</v>
      </c>
      <c r="U2436" s="24" t="s">
        <v>80</v>
      </c>
      <c r="X2436" s="24">
        <v>46055</v>
      </c>
      <c r="Y2436" s="23">
        <v>1111</v>
      </c>
      <c r="Z2436" s="23">
        <v>11400895</v>
      </c>
      <c r="AA2436" s="23">
        <v>375103</v>
      </c>
      <c r="AB2436" s="24">
        <v>46056</v>
      </c>
    </row>
    <row r="2437" spans="2:28" x14ac:dyDescent="0.2">
      <c r="C2437" s="23">
        <v>1100575900</v>
      </c>
      <c r="E2437" s="23">
        <v>20</v>
      </c>
      <c r="F2437" s="23" t="s">
        <v>82</v>
      </c>
      <c r="G2437" s="23" t="s">
        <v>139</v>
      </c>
      <c r="H2437" s="24">
        <v>46162</v>
      </c>
      <c r="I2437" s="24">
        <v>46162</v>
      </c>
      <c r="J2437" s="23" t="s">
        <v>1757</v>
      </c>
      <c r="K2437" s="23" t="s">
        <v>1757</v>
      </c>
      <c r="L2437" s="23">
        <v>1</v>
      </c>
      <c r="M2437" s="23" t="s">
        <v>78</v>
      </c>
      <c r="N2437" s="23" t="s">
        <v>78</v>
      </c>
      <c r="O2437" s="23">
        <v>0.01</v>
      </c>
      <c r="P2437" s="23" t="s">
        <v>79</v>
      </c>
      <c r="Q2437" s="23" t="s">
        <v>83</v>
      </c>
      <c r="R2437" s="23">
        <v>11100176</v>
      </c>
      <c r="S2437" s="24" t="s">
        <v>80</v>
      </c>
      <c r="T2437" s="24">
        <v>46057</v>
      </c>
      <c r="U2437" s="24" t="s">
        <v>80</v>
      </c>
      <c r="X2437" s="24">
        <v>46055</v>
      </c>
      <c r="Y2437" s="23">
        <v>1111</v>
      </c>
      <c r="Z2437" s="23">
        <v>11400895</v>
      </c>
      <c r="AA2437" s="23">
        <v>375103</v>
      </c>
      <c r="AB2437" s="24">
        <v>46056</v>
      </c>
    </row>
    <row r="2438" spans="2:28" x14ac:dyDescent="0.2">
      <c r="B2438" s="23" t="s">
        <v>81</v>
      </c>
      <c r="C2438" s="23">
        <v>1100575900</v>
      </c>
      <c r="H2438" s="24">
        <v>46162</v>
      </c>
      <c r="O2438" s="23">
        <v>3722.63</v>
      </c>
      <c r="P2438" s="23" t="s">
        <v>79</v>
      </c>
    </row>
    <row r="2439" spans="2:28" x14ac:dyDescent="0.2">
      <c r="C2439" s="23">
        <v>1100577852</v>
      </c>
      <c r="E2439" s="23">
        <v>10</v>
      </c>
      <c r="F2439" s="23" t="s">
        <v>3888</v>
      </c>
      <c r="G2439" s="23" t="s">
        <v>3889</v>
      </c>
      <c r="H2439" s="24">
        <v>46162</v>
      </c>
      <c r="I2439" s="24">
        <v>46162</v>
      </c>
      <c r="J2439" s="23" t="s">
        <v>830</v>
      </c>
      <c r="K2439" s="23" t="s">
        <v>830</v>
      </c>
      <c r="L2439" s="23">
        <v>6</v>
      </c>
      <c r="M2439" s="23" t="s">
        <v>78</v>
      </c>
      <c r="N2439" s="23" t="s">
        <v>78</v>
      </c>
      <c r="O2439" s="23">
        <v>2788.32</v>
      </c>
      <c r="P2439" s="23" t="s">
        <v>79</v>
      </c>
      <c r="Q2439" s="23" t="s">
        <v>83</v>
      </c>
      <c r="R2439" s="23">
        <v>11100176</v>
      </c>
      <c r="S2439" s="24">
        <v>46113</v>
      </c>
      <c r="T2439" s="24">
        <v>46078</v>
      </c>
      <c r="U2439" s="24" t="s">
        <v>80</v>
      </c>
      <c r="X2439" s="24">
        <v>46076</v>
      </c>
      <c r="Y2439" s="23">
        <v>1111</v>
      </c>
      <c r="Z2439" s="23">
        <v>11400745</v>
      </c>
      <c r="AA2439" s="23">
        <v>5051</v>
      </c>
      <c r="AB2439" s="24">
        <v>46076</v>
      </c>
    </row>
    <row r="2440" spans="2:28" x14ac:dyDescent="0.2">
      <c r="C2440" s="23">
        <v>1100577852</v>
      </c>
      <c r="E2440" s="23">
        <v>20</v>
      </c>
      <c r="F2440" s="23" t="s">
        <v>3890</v>
      </c>
      <c r="G2440" s="23" t="s">
        <v>3891</v>
      </c>
      <c r="H2440" s="24">
        <v>46162</v>
      </c>
      <c r="I2440" s="24">
        <v>46162</v>
      </c>
      <c r="J2440" s="23" t="s">
        <v>830</v>
      </c>
      <c r="K2440" s="23" t="s">
        <v>830</v>
      </c>
      <c r="L2440" s="23">
        <v>1</v>
      </c>
      <c r="M2440" s="23" t="s">
        <v>78</v>
      </c>
      <c r="N2440" s="23" t="s">
        <v>78</v>
      </c>
      <c r="O2440" s="23">
        <v>2609.62</v>
      </c>
      <c r="P2440" s="23" t="s">
        <v>79</v>
      </c>
      <c r="Q2440" s="23" t="s">
        <v>83</v>
      </c>
      <c r="R2440" s="23">
        <v>11100176</v>
      </c>
      <c r="S2440" s="24">
        <v>46113</v>
      </c>
      <c r="T2440" s="24">
        <v>46078</v>
      </c>
      <c r="U2440" s="24" t="s">
        <v>80</v>
      </c>
      <c r="X2440" s="24">
        <v>46076</v>
      </c>
      <c r="Y2440" s="23">
        <v>1111</v>
      </c>
      <c r="Z2440" s="23">
        <v>11400745</v>
      </c>
      <c r="AA2440" s="23">
        <v>5051</v>
      </c>
      <c r="AB2440" s="24">
        <v>46076</v>
      </c>
    </row>
    <row r="2441" spans="2:28" x14ac:dyDescent="0.2">
      <c r="C2441" s="23">
        <v>1100577852</v>
      </c>
      <c r="E2441" s="23">
        <v>30</v>
      </c>
      <c r="F2441" s="23" t="s">
        <v>82</v>
      </c>
      <c r="G2441" s="23" t="s">
        <v>139</v>
      </c>
      <c r="H2441" s="24">
        <v>46162</v>
      </c>
      <c r="I2441" s="24">
        <v>46162</v>
      </c>
      <c r="J2441" s="23" t="s">
        <v>830</v>
      </c>
      <c r="K2441" s="23" t="s">
        <v>830</v>
      </c>
      <c r="L2441" s="23">
        <v>1</v>
      </c>
      <c r="M2441" s="23" t="s">
        <v>78</v>
      </c>
      <c r="N2441" s="23" t="s">
        <v>78</v>
      </c>
      <c r="O2441" s="23">
        <v>0.01</v>
      </c>
      <c r="P2441" s="23" t="s">
        <v>79</v>
      </c>
      <c r="Q2441" s="23" t="s">
        <v>83</v>
      </c>
      <c r="R2441" s="23">
        <v>11100176</v>
      </c>
      <c r="S2441" s="24" t="s">
        <v>80</v>
      </c>
      <c r="T2441" s="24">
        <v>46078</v>
      </c>
      <c r="U2441" s="24" t="s">
        <v>80</v>
      </c>
      <c r="X2441" s="24">
        <v>46076</v>
      </c>
      <c r="Y2441" s="23">
        <v>1111</v>
      </c>
      <c r="Z2441" s="23">
        <v>11400745</v>
      </c>
      <c r="AA2441" s="23">
        <v>5051</v>
      </c>
      <c r="AB2441" s="24">
        <v>46076</v>
      </c>
    </row>
    <row r="2442" spans="2:28" x14ac:dyDescent="0.2">
      <c r="B2442" s="23" t="s">
        <v>81</v>
      </c>
      <c r="C2442" s="23">
        <v>1100577852</v>
      </c>
      <c r="H2442" s="24">
        <v>46162</v>
      </c>
      <c r="O2442" s="23">
        <v>5397.95</v>
      </c>
      <c r="P2442" s="23" t="s">
        <v>79</v>
      </c>
    </row>
    <row r="2443" spans="2:28" x14ac:dyDescent="0.2">
      <c r="C2443" s="23">
        <v>1100577868</v>
      </c>
      <c r="E2443" s="23">
        <v>10</v>
      </c>
      <c r="F2443" s="23" t="s">
        <v>3378</v>
      </c>
      <c r="G2443" s="23" t="s">
        <v>3379</v>
      </c>
      <c r="H2443" s="24">
        <v>46162</v>
      </c>
      <c r="I2443" s="24">
        <v>46162</v>
      </c>
      <c r="J2443" s="23" t="s">
        <v>741</v>
      </c>
      <c r="K2443" s="23" t="s">
        <v>741</v>
      </c>
      <c r="L2443" s="23">
        <v>1</v>
      </c>
      <c r="M2443" s="23" t="s">
        <v>78</v>
      </c>
      <c r="N2443" s="23" t="s">
        <v>78</v>
      </c>
      <c r="O2443" s="23">
        <v>2603.09</v>
      </c>
      <c r="P2443" s="23" t="s">
        <v>79</v>
      </c>
      <c r="Q2443" s="23" t="s">
        <v>83</v>
      </c>
      <c r="R2443" s="23">
        <v>11100176</v>
      </c>
      <c r="S2443" s="24">
        <v>46162</v>
      </c>
      <c r="T2443" s="24">
        <v>46078</v>
      </c>
      <c r="U2443" s="24" t="s">
        <v>80</v>
      </c>
      <c r="X2443" s="24">
        <v>46076</v>
      </c>
      <c r="Y2443" s="23">
        <v>1111</v>
      </c>
      <c r="Z2443" s="23">
        <v>11400797</v>
      </c>
      <c r="AA2443" s="23">
        <v>335103</v>
      </c>
      <c r="AB2443" s="24">
        <v>46077</v>
      </c>
    </row>
    <row r="2444" spans="2:28" x14ac:dyDescent="0.2">
      <c r="C2444" s="23">
        <v>1100577868</v>
      </c>
      <c r="E2444" s="23">
        <v>20</v>
      </c>
      <c r="F2444" s="23" t="s">
        <v>82</v>
      </c>
      <c r="G2444" s="23" t="s">
        <v>139</v>
      </c>
      <c r="H2444" s="24">
        <v>46162</v>
      </c>
      <c r="I2444" s="24">
        <v>46162</v>
      </c>
      <c r="J2444" s="23" t="s">
        <v>741</v>
      </c>
      <c r="K2444" s="23" t="s">
        <v>741</v>
      </c>
      <c r="L2444" s="23">
        <v>1</v>
      </c>
      <c r="M2444" s="23" t="s">
        <v>78</v>
      </c>
      <c r="N2444" s="23" t="s">
        <v>78</v>
      </c>
      <c r="O2444" s="23">
        <v>0.01</v>
      </c>
      <c r="P2444" s="23" t="s">
        <v>79</v>
      </c>
      <c r="Q2444" s="23" t="s">
        <v>83</v>
      </c>
      <c r="R2444" s="23">
        <v>11100176</v>
      </c>
      <c r="S2444" s="24" t="s">
        <v>80</v>
      </c>
      <c r="T2444" s="24">
        <v>46078</v>
      </c>
      <c r="U2444" s="24" t="s">
        <v>80</v>
      </c>
      <c r="X2444" s="24">
        <v>46076</v>
      </c>
      <c r="Y2444" s="23">
        <v>1111</v>
      </c>
      <c r="Z2444" s="23">
        <v>11400797</v>
      </c>
      <c r="AA2444" s="23">
        <v>335103</v>
      </c>
      <c r="AB2444" s="24">
        <v>46077</v>
      </c>
    </row>
    <row r="2445" spans="2:28" x14ac:dyDescent="0.2">
      <c r="B2445" s="23" t="s">
        <v>81</v>
      </c>
      <c r="C2445" s="23">
        <v>1100577868</v>
      </c>
      <c r="H2445" s="24">
        <v>46162</v>
      </c>
      <c r="O2445" s="23">
        <v>2603.1</v>
      </c>
      <c r="P2445" s="23" t="s">
        <v>79</v>
      </c>
    </row>
    <row r="2446" spans="2:28" x14ac:dyDescent="0.2">
      <c r="C2446" s="23">
        <v>1100577874</v>
      </c>
      <c r="E2446" s="23">
        <v>10</v>
      </c>
      <c r="F2446" s="23" t="s">
        <v>3892</v>
      </c>
      <c r="G2446" s="23" t="s">
        <v>3893</v>
      </c>
      <c r="H2446" s="24">
        <v>46162</v>
      </c>
      <c r="I2446" s="24">
        <v>46162</v>
      </c>
      <c r="J2446" s="23" t="s">
        <v>99</v>
      </c>
      <c r="K2446" s="23" t="s">
        <v>99</v>
      </c>
      <c r="L2446" s="23">
        <v>1</v>
      </c>
      <c r="M2446" s="23" t="s">
        <v>78</v>
      </c>
      <c r="N2446" s="23" t="s">
        <v>78</v>
      </c>
      <c r="O2446" s="23">
        <v>3883.33</v>
      </c>
      <c r="P2446" s="23" t="s">
        <v>79</v>
      </c>
      <c r="Q2446" s="23" t="s">
        <v>83</v>
      </c>
      <c r="R2446" s="23">
        <v>11100176</v>
      </c>
      <c r="S2446" s="24">
        <v>46113</v>
      </c>
      <c r="T2446" s="24">
        <v>46078</v>
      </c>
      <c r="U2446" s="24" t="s">
        <v>80</v>
      </c>
      <c r="X2446" s="24">
        <v>46078</v>
      </c>
      <c r="Y2446" s="23">
        <v>1111</v>
      </c>
      <c r="Z2446" s="23">
        <v>11400789</v>
      </c>
      <c r="AA2446" s="23">
        <v>5151</v>
      </c>
      <c r="AB2446" s="24">
        <v>46073</v>
      </c>
    </row>
    <row r="2447" spans="2:28" x14ac:dyDescent="0.2">
      <c r="C2447" s="23">
        <v>1100577874</v>
      </c>
      <c r="E2447" s="23">
        <v>20</v>
      </c>
      <c r="F2447" s="23" t="s">
        <v>82</v>
      </c>
      <c r="G2447" s="23" t="s">
        <v>139</v>
      </c>
      <c r="H2447" s="24">
        <v>46162</v>
      </c>
      <c r="I2447" s="24">
        <v>46162</v>
      </c>
      <c r="J2447" s="23" t="s">
        <v>99</v>
      </c>
      <c r="K2447" s="23" t="s">
        <v>99</v>
      </c>
      <c r="L2447" s="23">
        <v>1</v>
      </c>
      <c r="M2447" s="23" t="s">
        <v>78</v>
      </c>
      <c r="N2447" s="23" t="s">
        <v>78</v>
      </c>
      <c r="O2447" s="23">
        <v>0.01</v>
      </c>
      <c r="P2447" s="23" t="s">
        <v>79</v>
      </c>
      <c r="Q2447" s="23" t="s">
        <v>83</v>
      </c>
      <c r="R2447" s="23">
        <v>11100176</v>
      </c>
      <c r="S2447" s="24" t="s">
        <v>80</v>
      </c>
      <c r="T2447" s="24">
        <v>46078</v>
      </c>
      <c r="U2447" s="24" t="s">
        <v>80</v>
      </c>
      <c r="X2447" s="24">
        <v>46078</v>
      </c>
      <c r="Y2447" s="23">
        <v>1111</v>
      </c>
      <c r="Z2447" s="23">
        <v>11400789</v>
      </c>
      <c r="AA2447" s="23">
        <v>5151</v>
      </c>
      <c r="AB2447" s="24">
        <v>46073</v>
      </c>
    </row>
    <row r="2448" spans="2:28" x14ac:dyDescent="0.2">
      <c r="B2448" s="23" t="s">
        <v>81</v>
      </c>
      <c r="C2448" s="23">
        <v>1100577874</v>
      </c>
      <c r="H2448" s="24">
        <v>46162</v>
      </c>
      <c r="O2448" s="23">
        <v>3883.34</v>
      </c>
      <c r="P2448" s="23" t="s">
        <v>79</v>
      </c>
    </row>
    <row r="2449" spans="2:28" x14ac:dyDescent="0.2">
      <c r="C2449" s="23">
        <v>1100577879</v>
      </c>
      <c r="E2449" s="23">
        <v>10</v>
      </c>
      <c r="F2449" s="23" t="s">
        <v>1117</v>
      </c>
      <c r="G2449" s="23" t="s">
        <v>1118</v>
      </c>
      <c r="H2449" s="24">
        <v>46162</v>
      </c>
      <c r="I2449" s="24">
        <v>46162</v>
      </c>
      <c r="J2449" s="23" t="s">
        <v>3894</v>
      </c>
      <c r="K2449" s="23" t="s">
        <v>3894</v>
      </c>
      <c r="L2449" s="23">
        <v>1</v>
      </c>
      <c r="M2449" s="23" t="s">
        <v>78</v>
      </c>
      <c r="N2449" s="23" t="s">
        <v>78</v>
      </c>
      <c r="O2449" s="23">
        <v>1350</v>
      </c>
      <c r="P2449" s="23" t="s">
        <v>79</v>
      </c>
      <c r="Q2449" s="23" t="s">
        <v>83</v>
      </c>
      <c r="R2449" s="23">
        <v>11100176</v>
      </c>
      <c r="S2449" s="24">
        <v>46129</v>
      </c>
      <c r="T2449" s="24">
        <v>46078</v>
      </c>
      <c r="U2449" s="24" t="s">
        <v>80</v>
      </c>
      <c r="X2449" s="24">
        <v>46076</v>
      </c>
      <c r="Y2449" s="23">
        <v>1111</v>
      </c>
      <c r="Z2449" s="23">
        <v>11400704</v>
      </c>
      <c r="AA2449" s="23">
        <v>5051</v>
      </c>
      <c r="AB2449" s="24">
        <v>46071</v>
      </c>
    </row>
    <row r="2450" spans="2:28" x14ac:dyDescent="0.2">
      <c r="C2450" s="23">
        <v>1100577879</v>
      </c>
      <c r="E2450" s="23">
        <v>20</v>
      </c>
      <c r="F2450" s="23" t="s">
        <v>82</v>
      </c>
      <c r="G2450" s="23" t="s">
        <v>139</v>
      </c>
      <c r="H2450" s="24">
        <v>46162</v>
      </c>
      <c r="I2450" s="24">
        <v>46162</v>
      </c>
      <c r="J2450" s="23" t="s">
        <v>3894</v>
      </c>
      <c r="K2450" s="23" t="s">
        <v>3894</v>
      </c>
      <c r="L2450" s="23">
        <v>1</v>
      </c>
      <c r="M2450" s="23" t="s">
        <v>78</v>
      </c>
      <c r="N2450" s="23" t="s">
        <v>78</v>
      </c>
      <c r="O2450" s="23">
        <v>0.01</v>
      </c>
      <c r="P2450" s="23" t="s">
        <v>79</v>
      </c>
      <c r="Q2450" s="23" t="s">
        <v>83</v>
      </c>
      <c r="R2450" s="23">
        <v>11100176</v>
      </c>
      <c r="S2450" s="24" t="s">
        <v>80</v>
      </c>
      <c r="T2450" s="24">
        <v>46078</v>
      </c>
      <c r="U2450" s="24" t="s">
        <v>80</v>
      </c>
      <c r="X2450" s="24">
        <v>46076</v>
      </c>
      <c r="Y2450" s="23">
        <v>1111</v>
      </c>
      <c r="Z2450" s="23">
        <v>11400704</v>
      </c>
      <c r="AA2450" s="23">
        <v>5051</v>
      </c>
      <c r="AB2450" s="24">
        <v>46071</v>
      </c>
    </row>
    <row r="2451" spans="2:28" x14ac:dyDescent="0.2">
      <c r="B2451" s="23" t="s">
        <v>81</v>
      </c>
      <c r="C2451" s="23">
        <v>1100577879</v>
      </c>
      <c r="H2451" s="24">
        <v>46162</v>
      </c>
      <c r="O2451" s="23">
        <v>1350.01</v>
      </c>
      <c r="P2451" s="23" t="s">
        <v>79</v>
      </c>
    </row>
    <row r="2452" spans="2:28" x14ac:dyDescent="0.2">
      <c r="C2452" s="23">
        <v>1100574321</v>
      </c>
      <c r="E2452" s="23">
        <v>10</v>
      </c>
      <c r="F2452" s="23" t="s">
        <v>3884</v>
      </c>
      <c r="G2452" s="23" t="s">
        <v>3885</v>
      </c>
      <c r="H2452" s="24">
        <v>46163</v>
      </c>
      <c r="I2452" s="24">
        <v>46163</v>
      </c>
      <c r="J2452" s="23" t="s">
        <v>92</v>
      </c>
      <c r="K2452" s="23" t="s">
        <v>92</v>
      </c>
      <c r="L2452" s="23">
        <v>1</v>
      </c>
      <c r="M2452" s="23" t="s">
        <v>78</v>
      </c>
      <c r="N2452" s="23" t="s">
        <v>78</v>
      </c>
      <c r="O2452" s="23">
        <v>22750</v>
      </c>
      <c r="P2452" s="23" t="s">
        <v>79</v>
      </c>
      <c r="Q2452" s="23" t="s">
        <v>83</v>
      </c>
      <c r="R2452" s="23">
        <v>11100176</v>
      </c>
      <c r="S2452" s="24">
        <v>46127</v>
      </c>
      <c r="T2452" s="24">
        <v>46043</v>
      </c>
      <c r="U2452" s="24" t="s">
        <v>80</v>
      </c>
      <c r="X2452" s="24">
        <v>46037</v>
      </c>
      <c r="Y2452" s="23">
        <v>1111</v>
      </c>
      <c r="Z2452" s="23">
        <v>11400124</v>
      </c>
      <c r="AA2452" s="23">
        <v>525803</v>
      </c>
      <c r="AB2452" s="24">
        <v>47118</v>
      </c>
    </row>
    <row r="2453" spans="2:28" x14ac:dyDescent="0.2">
      <c r="C2453" s="23">
        <v>1100574321</v>
      </c>
      <c r="E2453" s="23">
        <v>20</v>
      </c>
      <c r="F2453" s="23" t="s">
        <v>84</v>
      </c>
      <c r="G2453" s="23" t="s">
        <v>123</v>
      </c>
      <c r="H2453" s="24">
        <v>46163</v>
      </c>
      <c r="I2453" s="24">
        <v>46163</v>
      </c>
      <c r="J2453" s="23" t="s">
        <v>92</v>
      </c>
      <c r="K2453" s="23" t="s">
        <v>92</v>
      </c>
      <c r="L2453" s="23">
        <v>1</v>
      </c>
      <c r="M2453" s="23" t="s">
        <v>78</v>
      </c>
      <c r="N2453" s="23" t="s">
        <v>78</v>
      </c>
      <c r="O2453" s="23">
        <v>0.01</v>
      </c>
      <c r="P2453" s="23" t="s">
        <v>79</v>
      </c>
      <c r="Q2453" s="23" t="s">
        <v>83</v>
      </c>
      <c r="R2453" s="23">
        <v>11100176</v>
      </c>
      <c r="S2453" s="24">
        <v>46127</v>
      </c>
      <c r="T2453" s="24">
        <v>46043</v>
      </c>
      <c r="U2453" s="24" t="s">
        <v>80</v>
      </c>
      <c r="X2453" s="24">
        <v>46037</v>
      </c>
      <c r="Y2453" s="23">
        <v>1111</v>
      </c>
      <c r="Z2453" s="23">
        <v>11400124</v>
      </c>
      <c r="AA2453" s="23">
        <v>525803</v>
      </c>
      <c r="AB2453" s="24">
        <v>47118</v>
      </c>
    </row>
    <row r="2454" spans="2:28" x14ac:dyDescent="0.2">
      <c r="C2454" s="23">
        <v>1100574321</v>
      </c>
      <c r="E2454" s="23">
        <v>30</v>
      </c>
      <c r="F2454" s="23" t="s">
        <v>96</v>
      </c>
      <c r="G2454" s="23" t="s">
        <v>97</v>
      </c>
      <c r="H2454" s="24">
        <v>46163</v>
      </c>
      <c r="I2454" s="24">
        <v>46163</v>
      </c>
      <c r="J2454" s="23" t="s">
        <v>92</v>
      </c>
      <c r="K2454" s="23" t="s">
        <v>92</v>
      </c>
      <c r="L2454" s="23">
        <v>1</v>
      </c>
      <c r="M2454" s="23" t="s">
        <v>78</v>
      </c>
      <c r="N2454" s="23" t="s">
        <v>78</v>
      </c>
      <c r="O2454" s="23">
        <v>0.01</v>
      </c>
      <c r="P2454" s="23" t="s">
        <v>79</v>
      </c>
      <c r="Q2454" s="23" t="s">
        <v>83</v>
      </c>
      <c r="R2454" s="23">
        <v>11100176</v>
      </c>
      <c r="S2454" s="24">
        <v>46127</v>
      </c>
      <c r="T2454" s="24">
        <v>46043</v>
      </c>
      <c r="U2454" s="24" t="s">
        <v>80</v>
      </c>
      <c r="X2454" s="24">
        <v>46037</v>
      </c>
      <c r="Y2454" s="23">
        <v>1111</v>
      </c>
      <c r="Z2454" s="23">
        <v>11400124</v>
      </c>
      <c r="AA2454" s="23">
        <v>525803</v>
      </c>
      <c r="AB2454" s="24">
        <v>47118</v>
      </c>
    </row>
    <row r="2455" spans="2:28" x14ac:dyDescent="0.2">
      <c r="B2455" s="23" t="s">
        <v>81</v>
      </c>
      <c r="C2455" s="23">
        <v>1100574321</v>
      </c>
      <c r="H2455" s="24">
        <v>46163</v>
      </c>
      <c r="O2455" s="23">
        <v>22750.02</v>
      </c>
      <c r="P2455" s="23" t="s">
        <v>79</v>
      </c>
    </row>
    <row r="2456" spans="2:28" x14ac:dyDescent="0.2">
      <c r="C2456" s="23">
        <v>1100578031</v>
      </c>
      <c r="E2456" s="23">
        <v>10</v>
      </c>
      <c r="F2456" s="23" t="s">
        <v>3895</v>
      </c>
      <c r="G2456" s="23" t="s">
        <v>3896</v>
      </c>
      <c r="H2456" s="24">
        <v>46163</v>
      </c>
      <c r="I2456" s="24">
        <v>46163</v>
      </c>
      <c r="J2456" s="23" t="s">
        <v>168</v>
      </c>
      <c r="K2456" s="23" t="s">
        <v>168</v>
      </c>
      <c r="L2456" s="23">
        <v>4</v>
      </c>
      <c r="M2456" s="23" t="s">
        <v>78</v>
      </c>
      <c r="N2456" s="23" t="s">
        <v>78</v>
      </c>
      <c r="O2456" s="23">
        <v>5504.44</v>
      </c>
      <c r="P2456" s="23" t="s">
        <v>79</v>
      </c>
      <c r="Q2456" s="23" t="s">
        <v>83</v>
      </c>
      <c r="R2456" s="23">
        <v>11100176</v>
      </c>
      <c r="S2456" s="24">
        <v>46163</v>
      </c>
      <c r="T2456" s="24">
        <v>46079</v>
      </c>
      <c r="U2456" s="24">
        <v>47116</v>
      </c>
      <c r="X2456" s="24">
        <v>46077</v>
      </c>
      <c r="Y2456" s="23">
        <v>1111</v>
      </c>
      <c r="Z2456" s="23">
        <v>11400937</v>
      </c>
      <c r="AA2456" s="23">
        <v>525103</v>
      </c>
      <c r="AB2456" s="24">
        <v>46072</v>
      </c>
    </row>
    <row r="2457" spans="2:28" x14ac:dyDescent="0.2">
      <c r="B2457" s="23" t="s">
        <v>81</v>
      </c>
      <c r="C2457" s="23">
        <v>1100578031</v>
      </c>
      <c r="H2457" s="24">
        <v>46163</v>
      </c>
      <c r="O2457" s="23">
        <v>5504.44</v>
      </c>
      <c r="P2457" s="23" t="s">
        <v>79</v>
      </c>
    </row>
    <row r="2458" spans="2:28" x14ac:dyDescent="0.2">
      <c r="C2458" s="23">
        <v>1100578146</v>
      </c>
      <c r="E2458" s="23">
        <v>10</v>
      </c>
      <c r="F2458" s="23" t="s">
        <v>1764</v>
      </c>
      <c r="G2458" s="23" t="s">
        <v>1765</v>
      </c>
      <c r="H2458" s="24">
        <v>46163</v>
      </c>
      <c r="I2458" s="24">
        <v>46163</v>
      </c>
      <c r="J2458" s="23" t="s">
        <v>215</v>
      </c>
      <c r="K2458" s="23" t="s">
        <v>215</v>
      </c>
      <c r="L2458" s="23">
        <v>6</v>
      </c>
      <c r="M2458" s="23" t="s">
        <v>78</v>
      </c>
      <c r="N2458" s="23" t="s">
        <v>78</v>
      </c>
      <c r="O2458" s="23">
        <v>12025.8</v>
      </c>
      <c r="P2458" s="23" t="s">
        <v>79</v>
      </c>
      <c r="Q2458" s="23" t="s">
        <v>83</v>
      </c>
      <c r="R2458" s="23">
        <v>11100176</v>
      </c>
      <c r="S2458" s="24">
        <v>46163</v>
      </c>
      <c r="T2458" s="24">
        <v>46079</v>
      </c>
      <c r="U2458" s="24" t="s">
        <v>80</v>
      </c>
      <c r="X2458" s="24">
        <v>46078</v>
      </c>
      <c r="Y2458" s="23">
        <v>1111</v>
      </c>
      <c r="Z2458" s="23">
        <v>11600001</v>
      </c>
      <c r="AA2458" s="23">
        <v>5151</v>
      </c>
      <c r="AB2458" s="24">
        <v>46078</v>
      </c>
    </row>
    <row r="2459" spans="2:28" x14ac:dyDescent="0.2">
      <c r="C2459" s="23">
        <v>1100578146</v>
      </c>
      <c r="E2459" s="23">
        <v>20</v>
      </c>
      <c r="F2459" s="23" t="s">
        <v>82</v>
      </c>
      <c r="G2459" s="23" t="s">
        <v>139</v>
      </c>
      <c r="H2459" s="24">
        <v>46163</v>
      </c>
      <c r="I2459" s="24">
        <v>46163</v>
      </c>
      <c r="J2459" s="23" t="s">
        <v>215</v>
      </c>
      <c r="K2459" s="23" t="s">
        <v>215</v>
      </c>
      <c r="L2459" s="23">
        <v>1</v>
      </c>
      <c r="M2459" s="23" t="s">
        <v>78</v>
      </c>
      <c r="N2459" s="23" t="s">
        <v>78</v>
      </c>
      <c r="O2459" s="23">
        <v>0.01</v>
      </c>
      <c r="P2459" s="23" t="s">
        <v>79</v>
      </c>
      <c r="Q2459" s="23" t="s">
        <v>83</v>
      </c>
      <c r="R2459" s="23">
        <v>11100176</v>
      </c>
      <c r="S2459" s="24">
        <v>46163</v>
      </c>
      <c r="T2459" s="24">
        <v>46079</v>
      </c>
      <c r="U2459" s="24" t="s">
        <v>80</v>
      </c>
      <c r="X2459" s="24">
        <v>46078</v>
      </c>
      <c r="Y2459" s="23">
        <v>1111</v>
      </c>
      <c r="Z2459" s="23">
        <v>11600001</v>
      </c>
      <c r="AA2459" s="23">
        <v>5151</v>
      </c>
      <c r="AB2459" s="24">
        <v>46078</v>
      </c>
    </row>
    <row r="2460" spans="2:28" x14ac:dyDescent="0.2">
      <c r="B2460" s="23" t="s">
        <v>81</v>
      </c>
      <c r="C2460" s="23">
        <v>1100578146</v>
      </c>
      <c r="H2460" s="24">
        <v>46163</v>
      </c>
      <c r="O2460" s="23">
        <v>12025.81</v>
      </c>
      <c r="P2460" s="23" t="s">
        <v>79</v>
      </c>
    </row>
    <row r="2461" spans="2:28" x14ac:dyDescent="0.2">
      <c r="C2461" s="23">
        <v>1100575633</v>
      </c>
      <c r="E2461" s="23">
        <v>10</v>
      </c>
      <c r="F2461" s="23" t="s">
        <v>87</v>
      </c>
      <c r="G2461" s="23" t="s">
        <v>3897</v>
      </c>
      <c r="H2461" s="24">
        <v>46164</v>
      </c>
      <c r="I2461" s="24">
        <v>46164</v>
      </c>
      <c r="J2461" s="23" t="s">
        <v>1062</v>
      </c>
      <c r="K2461" s="23" t="s">
        <v>1062</v>
      </c>
      <c r="L2461" s="23">
        <v>1</v>
      </c>
      <c r="M2461" s="23" t="s">
        <v>78</v>
      </c>
      <c r="N2461" s="23" t="s">
        <v>78</v>
      </c>
      <c r="O2461" s="23">
        <v>15870</v>
      </c>
      <c r="P2461" s="23" t="s">
        <v>79</v>
      </c>
      <c r="Q2461" s="23" t="s">
        <v>83</v>
      </c>
      <c r="R2461" s="23">
        <v>11100176</v>
      </c>
      <c r="S2461" s="24">
        <v>46164</v>
      </c>
      <c r="T2461" s="24">
        <v>46055</v>
      </c>
      <c r="U2461" s="24" t="s">
        <v>80</v>
      </c>
      <c r="X2461" s="24">
        <v>46050</v>
      </c>
      <c r="Y2461" s="23">
        <v>1111</v>
      </c>
      <c r="Z2461" s="23">
        <v>11400124</v>
      </c>
      <c r="AA2461" s="23">
        <v>335803</v>
      </c>
      <c r="AB2461" s="24">
        <v>47118</v>
      </c>
    </row>
    <row r="2462" spans="2:28" x14ac:dyDescent="0.2">
      <c r="C2462" s="23">
        <v>1100575633</v>
      </c>
      <c r="E2462" s="23">
        <v>20</v>
      </c>
      <c r="F2462" s="23" t="s">
        <v>87</v>
      </c>
      <c r="G2462" s="23" t="s">
        <v>3898</v>
      </c>
      <c r="H2462" s="24">
        <v>46164</v>
      </c>
      <c r="I2462" s="24">
        <v>46164</v>
      </c>
      <c r="J2462" s="23" t="s">
        <v>1062</v>
      </c>
      <c r="K2462" s="23" t="s">
        <v>1062</v>
      </c>
      <c r="L2462" s="23">
        <v>1</v>
      </c>
      <c r="M2462" s="23" t="s">
        <v>78</v>
      </c>
      <c r="N2462" s="23" t="s">
        <v>78</v>
      </c>
      <c r="O2462" s="23">
        <v>21430</v>
      </c>
      <c r="P2462" s="23" t="s">
        <v>79</v>
      </c>
      <c r="Q2462" s="23" t="s">
        <v>83</v>
      </c>
      <c r="R2462" s="23">
        <v>11100176</v>
      </c>
      <c r="S2462" s="24">
        <v>46164</v>
      </c>
      <c r="T2462" s="24">
        <v>46055</v>
      </c>
      <c r="U2462" s="24" t="s">
        <v>80</v>
      </c>
      <c r="X2462" s="24">
        <v>46050</v>
      </c>
      <c r="Y2462" s="23">
        <v>1111</v>
      </c>
      <c r="Z2462" s="23">
        <v>11400124</v>
      </c>
      <c r="AA2462" s="23">
        <v>335803</v>
      </c>
      <c r="AB2462" s="24">
        <v>47118</v>
      </c>
    </row>
    <row r="2463" spans="2:28" x14ac:dyDescent="0.2">
      <c r="C2463" s="23">
        <v>1100575633</v>
      </c>
      <c r="E2463" s="23">
        <v>30</v>
      </c>
      <c r="F2463" s="23" t="s">
        <v>87</v>
      </c>
      <c r="G2463" s="23" t="s">
        <v>3897</v>
      </c>
      <c r="H2463" s="24">
        <v>46164</v>
      </c>
      <c r="I2463" s="24">
        <v>46164</v>
      </c>
      <c r="J2463" s="23" t="s">
        <v>1062</v>
      </c>
      <c r="K2463" s="23" t="s">
        <v>1062</v>
      </c>
      <c r="L2463" s="23">
        <v>1</v>
      </c>
      <c r="M2463" s="23" t="s">
        <v>78</v>
      </c>
      <c r="N2463" s="23" t="s">
        <v>78</v>
      </c>
      <c r="O2463" s="23">
        <v>15870</v>
      </c>
      <c r="P2463" s="23" t="s">
        <v>79</v>
      </c>
      <c r="Q2463" s="23" t="s">
        <v>83</v>
      </c>
      <c r="R2463" s="23">
        <v>11100176</v>
      </c>
      <c r="S2463" s="24">
        <v>46164</v>
      </c>
      <c r="T2463" s="24">
        <v>46055</v>
      </c>
      <c r="U2463" s="24" t="s">
        <v>80</v>
      </c>
      <c r="X2463" s="24">
        <v>46050</v>
      </c>
      <c r="Y2463" s="23">
        <v>1111</v>
      </c>
      <c r="Z2463" s="23">
        <v>11400124</v>
      </c>
      <c r="AA2463" s="23">
        <v>335803</v>
      </c>
      <c r="AB2463" s="24">
        <v>47118</v>
      </c>
    </row>
    <row r="2464" spans="2:28" x14ac:dyDescent="0.2">
      <c r="C2464" s="23">
        <v>1100575633</v>
      </c>
      <c r="E2464" s="23">
        <v>40</v>
      </c>
      <c r="F2464" s="23" t="s">
        <v>87</v>
      </c>
      <c r="G2464" s="23" t="s">
        <v>3898</v>
      </c>
      <c r="H2464" s="24">
        <v>46164</v>
      </c>
      <c r="I2464" s="24">
        <v>46164</v>
      </c>
      <c r="J2464" s="23" t="s">
        <v>1062</v>
      </c>
      <c r="K2464" s="23" t="s">
        <v>1062</v>
      </c>
      <c r="L2464" s="23">
        <v>1</v>
      </c>
      <c r="M2464" s="23" t="s">
        <v>78</v>
      </c>
      <c r="N2464" s="23" t="s">
        <v>78</v>
      </c>
      <c r="O2464" s="23">
        <v>21430</v>
      </c>
      <c r="P2464" s="23" t="s">
        <v>79</v>
      </c>
      <c r="Q2464" s="23" t="s">
        <v>83</v>
      </c>
      <c r="R2464" s="23">
        <v>11100176</v>
      </c>
      <c r="S2464" s="24">
        <v>46164</v>
      </c>
      <c r="T2464" s="24">
        <v>46055</v>
      </c>
      <c r="U2464" s="24" t="s">
        <v>80</v>
      </c>
      <c r="X2464" s="24">
        <v>46050</v>
      </c>
      <c r="Y2464" s="23">
        <v>1111</v>
      </c>
      <c r="Z2464" s="23">
        <v>11400124</v>
      </c>
      <c r="AA2464" s="23">
        <v>335803</v>
      </c>
      <c r="AB2464" s="24">
        <v>47118</v>
      </c>
    </row>
    <row r="2465" spans="2:28" x14ac:dyDescent="0.2">
      <c r="C2465" s="23">
        <v>1100575633</v>
      </c>
      <c r="E2465" s="23">
        <v>50</v>
      </c>
      <c r="F2465" s="23" t="s">
        <v>87</v>
      </c>
      <c r="G2465" s="23" t="s">
        <v>3899</v>
      </c>
      <c r="H2465" s="24">
        <v>46164</v>
      </c>
      <c r="I2465" s="24">
        <v>46164</v>
      </c>
      <c r="J2465" s="23" t="s">
        <v>1062</v>
      </c>
      <c r="K2465" s="23" t="s">
        <v>1062</v>
      </c>
      <c r="L2465" s="23">
        <v>1</v>
      </c>
      <c r="M2465" s="23" t="s">
        <v>78</v>
      </c>
      <c r="N2465" s="23" t="s">
        <v>78</v>
      </c>
      <c r="O2465" s="23">
        <v>15160</v>
      </c>
      <c r="P2465" s="23" t="s">
        <v>79</v>
      </c>
      <c r="Q2465" s="23" t="s">
        <v>83</v>
      </c>
      <c r="R2465" s="23">
        <v>11100176</v>
      </c>
      <c r="S2465" s="24">
        <v>46164</v>
      </c>
      <c r="T2465" s="24">
        <v>46055</v>
      </c>
      <c r="U2465" s="24" t="s">
        <v>80</v>
      </c>
      <c r="X2465" s="24">
        <v>46050</v>
      </c>
      <c r="Y2465" s="23">
        <v>1111</v>
      </c>
      <c r="Z2465" s="23">
        <v>11400124</v>
      </c>
      <c r="AA2465" s="23">
        <v>335803</v>
      </c>
      <c r="AB2465" s="24">
        <v>47118</v>
      </c>
    </row>
    <row r="2466" spans="2:28" x14ac:dyDescent="0.2">
      <c r="C2466" s="23">
        <v>1100575633</v>
      </c>
      <c r="E2466" s="23">
        <v>60</v>
      </c>
      <c r="F2466" s="23" t="s">
        <v>84</v>
      </c>
      <c r="G2466" s="23" t="s">
        <v>123</v>
      </c>
      <c r="H2466" s="24">
        <v>46164</v>
      </c>
      <c r="I2466" s="24">
        <v>46164</v>
      </c>
      <c r="J2466" s="23" t="s">
        <v>1062</v>
      </c>
      <c r="K2466" s="23" t="s">
        <v>1062</v>
      </c>
      <c r="L2466" s="23">
        <v>1</v>
      </c>
      <c r="M2466" s="23" t="s">
        <v>78</v>
      </c>
      <c r="N2466" s="23" t="s">
        <v>78</v>
      </c>
      <c r="O2466" s="23">
        <v>0.01</v>
      </c>
      <c r="P2466" s="23" t="s">
        <v>79</v>
      </c>
      <c r="Q2466" s="23" t="s">
        <v>83</v>
      </c>
      <c r="R2466" s="23">
        <v>11100176</v>
      </c>
      <c r="S2466" s="24">
        <v>46164</v>
      </c>
      <c r="T2466" s="24">
        <v>46055</v>
      </c>
      <c r="U2466" s="24" t="s">
        <v>80</v>
      </c>
      <c r="X2466" s="24">
        <v>46050</v>
      </c>
      <c r="Y2466" s="23">
        <v>1111</v>
      </c>
      <c r="Z2466" s="23">
        <v>11400124</v>
      </c>
      <c r="AA2466" s="23">
        <v>335803</v>
      </c>
      <c r="AB2466" s="24">
        <v>47118</v>
      </c>
    </row>
    <row r="2467" spans="2:28" x14ac:dyDescent="0.2">
      <c r="C2467" s="23">
        <v>1100575633</v>
      </c>
      <c r="E2467" s="23">
        <v>70</v>
      </c>
      <c r="F2467" s="23" t="s">
        <v>96</v>
      </c>
      <c r="G2467" s="23" t="s">
        <v>97</v>
      </c>
      <c r="H2467" s="24">
        <v>46164</v>
      </c>
      <c r="I2467" s="24">
        <v>46164</v>
      </c>
      <c r="J2467" s="23" t="s">
        <v>1062</v>
      </c>
      <c r="K2467" s="23" t="s">
        <v>1062</v>
      </c>
      <c r="L2467" s="23">
        <v>1</v>
      </c>
      <c r="M2467" s="23" t="s">
        <v>78</v>
      </c>
      <c r="N2467" s="23" t="s">
        <v>78</v>
      </c>
      <c r="O2467" s="23">
        <v>0.01</v>
      </c>
      <c r="P2467" s="23" t="s">
        <v>79</v>
      </c>
      <c r="Q2467" s="23" t="s">
        <v>83</v>
      </c>
      <c r="R2467" s="23">
        <v>11100176</v>
      </c>
      <c r="S2467" s="24">
        <v>46164</v>
      </c>
      <c r="T2467" s="24">
        <v>46055</v>
      </c>
      <c r="U2467" s="24" t="s">
        <v>80</v>
      </c>
      <c r="X2467" s="24">
        <v>46050</v>
      </c>
      <c r="Y2467" s="23">
        <v>1111</v>
      </c>
      <c r="Z2467" s="23">
        <v>11400124</v>
      </c>
      <c r="AA2467" s="23">
        <v>335803</v>
      </c>
      <c r="AB2467" s="24">
        <v>47118</v>
      </c>
    </row>
    <row r="2468" spans="2:28" x14ac:dyDescent="0.2">
      <c r="B2468" s="23" t="s">
        <v>81</v>
      </c>
      <c r="C2468" s="23">
        <v>1100575633</v>
      </c>
      <c r="H2468" s="24">
        <v>46164</v>
      </c>
      <c r="O2468" s="23">
        <v>89760.02</v>
      </c>
      <c r="P2468" s="23" t="s">
        <v>79</v>
      </c>
    </row>
    <row r="2469" spans="2:28" x14ac:dyDescent="0.2">
      <c r="C2469" s="23">
        <v>1100577679</v>
      </c>
      <c r="E2469" s="23">
        <v>10</v>
      </c>
      <c r="F2469" s="23" t="s">
        <v>3900</v>
      </c>
      <c r="G2469" s="23" t="s">
        <v>3901</v>
      </c>
      <c r="H2469" s="24">
        <v>46164</v>
      </c>
      <c r="I2469" s="24">
        <v>46164</v>
      </c>
      <c r="J2469" s="23" t="s">
        <v>3902</v>
      </c>
      <c r="K2469" s="23" t="s">
        <v>3902</v>
      </c>
      <c r="L2469" s="23">
        <v>1</v>
      </c>
      <c r="M2469" s="23" t="s">
        <v>78</v>
      </c>
      <c r="N2469" s="23" t="s">
        <v>78</v>
      </c>
      <c r="O2469" s="23">
        <v>2244</v>
      </c>
      <c r="P2469" s="23" t="s">
        <v>79</v>
      </c>
      <c r="Q2469" s="23" t="s">
        <v>83</v>
      </c>
      <c r="R2469" s="23">
        <v>11100176</v>
      </c>
      <c r="S2469" s="24">
        <v>46164</v>
      </c>
      <c r="T2469" s="24">
        <v>46076</v>
      </c>
      <c r="U2469" s="24" t="s">
        <v>80</v>
      </c>
      <c r="X2469" s="24">
        <v>46073</v>
      </c>
      <c r="Y2469" s="23">
        <v>1111</v>
      </c>
      <c r="Z2469" s="23">
        <v>11400704</v>
      </c>
      <c r="AA2469" s="23">
        <v>395103</v>
      </c>
      <c r="AB2469" s="24">
        <v>46073</v>
      </c>
    </row>
    <row r="2470" spans="2:28" x14ac:dyDescent="0.2">
      <c r="C2470" s="23">
        <v>1100577679</v>
      </c>
      <c r="E2470" s="23">
        <v>20</v>
      </c>
      <c r="F2470" s="23" t="s">
        <v>82</v>
      </c>
      <c r="G2470" s="23" t="s">
        <v>139</v>
      </c>
      <c r="H2470" s="24">
        <v>46164</v>
      </c>
      <c r="I2470" s="24">
        <v>46164</v>
      </c>
      <c r="J2470" s="23" t="s">
        <v>3902</v>
      </c>
      <c r="K2470" s="23" t="s">
        <v>3902</v>
      </c>
      <c r="L2470" s="23">
        <v>1</v>
      </c>
      <c r="M2470" s="23" t="s">
        <v>78</v>
      </c>
      <c r="N2470" s="23" t="s">
        <v>78</v>
      </c>
      <c r="O2470" s="23">
        <v>0.01</v>
      </c>
      <c r="P2470" s="23" t="s">
        <v>79</v>
      </c>
      <c r="Q2470" s="23" t="s">
        <v>83</v>
      </c>
      <c r="R2470" s="23">
        <v>11100176</v>
      </c>
      <c r="S2470" s="24" t="s">
        <v>80</v>
      </c>
      <c r="T2470" s="24">
        <v>46076</v>
      </c>
      <c r="U2470" s="24" t="s">
        <v>80</v>
      </c>
      <c r="X2470" s="24">
        <v>46073</v>
      </c>
      <c r="Y2470" s="23">
        <v>1111</v>
      </c>
      <c r="Z2470" s="23">
        <v>11400704</v>
      </c>
      <c r="AA2470" s="23">
        <v>395103</v>
      </c>
      <c r="AB2470" s="24">
        <v>46073</v>
      </c>
    </row>
    <row r="2471" spans="2:28" x14ac:dyDescent="0.2">
      <c r="B2471" s="23" t="s">
        <v>81</v>
      </c>
      <c r="C2471" s="23">
        <v>1100577679</v>
      </c>
      <c r="H2471" s="24">
        <v>46164</v>
      </c>
      <c r="O2471" s="23">
        <v>2244.0100000000002</v>
      </c>
      <c r="P2471" s="23" t="s">
        <v>79</v>
      </c>
    </row>
    <row r="2472" spans="2:28" x14ac:dyDescent="0.2">
      <c r="C2472" s="23">
        <v>1100578141</v>
      </c>
      <c r="E2472" s="23">
        <v>10</v>
      </c>
      <c r="F2472" s="23" t="s">
        <v>3903</v>
      </c>
      <c r="G2472" s="23" t="s">
        <v>3904</v>
      </c>
      <c r="H2472" s="24">
        <v>46164</v>
      </c>
      <c r="I2472" s="24">
        <v>46164</v>
      </c>
      <c r="J2472" s="23" t="s">
        <v>3905</v>
      </c>
      <c r="K2472" s="23" t="s">
        <v>3905</v>
      </c>
      <c r="L2472" s="23">
        <v>1</v>
      </c>
      <c r="M2472" s="23" t="s">
        <v>78</v>
      </c>
      <c r="N2472" s="23" t="s">
        <v>78</v>
      </c>
      <c r="O2472" s="23">
        <v>1621.25</v>
      </c>
      <c r="P2472" s="23" t="s">
        <v>79</v>
      </c>
      <c r="Q2472" s="23" t="s">
        <v>83</v>
      </c>
      <c r="R2472" s="23">
        <v>11100176</v>
      </c>
      <c r="S2472" s="24">
        <v>46142</v>
      </c>
      <c r="T2472" s="24">
        <v>46079</v>
      </c>
      <c r="U2472" s="24" t="s">
        <v>80</v>
      </c>
      <c r="X2472" s="24">
        <v>46078</v>
      </c>
      <c r="Y2472" s="23">
        <v>1111</v>
      </c>
      <c r="Z2472" s="23">
        <v>11600001</v>
      </c>
      <c r="AA2472" s="23">
        <v>5051</v>
      </c>
      <c r="AB2472" s="24">
        <v>46078</v>
      </c>
    </row>
    <row r="2473" spans="2:28" x14ac:dyDescent="0.2">
      <c r="B2473" s="23" t="s">
        <v>81</v>
      </c>
      <c r="C2473" s="23">
        <v>1100578141</v>
      </c>
      <c r="H2473" s="24">
        <v>46164</v>
      </c>
      <c r="O2473" s="23">
        <v>1621.25</v>
      </c>
      <c r="P2473" s="23" t="s">
        <v>79</v>
      </c>
    </row>
    <row r="2474" spans="2:28" x14ac:dyDescent="0.2">
      <c r="C2474" s="23">
        <v>1100578244</v>
      </c>
      <c r="E2474" s="23">
        <v>10</v>
      </c>
      <c r="F2474" s="23" t="s">
        <v>757</v>
      </c>
      <c r="G2474" s="23" t="s">
        <v>2806</v>
      </c>
      <c r="H2474" s="24">
        <v>46164</v>
      </c>
      <c r="I2474" s="24">
        <v>46164</v>
      </c>
      <c r="J2474" s="23" t="s">
        <v>1757</v>
      </c>
      <c r="K2474" s="23" t="s">
        <v>1757</v>
      </c>
      <c r="L2474" s="23">
        <v>1</v>
      </c>
      <c r="M2474" s="23" t="s">
        <v>78</v>
      </c>
      <c r="N2474" s="23" t="s">
        <v>78</v>
      </c>
      <c r="O2474" s="23">
        <v>892.55</v>
      </c>
      <c r="P2474" s="23" t="s">
        <v>79</v>
      </c>
      <c r="Q2474" s="23" t="s">
        <v>83</v>
      </c>
      <c r="R2474" s="23">
        <v>11100176</v>
      </c>
      <c r="S2474" s="24">
        <v>46164</v>
      </c>
      <c r="T2474" s="24">
        <v>46080</v>
      </c>
      <c r="U2474" s="24" t="s">
        <v>80</v>
      </c>
      <c r="X2474" s="24">
        <v>46078</v>
      </c>
      <c r="Y2474" s="23">
        <v>1111</v>
      </c>
      <c r="Z2474" s="23">
        <v>11400797</v>
      </c>
      <c r="AA2474" s="23">
        <v>315103</v>
      </c>
      <c r="AB2474" s="24">
        <v>46079</v>
      </c>
    </row>
    <row r="2475" spans="2:28" x14ac:dyDescent="0.2">
      <c r="C2475" s="23">
        <v>1100578244</v>
      </c>
      <c r="E2475" s="23">
        <v>20</v>
      </c>
      <c r="F2475" s="23" t="s">
        <v>1164</v>
      </c>
      <c r="G2475" s="23" t="s">
        <v>1165</v>
      </c>
      <c r="H2475" s="24">
        <v>46164</v>
      </c>
      <c r="I2475" s="24">
        <v>46164</v>
      </c>
      <c r="J2475" s="23" t="s">
        <v>1757</v>
      </c>
      <c r="K2475" s="23" t="s">
        <v>1757</v>
      </c>
      <c r="L2475" s="23">
        <v>2</v>
      </c>
      <c r="M2475" s="23" t="s">
        <v>78</v>
      </c>
      <c r="N2475" s="23" t="s">
        <v>78</v>
      </c>
      <c r="O2475" s="23">
        <v>2870.64</v>
      </c>
      <c r="P2475" s="23" t="s">
        <v>79</v>
      </c>
      <c r="Q2475" s="23" t="s">
        <v>83</v>
      </c>
      <c r="R2475" s="23">
        <v>11100176</v>
      </c>
      <c r="S2475" s="24">
        <v>46164</v>
      </c>
      <c r="T2475" s="24">
        <v>46080</v>
      </c>
      <c r="U2475" s="24" t="s">
        <v>80</v>
      </c>
      <c r="X2475" s="24">
        <v>46078</v>
      </c>
      <c r="Y2475" s="23">
        <v>1111</v>
      </c>
      <c r="Z2475" s="23">
        <v>11400797</v>
      </c>
      <c r="AA2475" s="23">
        <v>315103</v>
      </c>
      <c r="AB2475" s="24">
        <v>46079</v>
      </c>
    </row>
    <row r="2476" spans="2:28" x14ac:dyDescent="0.2">
      <c r="C2476" s="23">
        <v>1100578244</v>
      </c>
      <c r="E2476" s="23">
        <v>30</v>
      </c>
      <c r="F2476" s="23" t="s">
        <v>82</v>
      </c>
      <c r="G2476" s="23" t="s">
        <v>139</v>
      </c>
      <c r="H2476" s="24">
        <v>46164</v>
      </c>
      <c r="I2476" s="24">
        <v>46164</v>
      </c>
      <c r="J2476" s="23" t="s">
        <v>1757</v>
      </c>
      <c r="K2476" s="23" t="s">
        <v>1757</v>
      </c>
      <c r="L2476" s="23">
        <v>1</v>
      </c>
      <c r="M2476" s="23" t="s">
        <v>78</v>
      </c>
      <c r="N2476" s="23" t="s">
        <v>78</v>
      </c>
      <c r="O2476" s="23">
        <v>0.01</v>
      </c>
      <c r="P2476" s="23" t="s">
        <v>79</v>
      </c>
      <c r="Q2476" s="23" t="s">
        <v>83</v>
      </c>
      <c r="R2476" s="23">
        <v>11100176</v>
      </c>
      <c r="S2476" s="24" t="s">
        <v>80</v>
      </c>
      <c r="T2476" s="24">
        <v>46080</v>
      </c>
      <c r="U2476" s="24" t="s">
        <v>80</v>
      </c>
      <c r="X2476" s="24">
        <v>46078</v>
      </c>
      <c r="Y2476" s="23">
        <v>1111</v>
      </c>
      <c r="Z2476" s="23">
        <v>11400797</v>
      </c>
      <c r="AA2476" s="23">
        <v>315103</v>
      </c>
      <c r="AB2476" s="24">
        <v>46079</v>
      </c>
    </row>
    <row r="2477" spans="2:28" x14ac:dyDescent="0.2">
      <c r="B2477" s="23" t="s">
        <v>81</v>
      </c>
      <c r="C2477" s="23">
        <v>1100578244</v>
      </c>
      <c r="H2477" s="24">
        <v>46164</v>
      </c>
      <c r="O2477" s="23">
        <v>3763.2</v>
      </c>
      <c r="P2477" s="23" t="s">
        <v>79</v>
      </c>
    </row>
    <row r="2478" spans="2:28" x14ac:dyDescent="0.2">
      <c r="C2478" s="23">
        <v>1100578388</v>
      </c>
      <c r="E2478" s="23">
        <v>10</v>
      </c>
      <c r="F2478" s="23" t="s">
        <v>1117</v>
      </c>
      <c r="G2478" s="23" t="s">
        <v>1118</v>
      </c>
      <c r="H2478" s="24">
        <v>46164</v>
      </c>
      <c r="I2478" s="24">
        <v>46164</v>
      </c>
      <c r="J2478" s="23" t="s">
        <v>91</v>
      </c>
      <c r="K2478" s="23" t="s">
        <v>91</v>
      </c>
      <c r="L2478" s="23">
        <v>4</v>
      </c>
      <c r="M2478" s="23" t="s">
        <v>78</v>
      </c>
      <c r="N2478" s="23" t="s">
        <v>78</v>
      </c>
      <c r="O2478" s="23">
        <v>4860</v>
      </c>
      <c r="P2478" s="23" t="s">
        <v>79</v>
      </c>
      <c r="Q2478" s="23" t="s">
        <v>83</v>
      </c>
      <c r="R2478" s="23">
        <v>11100176</v>
      </c>
      <c r="S2478" s="24">
        <v>46164</v>
      </c>
      <c r="T2478" s="24">
        <v>46081</v>
      </c>
      <c r="U2478" s="24" t="s">
        <v>80</v>
      </c>
      <c r="X2478" s="24">
        <v>46080</v>
      </c>
      <c r="Y2478" s="23">
        <v>1111</v>
      </c>
      <c r="Z2478" s="23">
        <v>11400937</v>
      </c>
      <c r="AA2478" s="23">
        <v>505103</v>
      </c>
      <c r="AB2478" s="24">
        <v>46080</v>
      </c>
    </row>
    <row r="2479" spans="2:28" x14ac:dyDescent="0.2">
      <c r="C2479" s="23">
        <v>1100578388</v>
      </c>
      <c r="E2479" s="23">
        <v>20</v>
      </c>
      <c r="F2479" s="23" t="s">
        <v>82</v>
      </c>
      <c r="G2479" s="23" t="s">
        <v>139</v>
      </c>
      <c r="H2479" s="24">
        <v>46164</v>
      </c>
      <c r="I2479" s="24">
        <v>46164</v>
      </c>
      <c r="J2479" s="23" t="s">
        <v>91</v>
      </c>
      <c r="K2479" s="23" t="s">
        <v>91</v>
      </c>
      <c r="L2479" s="23">
        <v>1</v>
      </c>
      <c r="M2479" s="23" t="s">
        <v>78</v>
      </c>
      <c r="N2479" s="23" t="s">
        <v>78</v>
      </c>
      <c r="O2479" s="23">
        <v>0.01</v>
      </c>
      <c r="P2479" s="23" t="s">
        <v>79</v>
      </c>
      <c r="Q2479" s="23" t="s">
        <v>83</v>
      </c>
      <c r="R2479" s="23">
        <v>11100176</v>
      </c>
      <c r="S2479" s="24" t="s">
        <v>80</v>
      </c>
      <c r="T2479" s="24">
        <v>46081</v>
      </c>
      <c r="U2479" s="24" t="s">
        <v>80</v>
      </c>
      <c r="X2479" s="24">
        <v>46080</v>
      </c>
      <c r="Y2479" s="23">
        <v>1111</v>
      </c>
      <c r="Z2479" s="23">
        <v>11400937</v>
      </c>
      <c r="AA2479" s="23">
        <v>505103</v>
      </c>
      <c r="AB2479" s="24">
        <v>46080</v>
      </c>
    </row>
    <row r="2480" spans="2:28" x14ac:dyDescent="0.2">
      <c r="B2480" s="23" t="s">
        <v>81</v>
      </c>
      <c r="C2480" s="23">
        <v>1100578388</v>
      </c>
      <c r="H2480" s="24">
        <v>46164</v>
      </c>
      <c r="O2480" s="23">
        <v>4860.01</v>
      </c>
      <c r="P2480" s="23" t="s">
        <v>79</v>
      </c>
    </row>
    <row r="2481" spans="2:28" x14ac:dyDescent="0.2">
      <c r="C2481" s="23">
        <v>1100578480</v>
      </c>
      <c r="E2481" s="23">
        <v>10</v>
      </c>
      <c r="F2481" s="23" t="s">
        <v>1733</v>
      </c>
      <c r="G2481" s="23" t="s">
        <v>1734</v>
      </c>
      <c r="H2481" s="24">
        <v>46166</v>
      </c>
      <c r="I2481" s="24">
        <v>46166</v>
      </c>
      <c r="J2481" s="23" t="s">
        <v>711</v>
      </c>
      <c r="K2481" s="23" t="s">
        <v>711</v>
      </c>
      <c r="L2481" s="23">
        <v>1</v>
      </c>
      <c r="M2481" s="23" t="s">
        <v>78</v>
      </c>
      <c r="N2481" s="23" t="s">
        <v>78</v>
      </c>
      <c r="O2481" s="23">
        <v>1343.21</v>
      </c>
      <c r="P2481" s="23" t="s">
        <v>79</v>
      </c>
      <c r="Q2481" s="23" t="s">
        <v>83</v>
      </c>
      <c r="R2481" s="23">
        <v>11100176</v>
      </c>
      <c r="S2481" s="24">
        <v>46166</v>
      </c>
      <c r="T2481" s="24">
        <v>46083</v>
      </c>
      <c r="U2481" s="24" t="s">
        <v>80</v>
      </c>
      <c r="X2481" s="24">
        <v>46078</v>
      </c>
      <c r="Y2481" s="23">
        <v>1111</v>
      </c>
      <c r="Z2481" s="23">
        <v>11400704</v>
      </c>
      <c r="AA2481" s="23">
        <v>335103</v>
      </c>
      <c r="AB2481" s="24">
        <v>46073</v>
      </c>
    </row>
    <row r="2482" spans="2:28" x14ac:dyDescent="0.2">
      <c r="C2482" s="23">
        <v>1100578480</v>
      </c>
      <c r="E2482" s="23">
        <v>20</v>
      </c>
      <c r="F2482" s="23" t="s">
        <v>82</v>
      </c>
      <c r="G2482" s="23" t="s">
        <v>139</v>
      </c>
      <c r="H2482" s="24">
        <v>46166</v>
      </c>
      <c r="I2482" s="24">
        <v>46166</v>
      </c>
      <c r="J2482" s="23" t="s">
        <v>711</v>
      </c>
      <c r="K2482" s="23" t="s">
        <v>711</v>
      </c>
      <c r="L2482" s="23">
        <v>1</v>
      </c>
      <c r="M2482" s="23" t="s">
        <v>78</v>
      </c>
      <c r="N2482" s="23" t="s">
        <v>78</v>
      </c>
      <c r="O2482" s="23">
        <v>0</v>
      </c>
      <c r="P2482" s="23" t="s">
        <v>79</v>
      </c>
      <c r="Q2482" s="23" t="s">
        <v>83</v>
      </c>
      <c r="R2482" s="23">
        <v>11100176</v>
      </c>
      <c r="S2482" s="24" t="s">
        <v>80</v>
      </c>
      <c r="T2482" s="24">
        <v>46083</v>
      </c>
      <c r="U2482" s="24" t="s">
        <v>80</v>
      </c>
      <c r="X2482" s="24">
        <v>46078</v>
      </c>
      <c r="Y2482" s="23">
        <v>1111</v>
      </c>
      <c r="Z2482" s="23">
        <v>11400704</v>
      </c>
      <c r="AA2482" s="23">
        <v>335103</v>
      </c>
      <c r="AB2482" s="24">
        <v>46073</v>
      </c>
    </row>
    <row r="2483" spans="2:28" x14ac:dyDescent="0.2">
      <c r="B2483" s="23" t="s">
        <v>81</v>
      </c>
      <c r="C2483" s="23">
        <v>1100578480</v>
      </c>
      <c r="H2483" s="24">
        <v>46166</v>
      </c>
      <c r="O2483" s="23">
        <v>1343.21</v>
      </c>
      <c r="P2483" s="23" t="s">
        <v>79</v>
      </c>
    </row>
    <row r="2484" spans="2:28" x14ac:dyDescent="0.2">
      <c r="C2484" s="23">
        <v>1100578312</v>
      </c>
      <c r="E2484" s="23">
        <v>20</v>
      </c>
      <c r="F2484" s="23" t="s">
        <v>3812</v>
      </c>
      <c r="G2484" s="23" t="s">
        <v>3813</v>
      </c>
      <c r="H2484" s="24">
        <v>46167</v>
      </c>
      <c r="I2484" s="24">
        <v>46167</v>
      </c>
      <c r="J2484" s="23" t="s">
        <v>242</v>
      </c>
      <c r="K2484" s="23" t="s">
        <v>242</v>
      </c>
      <c r="L2484" s="23">
        <v>1</v>
      </c>
      <c r="M2484" s="23" t="s">
        <v>78</v>
      </c>
      <c r="N2484" s="23" t="s">
        <v>78</v>
      </c>
      <c r="O2484" s="23">
        <v>1283.4000000000001</v>
      </c>
      <c r="P2484" s="23" t="s">
        <v>79</v>
      </c>
      <c r="Q2484" s="23" t="s">
        <v>83</v>
      </c>
      <c r="R2484" s="23">
        <v>11100176</v>
      </c>
      <c r="S2484" s="24">
        <v>46122</v>
      </c>
      <c r="T2484" s="24">
        <v>46080</v>
      </c>
      <c r="U2484" s="24" t="s">
        <v>80</v>
      </c>
      <c r="X2484" s="24">
        <v>46078</v>
      </c>
      <c r="Y2484" s="23">
        <v>1111</v>
      </c>
      <c r="Z2484" s="23">
        <v>11400704</v>
      </c>
      <c r="AA2484" s="23">
        <v>5051</v>
      </c>
      <c r="AB2484" s="24">
        <v>46079</v>
      </c>
    </row>
    <row r="2485" spans="2:28" x14ac:dyDescent="0.2">
      <c r="B2485" s="23" t="s">
        <v>81</v>
      </c>
      <c r="C2485" s="23">
        <v>1100578312</v>
      </c>
      <c r="H2485" s="24">
        <v>46167</v>
      </c>
      <c r="O2485" s="23">
        <v>1283.4000000000001</v>
      </c>
      <c r="P2485" s="23" t="s">
        <v>79</v>
      </c>
    </row>
    <row r="2486" spans="2:28" x14ac:dyDescent="0.2">
      <c r="C2486" s="23">
        <v>1100578320</v>
      </c>
      <c r="E2486" s="23">
        <v>10</v>
      </c>
      <c r="F2486" s="23" t="s">
        <v>1949</v>
      </c>
      <c r="G2486" s="23" t="s">
        <v>1950</v>
      </c>
      <c r="H2486" s="24">
        <v>46167</v>
      </c>
      <c r="I2486" s="24">
        <v>46167</v>
      </c>
      <c r="J2486" s="23" t="s">
        <v>938</v>
      </c>
      <c r="K2486" s="23" t="s">
        <v>938</v>
      </c>
      <c r="L2486" s="23">
        <v>1</v>
      </c>
      <c r="M2486" s="23" t="s">
        <v>78</v>
      </c>
      <c r="N2486" s="23" t="s">
        <v>78</v>
      </c>
      <c r="O2486" s="23">
        <v>2467.35</v>
      </c>
      <c r="P2486" s="23" t="s">
        <v>79</v>
      </c>
      <c r="Q2486" s="23" t="s">
        <v>83</v>
      </c>
      <c r="R2486" s="23">
        <v>11100176</v>
      </c>
      <c r="S2486" s="24">
        <v>46106</v>
      </c>
      <c r="T2486" s="24">
        <v>46080</v>
      </c>
      <c r="U2486" s="24" t="s">
        <v>80</v>
      </c>
      <c r="X2486" s="24">
        <v>46079</v>
      </c>
      <c r="Y2486" s="23">
        <v>1111</v>
      </c>
      <c r="Z2486" s="23">
        <v>11400811</v>
      </c>
      <c r="AA2486" s="23">
        <v>5051</v>
      </c>
      <c r="AB2486" s="24">
        <v>46079</v>
      </c>
    </row>
    <row r="2487" spans="2:28" x14ac:dyDescent="0.2">
      <c r="B2487" s="23" t="s">
        <v>81</v>
      </c>
      <c r="C2487" s="23">
        <v>1100578320</v>
      </c>
      <c r="H2487" s="24">
        <v>46167</v>
      </c>
      <c r="O2487" s="23">
        <v>2467.35</v>
      </c>
      <c r="P2487" s="23" t="s">
        <v>79</v>
      </c>
    </row>
    <row r="2488" spans="2:28" x14ac:dyDescent="0.2">
      <c r="C2488" s="23">
        <v>1100578531</v>
      </c>
      <c r="E2488" s="23">
        <v>30</v>
      </c>
      <c r="F2488" s="23" t="s">
        <v>87</v>
      </c>
      <c r="G2488" s="23" t="s">
        <v>3906</v>
      </c>
      <c r="H2488" s="24">
        <v>46168</v>
      </c>
      <c r="I2488" s="24">
        <v>46168</v>
      </c>
      <c r="J2488" s="23" t="s">
        <v>3881</v>
      </c>
      <c r="K2488" s="23" t="s">
        <v>3881</v>
      </c>
      <c r="L2488" s="23">
        <v>1</v>
      </c>
      <c r="M2488" s="23" t="s">
        <v>78</v>
      </c>
      <c r="N2488" s="23" t="s">
        <v>78</v>
      </c>
      <c r="O2488" s="23">
        <v>1652.29</v>
      </c>
      <c r="P2488" s="23" t="s">
        <v>79</v>
      </c>
      <c r="Q2488" s="23" t="s">
        <v>83</v>
      </c>
      <c r="R2488" s="23">
        <v>11100176</v>
      </c>
      <c r="S2488" s="24">
        <v>46168</v>
      </c>
      <c r="T2488" s="24">
        <v>46084</v>
      </c>
      <c r="U2488" s="24">
        <v>47116</v>
      </c>
      <c r="X2488" s="24">
        <v>46083</v>
      </c>
      <c r="Y2488" s="23">
        <v>1111</v>
      </c>
      <c r="Z2488" s="23">
        <v>11400811</v>
      </c>
      <c r="AA2488" s="23">
        <v>335103</v>
      </c>
      <c r="AB2488" s="24">
        <v>46083</v>
      </c>
    </row>
    <row r="2489" spans="2:28" x14ac:dyDescent="0.2">
      <c r="C2489" s="23">
        <v>1100578531</v>
      </c>
      <c r="E2489" s="23">
        <v>40</v>
      </c>
      <c r="F2489" s="23" t="s">
        <v>84</v>
      </c>
      <c r="G2489" s="23" t="s">
        <v>123</v>
      </c>
      <c r="H2489" s="24">
        <v>46168</v>
      </c>
      <c r="I2489" s="24">
        <v>46168</v>
      </c>
      <c r="J2489" s="23" t="s">
        <v>3881</v>
      </c>
      <c r="K2489" s="23" t="s">
        <v>3881</v>
      </c>
      <c r="L2489" s="23">
        <v>1</v>
      </c>
      <c r="M2489" s="23" t="s">
        <v>78</v>
      </c>
      <c r="N2489" s="23" t="s">
        <v>78</v>
      </c>
      <c r="O2489" s="23">
        <v>0.01</v>
      </c>
      <c r="P2489" s="23" t="s">
        <v>79</v>
      </c>
      <c r="Q2489" s="23" t="s">
        <v>83</v>
      </c>
      <c r="R2489" s="23">
        <v>11100176</v>
      </c>
      <c r="S2489" s="24" t="s">
        <v>80</v>
      </c>
      <c r="T2489" s="24">
        <v>46084</v>
      </c>
      <c r="U2489" s="24">
        <v>47116</v>
      </c>
      <c r="X2489" s="24">
        <v>46083</v>
      </c>
      <c r="Y2489" s="23">
        <v>1111</v>
      </c>
      <c r="Z2489" s="23">
        <v>11400811</v>
      </c>
      <c r="AA2489" s="23">
        <v>335103</v>
      </c>
      <c r="AB2489" s="24">
        <v>46083</v>
      </c>
    </row>
    <row r="2490" spans="2:28" x14ac:dyDescent="0.2">
      <c r="B2490" s="23" t="s">
        <v>81</v>
      </c>
      <c r="C2490" s="23">
        <v>1100578531</v>
      </c>
      <c r="H2490" s="24">
        <v>46168</v>
      </c>
      <c r="O2490" s="23">
        <v>1652.3</v>
      </c>
      <c r="P2490" s="23" t="s">
        <v>79</v>
      </c>
    </row>
    <row r="2491" spans="2:28" x14ac:dyDescent="0.2">
      <c r="C2491" s="23">
        <v>1100577926</v>
      </c>
      <c r="E2491" s="23">
        <v>10</v>
      </c>
      <c r="F2491" s="23" t="s">
        <v>3907</v>
      </c>
      <c r="G2491" s="23" t="s">
        <v>3908</v>
      </c>
      <c r="H2491" s="24">
        <v>46169</v>
      </c>
      <c r="I2491" s="24">
        <v>46169</v>
      </c>
      <c r="J2491" s="23" t="s">
        <v>509</v>
      </c>
      <c r="K2491" s="23" t="s">
        <v>509</v>
      </c>
      <c r="L2491" s="23">
        <v>2</v>
      </c>
      <c r="M2491" s="23" t="s">
        <v>78</v>
      </c>
      <c r="N2491" s="23" t="s">
        <v>78</v>
      </c>
      <c r="O2491" s="23">
        <v>2484.6</v>
      </c>
      <c r="P2491" s="23" t="s">
        <v>79</v>
      </c>
      <c r="Q2491" s="23" t="s">
        <v>83</v>
      </c>
      <c r="R2491" s="23">
        <v>11100176</v>
      </c>
      <c r="S2491" s="24">
        <v>46120</v>
      </c>
      <c r="T2491" s="24">
        <v>46078</v>
      </c>
      <c r="U2491" s="24" t="s">
        <v>80</v>
      </c>
      <c r="X2491" s="24">
        <v>46077</v>
      </c>
      <c r="Y2491" s="23">
        <v>1111</v>
      </c>
      <c r="Z2491" s="23">
        <v>11400811</v>
      </c>
      <c r="AA2491" s="23">
        <v>3351</v>
      </c>
      <c r="AB2491" s="24">
        <v>46076</v>
      </c>
    </row>
    <row r="2492" spans="2:28" x14ac:dyDescent="0.2">
      <c r="B2492" s="23" t="s">
        <v>81</v>
      </c>
      <c r="C2492" s="23">
        <v>1100577926</v>
      </c>
      <c r="H2492" s="24">
        <v>46169</v>
      </c>
      <c r="O2492" s="23">
        <v>2484.6</v>
      </c>
      <c r="P2492" s="23" t="s">
        <v>79</v>
      </c>
    </row>
    <row r="2493" spans="2:28" x14ac:dyDescent="0.2">
      <c r="C2493" s="23">
        <v>1100578544</v>
      </c>
      <c r="E2493" s="23">
        <v>90</v>
      </c>
      <c r="F2493" s="23" t="s">
        <v>3909</v>
      </c>
      <c r="G2493" s="23" t="s">
        <v>3910</v>
      </c>
      <c r="H2493" s="24">
        <v>46169</v>
      </c>
      <c r="I2493" s="24">
        <v>46169</v>
      </c>
      <c r="J2493" s="23" t="s">
        <v>313</v>
      </c>
      <c r="K2493" s="23" t="s">
        <v>313</v>
      </c>
      <c r="L2493" s="23">
        <v>2</v>
      </c>
      <c r="M2493" s="23" t="s">
        <v>78</v>
      </c>
      <c r="N2493" s="23" t="s">
        <v>78</v>
      </c>
      <c r="O2493" s="23">
        <v>1331.2</v>
      </c>
      <c r="P2493" s="23" t="s">
        <v>79</v>
      </c>
      <c r="Q2493" s="23" t="s">
        <v>83</v>
      </c>
      <c r="R2493" s="23">
        <v>11100176</v>
      </c>
      <c r="S2493" s="24">
        <v>46155</v>
      </c>
      <c r="T2493" s="24">
        <v>46084</v>
      </c>
      <c r="U2493" s="24" t="s">
        <v>80</v>
      </c>
      <c r="X2493" s="24">
        <v>46080</v>
      </c>
      <c r="Y2493" s="23">
        <v>1111</v>
      </c>
      <c r="Z2493" s="23">
        <v>11100320</v>
      </c>
      <c r="AA2493" s="23">
        <v>5151</v>
      </c>
      <c r="AB2493" s="24">
        <v>46048</v>
      </c>
    </row>
    <row r="2494" spans="2:28" x14ac:dyDescent="0.2">
      <c r="C2494" s="23">
        <v>1100578544</v>
      </c>
      <c r="E2494" s="23">
        <v>100</v>
      </c>
      <c r="F2494" s="23" t="s">
        <v>3911</v>
      </c>
      <c r="G2494" s="23" t="s">
        <v>3912</v>
      </c>
      <c r="H2494" s="24">
        <v>46169</v>
      </c>
      <c r="I2494" s="24">
        <v>46169</v>
      </c>
      <c r="J2494" s="23" t="s">
        <v>313</v>
      </c>
      <c r="K2494" s="23" t="s">
        <v>313</v>
      </c>
      <c r="L2494" s="23">
        <v>2</v>
      </c>
      <c r="M2494" s="23" t="s">
        <v>78</v>
      </c>
      <c r="N2494" s="23" t="s">
        <v>78</v>
      </c>
      <c r="O2494" s="23">
        <v>1808</v>
      </c>
      <c r="P2494" s="23" t="s">
        <v>79</v>
      </c>
      <c r="Q2494" s="23" t="s">
        <v>83</v>
      </c>
      <c r="R2494" s="23">
        <v>11100176</v>
      </c>
      <c r="S2494" s="24">
        <v>46155</v>
      </c>
      <c r="T2494" s="24">
        <v>46084</v>
      </c>
      <c r="U2494" s="24" t="s">
        <v>80</v>
      </c>
      <c r="X2494" s="24">
        <v>46080</v>
      </c>
      <c r="Y2494" s="23">
        <v>1111</v>
      </c>
      <c r="Z2494" s="23">
        <v>11100320</v>
      </c>
      <c r="AA2494" s="23">
        <v>5151</v>
      </c>
      <c r="AB2494" s="24">
        <v>46048</v>
      </c>
    </row>
    <row r="2495" spans="2:28" x14ac:dyDescent="0.2">
      <c r="C2495" s="23">
        <v>1100578544</v>
      </c>
      <c r="E2495" s="23">
        <v>120</v>
      </c>
      <c r="F2495" s="23" t="s">
        <v>3913</v>
      </c>
      <c r="G2495" s="23" t="s">
        <v>3914</v>
      </c>
      <c r="H2495" s="24">
        <v>46169</v>
      </c>
      <c r="I2495" s="24">
        <v>46169</v>
      </c>
      <c r="J2495" s="23" t="s">
        <v>313</v>
      </c>
      <c r="K2495" s="23" t="s">
        <v>313</v>
      </c>
      <c r="L2495" s="23">
        <v>2</v>
      </c>
      <c r="M2495" s="23" t="s">
        <v>78</v>
      </c>
      <c r="N2495" s="23" t="s">
        <v>78</v>
      </c>
      <c r="O2495" s="23">
        <v>2261.1999999999998</v>
      </c>
      <c r="P2495" s="23" t="s">
        <v>79</v>
      </c>
      <c r="Q2495" s="23" t="s">
        <v>83</v>
      </c>
      <c r="R2495" s="23">
        <v>11100176</v>
      </c>
      <c r="S2495" s="24">
        <v>46155</v>
      </c>
      <c r="T2495" s="24">
        <v>46084</v>
      </c>
      <c r="U2495" s="24" t="s">
        <v>80</v>
      </c>
      <c r="X2495" s="24">
        <v>46080</v>
      </c>
      <c r="Y2495" s="23">
        <v>1111</v>
      </c>
      <c r="Z2495" s="23">
        <v>11100320</v>
      </c>
      <c r="AA2495" s="23">
        <v>5151</v>
      </c>
      <c r="AB2495" s="24">
        <v>46048</v>
      </c>
    </row>
    <row r="2496" spans="2:28" x14ac:dyDescent="0.2">
      <c r="C2496" s="23">
        <v>1100578544</v>
      </c>
      <c r="E2496" s="23">
        <v>130</v>
      </c>
      <c r="F2496" s="23" t="s">
        <v>3915</v>
      </c>
      <c r="G2496" s="23" t="s">
        <v>3916</v>
      </c>
      <c r="H2496" s="24">
        <v>46169</v>
      </c>
      <c r="I2496" s="24">
        <v>46218</v>
      </c>
      <c r="J2496" s="23" t="s">
        <v>313</v>
      </c>
      <c r="K2496" s="23" t="s">
        <v>313</v>
      </c>
      <c r="L2496" s="23">
        <v>2</v>
      </c>
      <c r="M2496" s="23" t="s">
        <v>78</v>
      </c>
      <c r="N2496" s="23" t="s">
        <v>78</v>
      </c>
      <c r="O2496" s="23">
        <v>4054.86</v>
      </c>
      <c r="P2496" s="23" t="s">
        <v>79</v>
      </c>
      <c r="Q2496" s="23" t="s">
        <v>83</v>
      </c>
      <c r="R2496" s="23">
        <v>11100176</v>
      </c>
      <c r="S2496" s="24">
        <v>46155</v>
      </c>
      <c r="T2496" s="24">
        <v>46084</v>
      </c>
      <c r="U2496" s="24" t="s">
        <v>80</v>
      </c>
      <c r="X2496" s="24">
        <v>46080</v>
      </c>
      <c r="Y2496" s="23">
        <v>1111</v>
      </c>
      <c r="Z2496" s="23">
        <v>11100320</v>
      </c>
      <c r="AA2496" s="23">
        <v>5151</v>
      </c>
      <c r="AB2496" s="24">
        <v>46048</v>
      </c>
    </row>
    <row r="2497" spans="2:28" x14ac:dyDescent="0.2">
      <c r="C2497" s="23">
        <v>1100578544</v>
      </c>
      <c r="E2497" s="23">
        <v>140</v>
      </c>
      <c r="F2497" s="23" t="s">
        <v>82</v>
      </c>
      <c r="G2497" s="23" t="s">
        <v>139</v>
      </c>
      <c r="H2497" s="24">
        <v>46169</v>
      </c>
      <c r="I2497" s="24">
        <v>46218</v>
      </c>
      <c r="J2497" s="23" t="s">
        <v>313</v>
      </c>
      <c r="K2497" s="23" t="s">
        <v>313</v>
      </c>
      <c r="L2497" s="23">
        <v>1</v>
      </c>
      <c r="M2497" s="23" t="s">
        <v>78</v>
      </c>
      <c r="N2497" s="23" t="s">
        <v>78</v>
      </c>
      <c r="O2497" s="23">
        <v>0.01</v>
      </c>
      <c r="P2497" s="23" t="s">
        <v>79</v>
      </c>
      <c r="Q2497" s="23" t="s">
        <v>83</v>
      </c>
      <c r="R2497" s="23">
        <v>11100176</v>
      </c>
      <c r="S2497" s="24">
        <v>46155</v>
      </c>
      <c r="T2497" s="24">
        <v>46084</v>
      </c>
      <c r="U2497" s="24" t="s">
        <v>80</v>
      </c>
      <c r="X2497" s="24">
        <v>46080</v>
      </c>
      <c r="Y2497" s="23">
        <v>1111</v>
      </c>
      <c r="Z2497" s="23">
        <v>11100320</v>
      </c>
      <c r="AA2497" s="23">
        <v>5151</v>
      </c>
      <c r="AB2497" s="24">
        <v>46048</v>
      </c>
    </row>
    <row r="2498" spans="2:28" x14ac:dyDescent="0.2">
      <c r="B2498" s="23" t="s">
        <v>81</v>
      </c>
      <c r="C2498" s="23">
        <v>1100578544</v>
      </c>
      <c r="H2498" s="24">
        <v>46169</v>
      </c>
      <c r="O2498" s="23">
        <v>9455.27</v>
      </c>
      <c r="P2498" s="23" t="s">
        <v>79</v>
      </c>
    </row>
    <row r="2499" spans="2:28" x14ac:dyDescent="0.2">
      <c r="C2499" s="23">
        <v>1100578072</v>
      </c>
      <c r="E2499" s="23">
        <v>10</v>
      </c>
      <c r="F2499" s="23" t="s">
        <v>1806</v>
      </c>
      <c r="G2499" s="23" t="s">
        <v>1807</v>
      </c>
      <c r="H2499" s="24">
        <v>46170</v>
      </c>
      <c r="I2499" s="24">
        <v>46170</v>
      </c>
      <c r="J2499" s="23" t="s">
        <v>91</v>
      </c>
      <c r="K2499" s="23" t="s">
        <v>91</v>
      </c>
      <c r="L2499" s="23">
        <v>1</v>
      </c>
      <c r="M2499" s="23" t="s">
        <v>78</v>
      </c>
      <c r="N2499" s="23" t="s">
        <v>78</v>
      </c>
      <c r="O2499" s="23">
        <v>1018.65</v>
      </c>
      <c r="P2499" s="23" t="s">
        <v>79</v>
      </c>
      <c r="Q2499" s="23" t="s">
        <v>83</v>
      </c>
      <c r="R2499" s="23">
        <v>11100176</v>
      </c>
      <c r="S2499" s="24">
        <v>46170</v>
      </c>
      <c r="T2499" s="24">
        <v>46079</v>
      </c>
      <c r="U2499" s="24" t="s">
        <v>80</v>
      </c>
      <c r="X2499" s="24">
        <v>46078</v>
      </c>
      <c r="Y2499" s="23">
        <v>1111</v>
      </c>
      <c r="Z2499" s="23">
        <v>11400811</v>
      </c>
      <c r="AA2499" s="23">
        <v>335103</v>
      </c>
      <c r="AB2499" s="24">
        <v>46078</v>
      </c>
    </row>
    <row r="2500" spans="2:28" x14ac:dyDescent="0.2">
      <c r="B2500" s="23" t="s">
        <v>81</v>
      </c>
      <c r="C2500" s="23">
        <v>1100578072</v>
      </c>
      <c r="H2500" s="24">
        <v>46170</v>
      </c>
      <c r="O2500" s="23">
        <v>1018.65</v>
      </c>
      <c r="P2500" s="23" t="s">
        <v>79</v>
      </c>
    </row>
    <row r="2501" spans="2:28" x14ac:dyDescent="0.2">
      <c r="C2501" s="23">
        <v>1100574854</v>
      </c>
      <c r="E2501" s="23">
        <v>10</v>
      </c>
      <c r="F2501" s="23" t="s">
        <v>3917</v>
      </c>
      <c r="G2501" s="23" t="s">
        <v>3918</v>
      </c>
      <c r="H2501" s="24">
        <v>46171</v>
      </c>
      <c r="I2501" s="24">
        <v>46171</v>
      </c>
      <c r="J2501" s="23" t="s">
        <v>91</v>
      </c>
      <c r="K2501" s="23" t="s">
        <v>91</v>
      </c>
      <c r="L2501" s="23">
        <v>1</v>
      </c>
      <c r="M2501" s="23" t="s">
        <v>78</v>
      </c>
      <c r="N2501" s="23" t="s">
        <v>78</v>
      </c>
      <c r="O2501" s="23">
        <v>6194.09</v>
      </c>
      <c r="P2501" s="23" t="s">
        <v>79</v>
      </c>
      <c r="Q2501" s="23" t="s">
        <v>83</v>
      </c>
      <c r="R2501" s="23">
        <v>11100176</v>
      </c>
      <c r="S2501" s="24">
        <v>46171</v>
      </c>
      <c r="T2501" s="24">
        <v>46048</v>
      </c>
      <c r="U2501" s="24" t="s">
        <v>80</v>
      </c>
      <c r="X2501" s="24">
        <v>46045</v>
      </c>
      <c r="Y2501" s="23">
        <v>1111</v>
      </c>
      <c r="Z2501" s="23">
        <v>11100137</v>
      </c>
      <c r="AA2501" s="23">
        <v>5051</v>
      </c>
      <c r="AB2501" s="24">
        <v>46043</v>
      </c>
    </row>
    <row r="2502" spans="2:28" x14ac:dyDescent="0.2">
      <c r="B2502" s="23" t="s">
        <v>81</v>
      </c>
      <c r="C2502" s="23">
        <v>1100574854</v>
      </c>
      <c r="H2502" s="24">
        <v>46171</v>
      </c>
      <c r="O2502" s="23">
        <v>6194.09</v>
      </c>
      <c r="P2502" s="23" t="s">
        <v>79</v>
      </c>
    </row>
    <row r="2503" spans="2:28" x14ac:dyDescent="0.2">
      <c r="C2503" s="23">
        <v>1100576840</v>
      </c>
      <c r="E2503" s="23">
        <v>10</v>
      </c>
      <c r="F2503" s="23" t="s">
        <v>3919</v>
      </c>
      <c r="G2503" s="23" t="s">
        <v>3920</v>
      </c>
      <c r="H2503" s="24">
        <v>46171</v>
      </c>
      <c r="I2503" s="24">
        <v>46171</v>
      </c>
      <c r="J2503" s="23" t="s">
        <v>3921</v>
      </c>
      <c r="K2503" s="23" t="s">
        <v>3921</v>
      </c>
      <c r="L2503" s="23">
        <v>1</v>
      </c>
      <c r="M2503" s="23" t="s">
        <v>566</v>
      </c>
      <c r="N2503" s="23" t="s">
        <v>566</v>
      </c>
      <c r="O2503" s="23">
        <v>2604.19</v>
      </c>
      <c r="P2503" s="23" t="s">
        <v>79</v>
      </c>
      <c r="Q2503" s="23" t="s">
        <v>83</v>
      </c>
      <c r="R2503" s="23">
        <v>11100176</v>
      </c>
      <c r="S2503" s="24">
        <v>46171</v>
      </c>
      <c r="T2503" s="24">
        <v>46066</v>
      </c>
      <c r="U2503" s="24" t="s">
        <v>80</v>
      </c>
      <c r="X2503" s="24">
        <v>46066</v>
      </c>
      <c r="Y2503" s="23">
        <v>1111</v>
      </c>
      <c r="Z2503" s="23">
        <v>11400789</v>
      </c>
      <c r="AA2503" s="23">
        <v>335103</v>
      </c>
      <c r="AB2503" s="24">
        <v>46065</v>
      </c>
    </row>
    <row r="2504" spans="2:28" x14ac:dyDescent="0.2">
      <c r="C2504" s="23">
        <v>1100576840</v>
      </c>
      <c r="E2504" s="23">
        <v>20</v>
      </c>
      <c r="F2504" s="23" t="s">
        <v>82</v>
      </c>
      <c r="G2504" s="23" t="s">
        <v>139</v>
      </c>
      <c r="H2504" s="24">
        <v>46171</v>
      </c>
      <c r="I2504" s="24">
        <v>46171</v>
      </c>
      <c r="J2504" s="23" t="s">
        <v>3921</v>
      </c>
      <c r="K2504" s="23" t="s">
        <v>3921</v>
      </c>
      <c r="L2504" s="23">
        <v>1</v>
      </c>
      <c r="M2504" s="23" t="s">
        <v>78</v>
      </c>
      <c r="N2504" s="23" t="s">
        <v>78</v>
      </c>
      <c r="O2504" s="23">
        <v>0.01</v>
      </c>
      <c r="P2504" s="23" t="s">
        <v>79</v>
      </c>
      <c r="Q2504" s="23" t="s">
        <v>83</v>
      </c>
      <c r="R2504" s="23">
        <v>11100176</v>
      </c>
      <c r="S2504" s="24" t="s">
        <v>80</v>
      </c>
      <c r="T2504" s="24">
        <v>46066</v>
      </c>
      <c r="U2504" s="24" t="s">
        <v>80</v>
      </c>
      <c r="X2504" s="24">
        <v>46066</v>
      </c>
      <c r="Y2504" s="23">
        <v>1111</v>
      </c>
      <c r="Z2504" s="23">
        <v>11400789</v>
      </c>
      <c r="AA2504" s="23">
        <v>335103</v>
      </c>
      <c r="AB2504" s="24">
        <v>46065</v>
      </c>
    </row>
    <row r="2505" spans="2:28" x14ac:dyDescent="0.2">
      <c r="B2505" s="23" t="s">
        <v>81</v>
      </c>
      <c r="C2505" s="23">
        <v>1100576840</v>
      </c>
      <c r="H2505" s="24">
        <v>46171</v>
      </c>
      <c r="O2505" s="23">
        <v>2604.1999999999998</v>
      </c>
      <c r="P2505" s="23" t="s">
        <v>79</v>
      </c>
    </row>
    <row r="2506" spans="2:28" x14ac:dyDescent="0.2">
      <c r="C2506" s="23">
        <v>1100576423</v>
      </c>
      <c r="E2506" s="23">
        <v>10</v>
      </c>
      <c r="F2506" s="23" t="s">
        <v>2019</v>
      </c>
      <c r="G2506" s="23" t="s">
        <v>2020</v>
      </c>
      <c r="H2506" s="24">
        <v>46174</v>
      </c>
      <c r="I2506" s="24">
        <v>46174</v>
      </c>
      <c r="J2506" s="23" t="s">
        <v>1931</v>
      </c>
      <c r="K2506" s="23" t="s">
        <v>1931</v>
      </c>
      <c r="L2506" s="23">
        <v>1</v>
      </c>
      <c r="M2506" s="23" t="s">
        <v>78</v>
      </c>
      <c r="N2506" s="23" t="s">
        <v>78</v>
      </c>
      <c r="O2506" s="23">
        <v>1533.41</v>
      </c>
      <c r="P2506" s="23" t="s">
        <v>79</v>
      </c>
      <c r="Q2506" s="23" t="s">
        <v>83</v>
      </c>
      <c r="R2506" s="23">
        <v>11100176</v>
      </c>
      <c r="S2506" s="24">
        <v>46098</v>
      </c>
      <c r="T2506" s="24">
        <v>46063</v>
      </c>
      <c r="U2506" s="24" t="s">
        <v>80</v>
      </c>
      <c r="X2506" s="24">
        <v>46057</v>
      </c>
      <c r="Y2506" s="23">
        <v>1111</v>
      </c>
      <c r="Z2506" s="23">
        <v>11400895</v>
      </c>
      <c r="AA2506" s="23">
        <v>3951</v>
      </c>
      <c r="AB2506" s="24">
        <v>46062</v>
      </c>
    </row>
    <row r="2507" spans="2:28" x14ac:dyDescent="0.2">
      <c r="B2507" s="23" t="s">
        <v>81</v>
      </c>
      <c r="C2507" s="23">
        <v>1100576423</v>
      </c>
      <c r="H2507" s="24">
        <v>46174</v>
      </c>
      <c r="O2507" s="23">
        <v>1533.41</v>
      </c>
      <c r="P2507" s="23" t="s">
        <v>79</v>
      </c>
    </row>
    <row r="2508" spans="2:28" x14ac:dyDescent="0.2">
      <c r="C2508" s="23">
        <v>1100577050</v>
      </c>
      <c r="E2508" s="23">
        <v>10</v>
      </c>
      <c r="F2508" s="23" t="s">
        <v>3922</v>
      </c>
      <c r="G2508" s="23" t="s">
        <v>3923</v>
      </c>
      <c r="H2508" s="24">
        <v>46176</v>
      </c>
      <c r="I2508" s="24">
        <v>46176</v>
      </c>
      <c r="J2508" s="23" t="s">
        <v>2445</v>
      </c>
      <c r="K2508" s="23" t="s">
        <v>2445</v>
      </c>
      <c r="L2508" s="23">
        <v>1</v>
      </c>
      <c r="M2508" s="23" t="s">
        <v>566</v>
      </c>
      <c r="N2508" s="23" t="s">
        <v>566</v>
      </c>
      <c r="O2508" s="23">
        <v>2291.9</v>
      </c>
      <c r="P2508" s="23" t="s">
        <v>79</v>
      </c>
      <c r="Q2508" s="23" t="s">
        <v>83</v>
      </c>
      <c r="R2508" s="23">
        <v>11100176</v>
      </c>
      <c r="S2508" s="24">
        <v>46176</v>
      </c>
      <c r="T2508" s="24">
        <v>46071</v>
      </c>
      <c r="U2508" s="24" t="s">
        <v>80</v>
      </c>
      <c r="X2508" s="24">
        <v>46066</v>
      </c>
      <c r="Y2508" s="23">
        <v>1111</v>
      </c>
      <c r="Z2508" s="23">
        <v>11400745</v>
      </c>
      <c r="AA2508" s="23">
        <v>335103</v>
      </c>
      <c r="AB2508" s="24">
        <v>46066</v>
      </c>
    </row>
    <row r="2509" spans="2:28" x14ac:dyDescent="0.2">
      <c r="C2509" s="23">
        <v>1100577050</v>
      </c>
      <c r="E2509" s="23">
        <v>20</v>
      </c>
      <c r="F2509" s="23" t="s">
        <v>82</v>
      </c>
      <c r="G2509" s="23" t="s">
        <v>139</v>
      </c>
      <c r="H2509" s="24">
        <v>46176</v>
      </c>
      <c r="I2509" s="24">
        <v>46176</v>
      </c>
      <c r="J2509" s="23" t="s">
        <v>2445</v>
      </c>
      <c r="K2509" s="23" t="s">
        <v>2445</v>
      </c>
      <c r="L2509" s="23">
        <v>1</v>
      </c>
      <c r="M2509" s="23" t="s">
        <v>78</v>
      </c>
      <c r="N2509" s="23" t="s">
        <v>78</v>
      </c>
      <c r="O2509" s="23">
        <v>0.01</v>
      </c>
      <c r="P2509" s="23" t="s">
        <v>79</v>
      </c>
      <c r="Q2509" s="23" t="s">
        <v>83</v>
      </c>
      <c r="R2509" s="23">
        <v>11100176</v>
      </c>
      <c r="S2509" s="24" t="s">
        <v>80</v>
      </c>
      <c r="T2509" s="24">
        <v>46071</v>
      </c>
      <c r="U2509" s="24" t="s">
        <v>80</v>
      </c>
      <c r="X2509" s="24">
        <v>46066</v>
      </c>
      <c r="Y2509" s="23">
        <v>1111</v>
      </c>
      <c r="Z2509" s="23">
        <v>11400745</v>
      </c>
      <c r="AA2509" s="23">
        <v>335103</v>
      </c>
      <c r="AB2509" s="24">
        <v>46066</v>
      </c>
    </row>
    <row r="2510" spans="2:28" x14ac:dyDescent="0.2">
      <c r="B2510" s="23" t="s">
        <v>81</v>
      </c>
      <c r="C2510" s="23">
        <v>1100577050</v>
      </c>
      <c r="H2510" s="24">
        <v>46176</v>
      </c>
      <c r="O2510" s="23">
        <v>2291.91</v>
      </c>
      <c r="P2510" s="23" t="s">
        <v>79</v>
      </c>
    </row>
    <row r="2511" spans="2:28" x14ac:dyDescent="0.2">
      <c r="C2511" s="23">
        <v>1100577992</v>
      </c>
      <c r="E2511" s="23">
        <v>10</v>
      </c>
      <c r="F2511" s="23">
        <v>2490420</v>
      </c>
      <c r="G2511" s="23" t="s">
        <v>3924</v>
      </c>
      <c r="H2511" s="24">
        <v>46176</v>
      </c>
      <c r="I2511" s="24">
        <v>46176</v>
      </c>
      <c r="J2511" s="23" t="s">
        <v>3620</v>
      </c>
      <c r="K2511" s="23" t="s">
        <v>3620</v>
      </c>
      <c r="L2511" s="23">
        <v>3</v>
      </c>
      <c r="M2511" s="23" t="s">
        <v>78</v>
      </c>
      <c r="N2511" s="23" t="s">
        <v>78</v>
      </c>
      <c r="O2511" s="23">
        <v>644.54999999999995</v>
      </c>
      <c r="P2511" s="23" t="s">
        <v>79</v>
      </c>
      <c r="Q2511" s="23" t="s">
        <v>83</v>
      </c>
      <c r="R2511" s="23">
        <v>11100176</v>
      </c>
      <c r="S2511" s="24">
        <v>46176</v>
      </c>
      <c r="T2511" s="24">
        <v>46078</v>
      </c>
      <c r="U2511" s="24" t="s">
        <v>80</v>
      </c>
      <c r="X2511" s="24">
        <v>46076</v>
      </c>
      <c r="Y2511" s="23">
        <v>1111</v>
      </c>
      <c r="Z2511" s="23">
        <v>11600001</v>
      </c>
      <c r="AA2511" s="23">
        <v>3751</v>
      </c>
      <c r="AB2511" s="24">
        <v>45812</v>
      </c>
    </row>
    <row r="2512" spans="2:28" x14ac:dyDescent="0.2">
      <c r="C2512" s="23">
        <v>1100577992</v>
      </c>
      <c r="E2512" s="23">
        <v>20</v>
      </c>
      <c r="F2512" s="23" t="s">
        <v>87</v>
      </c>
      <c r="G2512" s="23" t="s">
        <v>3925</v>
      </c>
      <c r="H2512" s="24">
        <v>46176</v>
      </c>
      <c r="I2512" s="24">
        <v>46176</v>
      </c>
      <c r="J2512" s="23" t="s">
        <v>3620</v>
      </c>
      <c r="K2512" s="23" t="s">
        <v>3620</v>
      </c>
      <c r="L2512" s="23">
        <v>1</v>
      </c>
      <c r="M2512" s="23" t="s">
        <v>78</v>
      </c>
      <c r="N2512" s="23" t="s">
        <v>78</v>
      </c>
      <c r="O2512" s="23">
        <v>264.2</v>
      </c>
      <c r="P2512" s="23" t="s">
        <v>79</v>
      </c>
      <c r="Q2512" s="23" t="s">
        <v>83</v>
      </c>
      <c r="R2512" s="23">
        <v>11100176</v>
      </c>
      <c r="S2512" s="24">
        <v>46176</v>
      </c>
      <c r="T2512" s="24">
        <v>46078</v>
      </c>
      <c r="U2512" s="24" t="s">
        <v>80</v>
      </c>
      <c r="X2512" s="24">
        <v>46076</v>
      </c>
      <c r="Y2512" s="23">
        <v>1111</v>
      </c>
      <c r="Z2512" s="23">
        <v>11600001</v>
      </c>
      <c r="AA2512" s="23">
        <v>3751</v>
      </c>
      <c r="AB2512" s="24">
        <v>45812</v>
      </c>
    </row>
    <row r="2513" spans="2:28" x14ac:dyDescent="0.2">
      <c r="C2513" s="23">
        <v>1100577992</v>
      </c>
      <c r="E2513" s="23">
        <v>30</v>
      </c>
      <c r="F2513" s="23" t="s">
        <v>87</v>
      </c>
      <c r="G2513" s="23" t="s">
        <v>3926</v>
      </c>
      <c r="H2513" s="24">
        <v>46176</v>
      </c>
      <c r="I2513" s="24">
        <v>46176</v>
      </c>
      <c r="J2513" s="23" t="s">
        <v>3620</v>
      </c>
      <c r="K2513" s="23" t="s">
        <v>3620</v>
      </c>
      <c r="L2513" s="23">
        <v>1</v>
      </c>
      <c r="M2513" s="23" t="s">
        <v>78</v>
      </c>
      <c r="N2513" s="23" t="s">
        <v>78</v>
      </c>
      <c r="O2513" s="23">
        <v>157.72</v>
      </c>
      <c r="P2513" s="23" t="s">
        <v>79</v>
      </c>
      <c r="Q2513" s="23" t="s">
        <v>83</v>
      </c>
      <c r="R2513" s="23">
        <v>11100176</v>
      </c>
      <c r="S2513" s="24">
        <v>46176</v>
      </c>
      <c r="T2513" s="24">
        <v>46078</v>
      </c>
      <c r="U2513" s="24" t="s">
        <v>80</v>
      </c>
      <c r="X2513" s="24">
        <v>46076</v>
      </c>
      <c r="Y2513" s="23">
        <v>1111</v>
      </c>
      <c r="Z2513" s="23">
        <v>11600001</v>
      </c>
      <c r="AA2513" s="23">
        <v>3751</v>
      </c>
      <c r="AB2513" s="24">
        <v>45812</v>
      </c>
    </row>
    <row r="2514" spans="2:28" x14ac:dyDescent="0.2">
      <c r="C2514" s="23">
        <v>1100577992</v>
      </c>
      <c r="E2514" s="23">
        <v>40</v>
      </c>
      <c r="F2514" s="23" t="s">
        <v>3927</v>
      </c>
      <c r="G2514" s="23" t="s">
        <v>3928</v>
      </c>
      <c r="H2514" s="24">
        <v>46176</v>
      </c>
      <c r="I2514" s="24">
        <v>46176</v>
      </c>
      <c r="J2514" s="23" t="s">
        <v>3620</v>
      </c>
      <c r="K2514" s="23" t="s">
        <v>3620</v>
      </c>
      <c r="L2514" s="23">
        <v>10</v>
      </c>
      <c r="M2514" s="23" t="s">
        <v>32</v>
      </c>
      <c r="N2514" s="23" t="s">
        <v>32</v>
      </c>
      <c r="O2514" s="23">
        <v>192.8</v>
      </c>
      <c r="P2514" s="23" t="s">
        <v>79</v>
      </c>
      <c r="Q2514" s="23" t="s">
        <v>83</v>
      </c>
      <c r="R2514" s="23">
        <v>11100176</v>
      </c>
      <c r="S2514" s="24">
        <v>46176</v>
      </c>
      <c r="T2514" s="24">
        <v>46078</v>
      </c>
      <c r="U2514" s="24" t="s">
        <v>80</v>
      </c>
      <c r="X2514" s="24">
        <v>46076</v>
      </c>
      <c r="Y2514" s="23">
        <v>1111</v>
      </c>
      <c r="Z2514" s="23">
        <v>11600001</v>
      </c>
      <c r="AA2514" s="23">
        <v>3751</v>
      </c>
      <c r="AB2514" s="24">
        <v>45812</v>
      </c>
    </row>
    <row r="2515" spans="2:28" x14ac:dyDescent="0.2">
      <c r="C2515" s="23">
        <v>1100577992</v>
      </c>
      <c r="E2515" s="23">
        <v>50</v>
      </c>
      <c r="F2515" s="23" t="s">
        <v>3929</v>
      </c>
      <c r="G2515" s="23" t="s">
        <v>3930</v>
      </c>
      <c r="H2515" s="24">
        <v>46176</v>
      </c>
      <c r="I2515" s="24">
        <v>46176</v>
      </c>
      <c r="J2515" s="23" t="s">
        <v>3620</v>
      </c>
      <c r="K2515" s="23" t="s">
        <v>3620</v>
      </c>
      <c r="L2515" s="23">
        <v>10</v>
      </c>
      <c r="M2515" s="23" t="s">
        <v>78</v>
      </c>
      <c r="N2515" s="23" t="s">
        <v>78</v>
      </c>
      <c r="O2515" s="23">
        <v>23.6</v>
      </c>
      <c r="P2515" s="23" t="s">
        <v>79</v>
      </c>
      <c r="Q2515" s="23" t="s">
        <v>83</v>
      </c>
      <c r="R2515" s="23">
        <v>11100176</v>
      </c>
      <c r="S2515" s="24">
        <v>46176</v>
      </c>
      <c r="T2515" s="24">
        <v>46078</v>
      </c>
      <c r="U2515" s="24" t="s">
        <v>80</v>
      </c>
      <c r="X2515" s="24">
        <v>46076</v>
      </c>
      <c r="Y2515" s="23">
        <v>1111</v>
      </c>
      <c r="Z2515" s="23">
        <v>11600001</v>
      </c>
      <c r="AA2515" s="23">
        <v>3751</v>
      </c>
      <c r="AB2515" s="24">
        <v>45812</v>
      </c>
    </row>
    <row r="2516" spans="2:28" x14ac:dyDescent="0.2">
      <c r="C2516" s="23">
        <v>1100577992</v>
      </c>
      <c r="E2516" s="23">
        <v>60</v>
      </c>
      <c r="F2516" s="23">
        <v>2490420</v>
      </c>
      <c r="G2516" s="23" t="s">
        <v>3924</v>
      </c>
      <c r="H2516" s="24">
        <v>46176</v>
      </c>
      <c r="I2516" s="24">
        <v>46176</v>
      </c>
      <c r="J2516" s="23" t="s">
        <v>3620</v>
      </c>
      <c r="K2516" s="23" t="s">
        <v>3620</v>
      </c>
      <c r="L2516" s="23">
        <v>4</v>
      </c>
      <c r="M2516" s="23" t="s">
        <v>78</v>
      </c>
      <c r="N2516" s="23" t="s">
        <v>78</v>
      </c>
      <c r="O2516" s="23">
        <v>859.4</v>
      </c>
      <c r="P2516" s="23" t="s">
        <v>79</v>
      </c>
      <c r="Q2516" s="23" t="s">
        <v>83</v>
      </c>
      <c r="R2516" s="23">
        <v>11100176</v>
      </c>
      <c r="S2516" s="24">
        <v>46176</v>
      </c>
      <c r="T2516" s="24">
        <v>46078</v>
      </c>
      <c r="U2516" s="24" t="s">
        <v>80</v>
      </c>
      <c r="X2516" s="24">
        <v>46076</v>
      </c>
      <c r="Y2516" s="23">
        <v>1111</v>
      </c>
      <c r="Z2516" s="23">
        <v>11600001</v>
      </c>
      <c r="AA2516" s="23">
        <v>3751</v>
      </c>
      <c r="AB2516" s="24">
        <v>45812</v>
      </c>
    </row>
    <row r="2517" spans="2:28" x14ac:dyDescent="0.2">
      <c r="C2517" s="23">
        <v>1100577992</v>
      </c>
      <c r="E2517" s="23">
        <v>70</v>
      </c>
      <c r="F2517" s="23">
        <v>2136122</v>
      </c>
      <c r="G2517" s="23" t="s">
        <v>3931</v>
      </c>
      <c r="H2517" s="24">
        <v>46176</v>
      </c>
      <c r="I2517" s="24">
        <v>46176</v>
      </c>
      <c r="J2517" s="23" t="s">
        <v>3620</v>
      </c>
      <c r="K2517" s="23" t="s">
        <v>3620</v>
      </c>
      <c r="L2517" s="23">
        <v>10</v>
      </c>
      <c r="M2517" s="23" t="s">
        <v>78</v>
      </c>
      <c r="N2517" s="23" t="s">
        <v>78</v>
      </c>
      <c r="O2517" s="23">
        <v>152.4</v>
      </c>
      <c r="P2517" s="23" t="s">
        <v>79</v>
      </c>
      <c r="Q2517" s="23" t="s">
        <v>83</v>
      </c>
      <c r="R2517" s="23">
        <v>11100176</v>
      </c>
      <c r="S2517" s="24">
        <v>46176</v>
      </c>
      <c r="T2517" s="24">
        <v>46078</v>
      </c>
      <c r="U2517" s="24" t="s">
        <v>80</v>
      </c>
      <c r="X2517" s="24">
        <v>46076</v>
      </c>
      <c r="Y2517" s="23">
        <v>1111</v>
      </c>
      <c r="Z2517" s="23">
        <v>11600001</v>
      </c>
      <c r="AA2517" s="23">
        <v>3751</v>
      </c>
      <c r="AB2517" s="24">
        <v>45812</v>
      </c>
    </row>
    <row r="2518" spans="2:28" x14ac:dyDescent="0.2">
      <c r="C2518" s="23">
        <v>1100577992</v>
      </c>
      <c r="E2518" s="23">
        <v>80</v>
      </c>
      <c r="F2518" s="23" t="s">
        <v>87</v>
      </c>
      <c r="G2518" s="23" t="s">
        <v>3932</v>
      </c>
      <c r="H2518" s="24">
        <v>46176</v>
      </c>
      <c r="I2518" s="24">
        <v>46176</v>
      </c>
      <c r="J2518" s="23" t="s">
        <v>3620</v>
      </c>
      <c r="K2518" s="23" t="s">
        <v>3620</v>
      </c>
      <c r="L2518" s="23">
        <v>2</v>
      </c>
      <c r="M2518" s="23" t="s">
        <v>78</v>
      </c>
      <c r="N2518" s="23" t="s">
        <v>78</v>
      </c>
      <c r="O2518" s="23">
        <v>1916.1</v>
      </c>
      <c r="P2518" s="23" t="s">
        <v>79</v>
      </c>
      <c r="Q2518" s="23" t="s">
        <v>83</v>
      </c>
      <c r="R2518" s="23">
        <v>11100176</v>
      </c>
      <c r="S2518" s="24">
        <v>46176</v>
      </c>
      <c r="T2518" s="24">
        <v>46078</v>
      </c>
      <c r="U2518" s="24" t="s">
        <v>80</v>
      </c>
      <c r="X2518" s="24">
        <v>46076</v>
      </c>
      <c r="Y2518" s="23">
        <v>1111</v>
      </c>
      <c r="Z2518" s="23">
        <v>11600001</v>
      </c>
      <c r="AA2518" s="23">
        <v>3751</v>
      </c>
      <c r="AB2518" s="24">
        <v>45812</v>
      </c>
    </row>
    <row r="2519" spans="2:28" x14ac:dyDescent="0.2">
      <c r="C2519" s="23">
        <v>1100577992</v>
      </c>
      <c r="E2519" s="23">
        <v>90</v>
      </c>
      <c r="F2519" s="23">
        <v>2490422</v>
      </c>
      <c r="G2519" s="23" t="s">
        <v>3933</v>
      </c>
      <c r="H2519" s="24">
        <v>46176</v>
      </c>
      <c r="I2519" s="24">
        <v>46176</v>
      </c>
      <c r="J2519" s="23" t="s">
        <v>3620</v>
      </c>
      <c r="K2519" s="23" t="s">
        <v>3620</v>
      </c>
      <c r="L2519" s="23">
        <v>3</v>
      </c>
      <c r="M2519" s="23" t="s">
        <v>78</v>
      </c>
      <c r="N2519" s="23" t="s">
        <v>78</v>
      </c>
      <c r="O2519" s="23">
        <v>645.51</v>
      </c>
      <c r="P2519" s="23" t="s">
        <v>79</v>
      </c>
      <c r="Q2519" s="23" t="s">
        <v>83</v>
      </c>
      <c r="R2519" s="23">
        <v>11100176</v>
      </c>
      <c r="S2519" s="24">
        <v>46176</v>
      </c>
      <c r="T2519" s="24">
        <v>46078</v>
      </c>
      <c r="U2519" s="24" t="s">
        <v>80</v>
      </c>
      <c r="X2519" s="24">
        <v>46076</v>
      </c>
      <c r="Y2519" s="23">
        <v>1111</v>
      </c>
      <c r="Z2519" s="23">
        <v>11600001</v>
      </c>
      <c r="AA2519" s="23">
        <v>3751</v>
      </c>
      <c r="AB2519" s="24">
        <v>45812</v>
      </c>
    </row>
    <row r="2520" spans="2:28" x14ac:dyDescent="0.2">
      <c r="C2520" s="23">
        <v>1100577992</v>
      </c>
      <c r="E2520" s="23">
        <v>100</v>
      </c>
      <c r="F2520" s="23">
        <v>2490424</v>
      </c>
      <c r="G2520" s="23" t="s">
        <v>3934</v>
      </c>
      <c r="H2520" s="24">
        <v>46176</v>
      </c>
      <c r="I2520" s="24">
        <v>46176</v>
      </c>
      <c r="J2520" s="23" t="s">
        <v>3620</v>
      </c>
      <c r="K2520" s="23" t="s">
        <v>3620</v>
      </c>
      <c r="L2520" s="23">
        <v>3</v>
      </c>
      <c r="M2520" s="23" t="s">
        <v>78</v>
      </c>
      <c r="N2520" s="23" t="s">
        <v>78</v>
      </c>
      <c r="O2520" s="23">
        <v>765.24</v>
      </c>
      <c r="P2520" s="23" t="s">
        <v>79</v>
      </c>
      <c r="Q2520" s="23" t="s">
        <v>83</v>
      </c>
      <c r="R2520" s="23">
        <v>11100176</v>
      </c>
      <c r="S2520" s="24">
        <v>46176</v>
      </c>
      <c r="T2520" s="24">
        <v>46078</v>
      </c>
      <c r="U2520" s="24" t="s">
        <v>80</v>
      </c>
      <c r="X2520" s="24">
        <v>46076</v>
      </c>
      <c r="Y2520" s="23">
        <v>1111</v>
      </c>
      <c r="Z2520" s="23">
        <v>11600001</v>
      </c>
      <c r="AA2520" s="23">
        <v>3751</v>
      </c>
      <c r="AB2520" s="24">
        <v>45812</v>
      </c>
    </row>
    <row r="2521" spans="2:28" x14ac:dyDescent="0.2">
      <c r="C2521" s="23">
        <v>1100577992</v>
      </c>
      <c r="E2521" s="23">
        <v>110</v>
      </c>
      <c r="F2521" s="23">
        <v>4358003</v>
      </c>
      <c r="G2521" s="23" t="s">
        <v>3935</v>
      </c>
      <c r="H2521" s="24">
        <v>46176</v>
      </c>
      <c r="I2521" s="24">
        <v>46176</v>
      </c>
      <c r="J2521" s="23" t="s">
        <v>3620</v>
      </c>
      <c r="K2521" s="23" t="s">
        <v>3620</v>
      </c>
      <c r="L2521" s="23">
        <v>2</v>
      </c>
      <c r="M2521" s="23" t="s">
        <v>78</v>
      </c>
      <c r="N2521" s="23" t="s">
        <v>78</v>
      </c>
      <c r="O2521" s="23">
        <v>270.16000000000003</v>
      </c>
      <c r="P2521" s="23" t="s">
        <v>79</v>
      </c>
      <c r="Q2521" s="23" t="s">
        <v>83</v>
      </c>
      <c r="R2521" s="23">
        <v>11100176</v>
      </c>
      <c r="S2521" s="24">
        <v>46176</v>
      </c>
      <c r="T2521" s="24">
        <v>46078</v>
      </c>
      <c r="U2521" s="24" t="s">
        <v>80</v>
      </c>
      <c r="X2521" s="24">
        <v>46076</v>
      </c>
      <c r="Y2521" s="23">
        <v>1111</v>
      </c>
      <c r="Z2521" s="23">
        <v>11600001</v>
      </c>
      <c r="AA2521" s="23">
        <v>3751</v>
      </c>
      <c r="AB2521" s="24">
        <v>45812</v>
      </c>
    </row>
    <row r="2522" spans="2:28" x14ac:dyDescent="0.2">
      <c r="C2522" s="23">
        <v>1100577992</v>
      </c>
      <c r="E2522" s="23">
        <v>120</v>
      </c>
      <c r="F2522" s="23" t="s">
        <v>3936</v>
      </c>
      <c r="G2522" s="23" t="s">
        <v>3937</v>
      </c>
      <c r="H2522" s="24">
        <v>46176</v>
      </c>
      <c r="I2522" s="24">
        <v>46176</v>
      </c>
      <c r="J2522" s="23" t="s">
        <v>3620</v>
      </c>
      <c r="K2522" s="23" t="s">
        <v>3620</v>
      </c>
      <c r="L2522" s="23">
        <v>5</v>
      </c>
      <c r="M2522" s="23" t="s">
        <v>78</v>
      </c>
      <c r="N2522" s="23" t="s">
        <v>78</v>
      </c>
      <c r="O2522" s="23">
        <v>125.35</v>
      </c>
      <c r="P2522" s="23" t="s">
        <v>79</v>
      </c>
      <c r="Q2522" s="23" t="s">
        <v>83</v>
      </c>
      <c r="R2522" s="23">
        <v>11100176</v>
      </c>
      <c r="S2522" s="24">
        <v>46176</v>
      </c>
      <c r="T2522" s="24">
        <v>46078</v>
      </c>
      <c r="U2522" s="24" t="s">
        <v>80</v>
      </c>
      <c r="X2522" s="24">
        <v>46076</v>
      </c>
      <c r="Y2522" s="23">
        <v>1111</v>
      </c>
      <c r="Z2522" s="23">
        <v>11600001</v>
      </c>
      <c r="AA2522" s="23">
        <v>3751</v>
      </c>
      <c r="AB2522" s="24">
        <v>45812</v>
      </c>
    </row>
    <row r="2523" spans="2:28" x14ac:dyDescent="0.2">
      <c r="C2523" s="23">
        <v>1100577992</v>
      </c>
      <c r="E2523" s="23">
        <v>130</v>
      </c>
      <c r="F2523" s="23" t="s">
        <v>87</v>
      </c>
      <c r="G2523" s="23" t="s">
        <v>3938</v>
      </c>
      <c r="H2523" s="24">
        <v>46176</v>
      </c>
      <c r="I2523" s="24">
        <v>46176</v>
      </c>
      <c r="J2523" s="23" t="s">
        <v>3620</v>
      </c>
      <c r="K2523" s="23" t="s">
        <v>3620</v>
      </c>
      <c r="L2523" s="23">
        <v>1</v>
      </c>
      <c r="M2523" s="23" t="s">
        <v>78</v>
      </c>
      <c r="N2523" s="23" t="s">
        <v>78</v>
      </c>
      <c r="O2523" s="23">
        <v>93.76</v>
      </c>
      <c r="P2523" s="23" t="s">
        <v>79</v>
      </c>
      <c r="Q2523" s="23" t="s">
        <v>83</v>
      </c>
      <c r="R2523" s="23">
        <v>11100176</v>
      </c>
      <c r="S2523" s="24">
        <v>46176</v>
      </c>
      <c r="T2523" s="24">
        <v>46078</v>
      </c>
      <c r="U2523" s="24" t="s">
        <v>80</v>
      </c>
      <c r="X2523" s="24">
        <v>46076</v>
      </c>
      <c r="Y2523" s="23">
        <v>1111</v>
      </c>
      <c r="Z2523" s="23">
        <v>11600001</v>
      </c>
      <c r="AA2523" s="23">
        <v>3751</v>
      </c>
      <c r="AB2523" s="24">
        <v>45812</v>
      </c>
    </row>
    <row r="2524" spans="2:28" x14ac:dyDescent="0.2">
      <c r="C2524" s="23">
        <v>1100577992</v>
      </c>
      <c r="E2524" s="23">
        <v>140</v>
      </c>
      <c r="F2524" s="23" t="s">
        <v>3817</v>
      </c>
      <c r="G2524" s="23" t="s">
        <v>3818</v>
      </c>
      <c r="H2524" s="24">
        <v>46176</v>
      </c>
      <c r="I2524" s="24">
        <v>46176</v>
      </c>
      <c r="J2524" s="23" t="s">
        <v>3620</v>
      </c>
      <c r="K2524" s="23" t="s">
        <v>3620</v>
      </c>
      <c r="L2524" s="23">
        <v>1</v>
      </c>
      <c r="M2524" s="23" t="s">
        <v>78</v>
      </c>
      <c r="N2524" s="23" t="s">
        <v>78</v>
      </c>
      <c r="O2524" s="23">
        <v>1006.93</v>
      </c>
      <c r="P2524" s="23" t="s">
        <v>79</v>
      </c>
      <c r="Q2524" s="23" t="s">
        <v>83</v>
      </c>
      <c r="R2524" s="23">
        <v>11100176</v>
      </c>
      <c r="S2524" s="24">
        <v>46176</v>
      </c>
      <c r="T2524" s="24">
        <v>46078</v>
      </c>
      <c r="U2524" s="24" t="s">
        <v>80</v>
      </c>
      <c r="X2524" s="24">
        <v>46076</v>
      </c>
      <c r="Y2524" s="23">
        <v>1111</v>
      </c>
      <c r="Z2524" s="23">
        <v>11600001</v>
      </c>
      <c r="AA2524" s="23">
        <v>3751</v>
      </c>
      <c r="AB2524" s="24">
        <v>45812</v>
      </c>
    </row>
    <row r="2525" spans="2:28" x14ac:dyDescent="0.2">
      <c r="C2525" s="23">
        <v>1100577992</v>
      </c>
      <c r="E2525" s="23">
        <v>150</v>
      </c>
      <c r="F2525" s="23" t="s">
        <v>87</v>
      </c>
      <c r="G2525" s="23" t="s">
        <v>3939</v>
      </c>
      <c r="H2525" s="24">
        <v>46176</v>
      </c>
      <c r="I2525" s="24">
        <v>46176</v>
      </c>
      <c r="J2525" s="23" t="s">
        <v>3620</v>
      </c>
      <c r="K2525" s="23" t="s">
        <v>3620</v>
      </c>
      <c r="L2525" s="23">
        <v>1</v>
      </c>
      <c r="M2525" s="23" t="s">
        <v>78</v>
      </c>
      <c r="N2525" s="23" t="s">
        <v>78</v>
      </c>
      <c r="O2525" s="23">
        <v>667.46</v>
      </c>
      <c r="P2525" s="23" t="s">
        <v>79</v>
      </c>
      <c r="Q2525" s="23" t="s">
        <v>83</v>
      </c>
      <c r="R2525" s="23">
        <v>11100176</v>
      </c>
      <c r="S2525" s="24">
        <v>46176</v>
      </c>
      <c r="T2525" s="24">
        <v>46078</v>
      </c>
      <c r="U2525" s="24" t="s">
        <v>80</v>
      </c>
      <c r="X2525" s="24">
        <v>46076</v>
      </c>
      <c r="Y2525" s="23">
        <v>1111</v>
      </c>
      <c r="Z2525" s="23">
        <v>11600001</v>
      </c>
      <c r="AA2525" s="23">
        <v>3751</v>
      </c>
      <c r="AB2525" s="24">
        <v>45812</v>
      </c>
    </row>
    <row r="2526" spans="2:28" x14ac:dyDescent="0.2">
      <c r="C2526" s="23">
        <v>1100577992</v>
      </c>
      <c r="E2526" s="23">
        <v>160</v>
      </c>
      <c r="F2526" s="23" t="s">
        <v>653</v>
      </c>
      <c r="G2526" s="23" t="s">
        <v>654</v>
      </c>
      <c r="H2526" s="24">
        <v>46176</v>
      </c>
      <c r="I2526" s="24">
        <v>46176</v>
      </c>
      <c r="J2526" s="23" t="s">
        <v>3620</v>
      </c>
      <c r="K2526" s="23" t="s">
        <v>3620</v>
      </c>
      <c r="L2526" s="23">
        <v>1</v>
      </c>
      <c r="M2526" s="23" t="s">
        <v>78</v>
      </c>
      <c r="N2526" s="23" t="s">
        <v>78</v>
      </c>
      <c r="O2526" s="23">
        <v>6141.62</v>
      </c>
      <c r="P2526" s="23" t="s">
        <v>79</v>
      </c>
      <c r="Q2526" s="23" t="s">
        <v>83</v>
      </c>
      <c r="R2526" s="23">
        <v>11100176</v>
      </c>
      <c r="S2526" s="24">
        <v>46176</v>
      </c>
      <c r="T2526" s="24">
        <v>46078</v>
      </c>
      <c r="U2526" s="24" t="s">
        <v>80</v>
      </c>
      <c r="X2526" s="24">
        <v>46076</v>
      </c>
      <c r="Y2526" s="23">
        <v>1111</v>
      </c>
      <c r="Z2526" s="23">
        <v>11600001</v>
      </c>
      <c r="AA2526" s="23">
        <v>3751</v>
      </c>
      <c r="AB2526" s="24">
        <v>45812</v>
      </c>
    </row>
    <row r="2527" spans="2:28" x14ac:dyDescent="0.2">
      <c r="C2527" s="23">
        <v>1100577992</v>
      </c>
      <c r="E2527" s="23">
        <v>170</v>
      </c>
      <c r="F2527" s="23" t="s">
        <v>84</v>
      </c>
      <c r="G2527" s="23" t="s">
        <v>123</v>
      </c>
      <c r="H2527" s="24">
        <v>46176</v>
      </c>
      <c r="I2527" s="24">
        <v>46176</v>
      </c>
      <c r="J2527" s="23" t="s">
        <v>3620</v>
      </c>
      <c r="K2527" s="23" t="s">
        <v>3620</v>
      </c>
      <c r="L2527" s="23">
        <v>1</v>
      </c>
      <c r="M2527" s="23" t="s">
        <v>78</v>
      </c>
      <c r="N2527" s="23" t="s">
        <v>78</v>
      </c>
      <c r="O2527" s="23">
        <v>0.01</v>
      </c>
      <c r="P2527" s="23" t="s">
        <v>79</v>
      </c>
      <c r="Q2527" s="23" t="s">
        <v>83</v>
      </c>
      <c r="R2527" s="23">
        <v>11100176</v>
      </c>
      <c r="S2527" s="24" t="s">
        <v>80</v>
      </c>
      <c r="T2527" s="24">
        <v>46078</v>
      </c>
      <c r="U2527" s="24" t="s">
        <v>80</v>
      </c>
      <c r="X2527" s="24">
        <v>46076</v>
      </c>
      <c r="Y2527" s="23">
        <v>1111</v>
      </c>
      <c r="Z2527" s="23">
        <v>11600001</v>
      </c>
      <c r="AA2527" s="23">
        <v>3751</v>
      </c>
      <c r="AB2527" s="24">
        <v>45812</v>
      </c>
    </row>
    <row r="2528" spans="2:28" x14ac:dyDescent="0.2">
      <c r="B2528" s="23" t="s">
        <v>81</v>
      </c>
      <c r="C2528" s="23">
        <v>1100577992</v>
      </c>
      <c r="H2528" s="24">
        <v>46176</v>
      </c>
      <c r="O2528" s="23">
        <v>13926.81</v>
      </c>
      <c r="P2528" s="23" t="s">
        <v>79</v>
      </c>
    </row>
    <row r="2529" spans="2:28" x14ac:dyDescent="0.2">
      <c r="C2529" s="23">
        <v>1100576166</v>
      </c>
      <c r="E2529" s="23">
        <v>10</v>
      </c>
      <c r="F2529" s="23" t="s">
        <v>3940</v>
      </c>
      <c r="G2529" s="23" t="s">
        <v>3941</v>
      </c>
      <c r="H2529" s="24">
        <v>46178</v>
      </c>
      <c r="I2529" s="24">
        <v>46178</v>
      </c>
      <c r="J2529" s="23" t="s">
        <v>189</v>
      </c>
      <c r="K2529" s="23" t="s">
        <v>189</v>
      </c>
      <c r="L2529" s="23">
        <v>4</v>
      </c>
      <c r="M2529" s="23" t="s">
        <v>78</v>
      </c>
      <c r="N2529" s="23" t="s">
        <v>78</v>
      </c>
      <c r="O2529" s="23">
        <v>5287.8</v>
      </c>
      <c r="P2529" s="23" t="s">
        <v>79</v>
      </c>
      <c r="Q2529" s="23" t="s">
        <v>83</v>
      </c>
      <c r="R2529" s="23">
        <v>11100176</v>
      </c>
      <c r="S2529" s="24">
        <v>46178</v>
      </c>
      <c r="T2529" s="24">
        <v>46059</v>
      </c>
      <c r="U2529" s="24" t="s">
        <v>80</v>
      </c>
      <c r="X2529" s="24">
        <v>46059</v>
      </c>
      <c r="Y2529" s="23">
        <v>1111</v>
      </c>
      <c r="Z2529" s="23">
        <v>11400789</v>
      </c>
      <c r="AA2529" s="23">
        <v>3951</v>
      </c>
      <c r="AB2529" s="24">
        <v>46058</v>
      </c>
    </row>
    <row r="2530" spans="2:28" x14ac:dyDescent="0.2">
      <c r="C2530" s="23">
        <v>1100576166</v>
      </c>
      <c r="E2530" s="23">
        <v>20</v>
      </c>
      <c r="F2530" s="23" t="s">
        <v>82</v>
      </c>
      <c r="G2530" s="23" t="s">
        <v>139</v>
      </c>
      <c r="H2530" s="24">
        <v>46178</v>
      </c>
      <c r="I2530" s="24">
        <v>46178</v>
      </c>
      <c r="J2530" s="23" t="s">
        <v>189</v>
      </c>
      <c r="K2530" s="23" t="s">
        <v>189</v>
      </c>
      <c r="L2530" s="23">
        <v>1</v>
      </c>
      <c r="M2530" s="23" t="s">
        <v>78</v>
      </c>
      <c r="N2530" s="23" t="s">
        <v>78</v>
      </c>
      <c r="O2530" s="23">
        <v>0.01</v>
      </c>
      <c r="P2530" s="23" t="s">
        <v>79</v>
      </c>
      <c r="Q2530" s="23" t="s">
        <v>83</v>
      </c>
      <c r="R2530" s="23">
        <v>11100176</v>
      </c>
      <c r="S2530" s="24" t="s">
        <v>80</v>
      </c>
      <c r="T2530" s="24">
        <v>46059</v>
      </c>
      <c r="U2530" s="24" t="s">
        <v>80</v>
      </c>
      <c r="X2530" s="24">
        <v>46059</v>
      </c>
      <c r="Y2530" s="23">
        <v>1111</v>
      </c>
      <c r="Z2530" s="23">
        <v>11400789</v>
      </c>
      <c r="AA2530" s="23">
        <v>3951</v>
      </c>
      <c r="AB2530" s="24">
        <v>46058</v>
      </c>
    </row>
    <row r="2531" spans="2:28" x14ac:dyDescent="0.2">
      <c r="B2531" s="23" t="s">
        <v>81</v>
      </c>
      <c r="C2531" s="23">
        <v>1100576166</v>
      </c>
      <c r="H2531" s="24">
        <v>46178</v>
      </c>
      <c r="O2531" s="23">
        <v>5287.81</v>
      </c>
      <c r="P2531" s="23" t="s">
        <v>79</v>
      </c>
    </row>
    <row r="2532" spans="2:28" x14ac:dyDescent="0.2">
      <c r="C2532" s="23">
        <v>1100577705</v>
      </c>
      <c r="E2532" s="23">
        <v>20</v>
      </c>
      <c r="F2532" s="23" t="s">
        <v>2692</v>
      </c>
      <c r="G2532" s="23" t="s">
        <v>2693</v>
      </c>
      <c r="H2532" s="24">
        <v>46178</v>
      </c>
      <c r="I2532" s="24">
        <v>46178</v>
      </c>
      <c r="J2532" s="23" t="s">
        <v>2691</v>
      </c>
      <c r="K2532" s="23" t="s">
        <v>2691</v>
      </c>
      <c r="L2532" s="23">
        <v>2</v>
      </c>
      <c r="M2532" s="23" t="s">
        <v>78</v>
      </c>
      <c r="N2532" s="23" t="s">
        <v>78</v>
      </c>
      <c r="O2532" s="23">
        <v>525.74</v>
      </c>
      <c r="P2532" s="23" t="s">
        <v>79</v>
      </c>
      <c r="Q2532" s="23" t="s">
        <v>83</v>
      </c>
      <c r="R2532" s="23">
        <v>11100176</v>
      </c>
      <c r="S2532" s="24">
        <v>46090</v>
      </c>
      <c r="T2532" s="24">
        <v>46076</v>
      </c>
      <c r="U2532" s="24">
        <v>47116</v>
      </c>
      <c r="X2532" s="24">
        <v>46073</v>
      </c>
      <c r="Y2532" s="23">
        <v>1111</v>
      </c>
      <c r="Z2532" s="23">
        <v>11400811</v>
      </c>
      <c r="AA2532" s="23">
        <v>335103</v>
      </c>
      <c r="AB2532" s="24">
        <v>46073</v>
      </c>
    </row>
    <row r="2533" spans="2:28" x14ac:dyDescent="0.2">
      <c r="C2533" s="23">
        <v>1100577705</v>
      </c>
      <c r="E2533" s="23">
        <v>30</v>
      </c>
      <c r="F2533" s="23" t="s">
        <v>82</v>
      </c>
      <c r="G2533" s="23" t="s">
        <v>139</v>
      </c>
      <c r="H2533" s="24">
        <v>46178</v>
      </c>
      <c r="I2533" s="24">
        <v>46178</v>
      </c>
      <c r="J2533" s="23" t="s">
        <v>2691</v>
      </c>
      <c r="K2533" s="23" t="s">
        <v>2691</v>
      </c>
      <c r="L2533" s="23">
        <v>1</v>
      </c>
      <c r="M2533" s="23" t="s">
        <v>78</v>
      </c>
      <c r="N2533" s="23" t="s">
        <v>78</v>
      </c>
      <c r="O2533" s="23">
        <v>0.01</v>
      </c>
      <c r="P2533" s="23" t="s">
        <v>79</v>
      </c>
      <c r="Q2533" s="23" t="s">
        <v>83</v>
      </c>
      <c r="R2533" s="23">
        <v>11100176</v>
      </c>
      <c r="S2533" s="24" t="s">
        <v>80</v>
      </c>
      <c r="T2533" s="24">
        <v>46076</v>
      </c>
      <c r="U2533" s="24">
        <v>47116</v>
      </c>
      <c r="X2533" s="24">
        <v>46073</v>
      </c>
      <c r="Y2533" s="23">
        <v>1111</v>
      </c>
      <c r="Z2533" s="23">
        <v>11400811</v>
      </c>
      <c r="AA2533" s="23">
        <v>335103</v>
      </c>
      <c r="AB2533" s="24">
        <v>46073</v>
      </c>
    </row>
    <row r="2534" spans="2:28" x14ac:dyDescent="0.2">
      <c r="B2534" s="23" t="s">
        <v>81</v>
      </c>
      <c r="C2534" s="23">
        <v>1100577705</v>
      </c>
      <c r="H2534" s="24">
        <v>46178</v>
      </c>
      <c r="O2534" s="23">
        <v>525.75</v>
      </c>
      <c r="P2534" s="23" t="s">
        <v>79</v>
      </c>
    </row>
    <row r="2535" spans="2:28" x14ac:dyDescent="0.2">
      <c r="C2535" s="23">
        <v>1100578400</v>
      </c>
      <c r="E2535" s="23">
        <v>10</v>
      </c>
      <c r="F2535" s="23" t="s">
        <v>3942</v>
      </c>
      <c r="G2535" s="23" t="s">
        <v>3943</v>
      </c>
      <c r="H2535" s="24">
        <v>46181</v>
      </c>
      <c r="I2535" s="24">
        <v>46181</v>
      </c>
      <c r="J2535" s="23" t="s">
        <v>3298</v>
      </c>
      <c r="K2535" s="23" t="s">
        <v>3298</v>
      </c>
      <c r="L2535" s="23">
        <v>2</v>
      </c>
      <c r="M2535" s="23" t="s">
        <v>78</v>
      </c>
      <c r="N2535" s="23" t="s">
        <v>78</v>
      </c>
      <c r="O2535" s="23">
        <v>5396.9</v>
      </c>
      <c r="P2535" s="23" t="s">
        <v>79</v>
      </c>
      <c r="Q2535" s="23" t="s">
        <v>83</v>
      </c>
      <c r="R2535" s="23">
        <v>11100176</v>
      </c>
      <c r="S2535" s="24">
        <v>46181</v>
      </c>
      <c r="T2535" s="24">
        <v>46081</v>
      </c>
      <c r="U2535" s="24" t="s">
        <v>80</v>
      </c>
      <c r="X2535" s="24">
        <v>46080</v>
      </c>
      <c r="Y2535" s="23">
        <v>1111</v>
      </c>
      <c r="Z2535" s="23">
        <v>11400745</v>
      </c>
      <c r="AA2535" s="23">
        <v>5251</v>
      </c>
      <c r="AB2535" s="24">
        <v>46078</v>
      </c>
    </row>
    <row r="2536" spans="2:28" x14ac:dyDescent="0.2">
      <c r="C2536" s="23">
        <v>1100578400</v>
      </c>
      <c r="E2536" s="23">
        <v>20</v>
      </c>
      <c r="F2536" s="23" t="s">
        <v>82</v>
      </c>
      <c r="G2536" s="23" t="s">
        <v>139</v>
      </c>
      <c r="H2536" s="24">
        <v>46181</v>
      </c>
      <c r="I2536" s="24">
        <v>46181</v>
      </c>
      <c r="J2536" s="23" t="s">
        <v>3298</v>
      </c>
      <c r="K2536" s="23" t="s">
        <v>3298</v>
      </c>
      <c r="L2536" s="23">
        <v>1</v>
      </c>
      <c r="M2536" s="23" t="s">
        <v>78</v>
      </c>
      <c r="N2536" s="23" t="s">
        <v>78</v>
      </c>
      <c r="O2536" s="23">
        <v>0.01</v>
      </c>
      <c r="P2536" s="23" t="s">
        <v>79</v>
      </c>
      <c r="Q2536" s="23" t="s">
        <v>83</v>
      </c>
      <c r="R2536" s="23">
        <v>11100176</v>
      </c>
      <c r="S2536" s="24">
        <v>46181</v>
      </c>
      <c r="T2536" s="24">
        <v>46081</v>
      </c>
      <c r="U2536" s="24" t="s">
        <v>80</v>
      </c>
      <c r="X2536" s="24">
        <v>46080</v>
      </c>
      <c r="Y2536" s="23">
        <v>1111</v>
      </c>
      <c r="Z2536" s="23">
        <v>11400745</v>
      </c>
      <c r="AA2536" s="23">
        <v>5251</v>
      </c>
      <c r="AB2536" s="24">
        <v>46078</v>
      </c>
    </row>
    <row r="2537" spans="2:28" x14ac:dyDescent="0.2">
      <c r="B2537" s="23" t="s">
        <v>81</v>
      </c>
      <c r="C2537" s="23">
        <v>1100578400</v>
      </c>
      <c r="H2537" s="24">
        <v>46181</v>
      </c>
      <c r="O2537" s="23">
        <v>5396.91</v>
      </c>
      <c r="P2537" s="23" t="s">
        <v>79</v>
      </c>
    </row>
    <row r="2538" spans="2:28" x14ac:dyDescent="0.2">
      <c r="C2538" s="23">
        <v>1100575292</v>
      </c>
      <c r="E2538" s="23">
        <v>10</v>
      </c>
      <c r="F2538" s="23" t="s">
        <v>1157</v>
      </c>
      <c r="G2538" s="23" t="s">
        <v>1158</v>
      </c>
      <c r="H2538" s="24">
        <v>46183</v>
      </c>
      <c r="I2538" s="24">
        <v>46183</v>
      </c>
      <c r="J2538" s="23" t="s">
        <v>1113</v>
      </c>
      <c r="K2538" s="23" t="s">
        <v>1113</v>
      </c>
      <c r="L2538" s="23">
        <v>1</v>
      </c>
      <c r="M2538" s="23" t="s">
        <v>78</v>
      </c>
      <c r="N2538" s="23" t="s">
        <v>78</v>
      </c>
      <c r="O2538" s="23">
        <v>3266.13</v>
      </c>
      <c r="P2538" s="23" t="s">
        <v>79</v>
      </c>
      <c r="Q2538" s="23" t="s">
        <v>83</v>
      </c>
      <c r="R2538" s="23">
        <v>11100176</v>
      </c>
      <c r="S2538" s="24">
        <v>46183</v>
      </c>
      <c r="T2538" s="24">
        <v>46051</v>
      </c>
      <c r="U2538" s="24" t="s">
        <v>80</v>
      </c>
      <c r="X2538" s="24">
        <v>46050</v>
      </c>
      <c r="Y2538" s="23">
        <v>1111</v>
      </c>
      <c r="Z2538" s="23">
        <v>11600003</v>
      </c>
      <c r="AA2538" s="23">
        <v>395103</v>
      </c>
      <c r="AB2538" s="24">
        <v>46050</v>
      </c>
    </row>
    <row r="2539" spans="2:28" x14ac:dyDescent="0.2">
      <c r="C2539" s="23">
        <v>1100575292</v>
      </c>
      <c r="E2539" s="23">
        <v>20</v>
      </c>
      <c r="F2539" s="23" t="s">
        <v>82</v>
      </c>
      <c r="G2539" s="23" t="s">
        <v>139</v>
      </c>
      <c r="H2539" s="24">
        <v>46183</v>
      </c>
      <c r="I2539" s="24">
        <v>46183</v>
      </c>
      <c r="J2539" s="23" t="s">
        <v>1113</v>
      </c>
      <c r="K2539" s="23" t="s">
        <v>1113</v>
      </c>
      <c r="L2539" s="23">
        <v>1</v>
      </c>
      <c r="M2539" s="23" t="s">
        <v>78</v>
      </c>
      <c r="N2539" s="23" t="s">
        <v>78</v>
      </c>
      <c r="O2539" s="23">
        <v>0.01</v>
      </c>
      <c r="P2539" s="23" t="s">
        <v>79</v>
      </c>
      <c r="Q2539" s="23" t="s">
        <v>83</v>
      </c>
      <c r="R2539" s="23">
        <v>11100176</v>
      </c>
      <c r="S2539" s="24">
        <v>46183</v>
      </c>
      <c r="T2539" s="24">
        <v>46051</v>
      </c>
      <c r="U2539" s="24" t="s">
        <v>80</v>
      </c>
      <c r="X2539" s="24">
        <v>46050</v>
      </c>
      <c r="Y2539" s="23">
        <v>1111</v>
      </c>
      <c r="Z2539" s="23">
        <v>11600003</v>
      </c>
      <c r="AA2539" s="23">
        <v>395103</v>
      </c>
      <c r="AB2539" s="24">
        <v>46050</v>
      </c>
    </row>
    <row r="2540" spans="2:28" x14ac:dyDescent="0.2">
      <c r="B2540" s="23" t="s">
        <v>81</v>
      </c>
      <c r="C2540" s="23">
        <v>1100575292</v>
      </c>
      <c r="H2540" s="24">
        <v>46183</v>
      </c>
      <c r="O2540" s="23">
        <v>3266.14</v>
      </c>
      <c r="P2540" s="23" t="s">
        <v>79</v>
      </c>
    </row>
    <row r="2541" spans="2:28" x14ac:dyDescent="0.2">
      <c r="C2541" s="23">
        <v>1100578653</v>
      </c>
      <c r="E2541" s="23">
        <v>10</v>
      </c>
      <c r="F2541" s="23" t="s">
        <v>4132</v>
      </c>
      <c r="G2541" s="23" t="s">
        <v>4133</v>
      </c>
      <c r="H2541" s="24">
        <v>46184</v>
      </c>
      <c r="I2541" s="24">
        <v>46184</v>
      </c>
      <c r="J2541" s="23" t="s">
        <v>935</v>
      </c>
      <c r="K2541" s="23" t="s">
        <v>935</v>
      </c>
      <c r="L2541" s="23">
        <v>2</v>
      </c>
      <c r="M2541" s="23" t="s">
        <v>78</v>
      </c>
      <c r="N2541" s="23" t="s">
        <v>78</v>
      </c>
      <c r="O2541" s="23">
        <v>1173.26</v>
      </c>
      <c r="P2541" s="23" t="s">
        <v>79</v>
      </c>
      <c r="Q2541" s="23" t="s">
        <v>83</v>
      </c>
      <c r="R2541" s="23">
        <v>11100176</v>
      </c>
      <c r="S2541" s="24">
        <v>46184</v>
      </c>
      <c r="T2541" s="24">
        <v>46085</v>
      </c>
      <c r="U2541" s="24">
        <v>46184</v>
      </c>
      <c r="X2541" s="24">
        <v>46084</v>
      </c>
      <c r="Y2541" s="23">
        <v>1111</v>
      </c>
      <c r="Z2541" s="23">
        <v>11100137</v>
      </c>
      <c r="AA2541" s="23">
        <v>505103</v>
      </c>
      <c r="AB2541" s="24">
        <v>46059</v>
      </c>
    </row>
    <row r="2542" spans="2:28" x14ac:dyDescent="0.2">
      <c r="C2542" s="23">
        <v>1100578653</v>
      </c>
      <c r="E2542" s="23">
        <v>30</v>
      </c>
      <c r="F2542" s="23" t="s">
        <v>4134</v>
      </c>
      <c r="G2542" s="23" t="s">
        <v>4135</v>
      </c>
      <c r="H2542" s="24">
        <v>46184</v>
      </c>
      <c r="I2542" s="24">
        <v>46184</v>
      </c>
      <c r="J2542" s="23" t="s">
        <v>935</v>
      </c>
      <c r="K2542" s="23" t="s">
        <v>935</v>
      </c>
      <c r="L2542" s="23">
        <v>1</v>
      </c>
      <c r="M2542" s="23" t="s">
        <v>78</v>
      </c>
      <c r="N2542" s="23" t="s">
        <v>78</v>
      </c>
      <c r="O2542" s="23">
        <v>393</v>
      </c>
      <c r="P2542" s="23" t="s">
        <v>79</v>
      </c>
      <c r="Q2542" s="23" t="s">
        <v>83</v>
      </c>
      <c r="R2542" s="23">
        <v>11100176</v>
      </c>
      <c r="S2542" s="24">
        <v>46184</v>
      </c>
      <c r="T2542" s="24">
        <v>46085</v>
      </c>
      <c r="U2542" s="24">
        <v>46184</v>
      </c>
      <c r="X2542" s="24">
        <v>46084</v>
      </c>
      <c r="Y2542" s="23">
        <v>1111</v>
      </c>
      <c r="Z2542" s="23">
        <v>11100137</v>
      </c>
      <c r="AA2542" s="23">
        <v>505103</v>
      </c>
      <c r="AB2542" s="24">
        <v>46059</v>
      </c>
    </row>
    <row r="2543" spans="2:28" x14ac:dyDescent="0.2">
      <c r="C2543" s="23">
        <v>1100578653</v>
      </c>
      <c r="E2543" s="23">
        <v>40</v>
      </c>
      <c r="F2543" s="23" t="s">
        <v>4136</v>
      </c>
      <c r="G2543" s="23" t="s">
        <v>4137</v>
      </c>
      <c r="H2543" s="24">
        <v>46184</v>
      </c>
      <c r="I2543" s="24">
        <v>46184</v>
      </c>
      <c r="J2543" s="23" t="s">
        <v>935</v>
      </c>
      <c r="K2543" s="23" t="s">
        <v>935</v>
      </c>
      <c r="L2543" s="23">
        <v>2</v>
      </c>
      <c r="M2543" s="23" t="s">
        <v>78</v>
      </c>
      <c r="N2543" s="23" t="s">
        <v>78</v>
      </c>
      <c r="O2543" s="23">
        <v>797.64</v>
      </c>
      <c r="P2543" s="23" t="s">
        <v>79</v>
      </c>
      <c r="Q2543" s="23" t="s">
        <v>83</v>
      </c>
      <c r="R2543" s="23">
        <v>11100176</v>
      </c>
      <c r="S2543" s="24">
        <v>46184</v>
      </c>
      <c r="T2543" s="24">
        <v>46085</v>
      </c>
      <c r="U2543" s="24">
        <v>46184</v>
      </c>
      <c r="X2543" s="24">
        <v>46084</v>
      </c>
      <c r="Y2543" s="23">
        <v>1111</v>
      </c>
      <c r="Z2543" s="23">
        <v>11100137</v>
      </c>
      <c r="AA2543" s="23">
        <v>505103</v>
      </c>
      <c r="AB2543" s="24">
        <v>46059</v>
      </c>
    </row>
    <row r="2544" spans="2:28" x14ac:dyDescent="0.2">
      <c r="C2544" s="23">
        <v>1100578653</v>
      </c>
      <c r="E2544" s="23">
        <v>50</v>
      </c>
      <c r="F2544" s="23" t="s">
        <v>82</v>
      </c>
      <c r="G2544" s="23" t="s">
        <v>139</v>
      </c>
      <c r="H2544" s="24">
        <v>46184</v>
      </c>
      <c r="I2544" s="24">
        <v>46184</v>
      </c>
      <c r="J2544" s="23" t="s">
        <v>935</v>
      </c>
      <c r="K2544" s="23" t="s">
        <v>935</v>
      </c>
      <c r="L2544" s="23">
        <v>1</v>
      </c>
      <c r="M2544" s="23" t="s">
        <v>78</v>
      </c>
      <c r="N2544" s="23" t="s">
        <v>78</v>
      </c>
      <c r="O2544" s="23">
        <v>0.01</v>
      </c>
      <c r="P2544" s="23" t="s">
        <v>79</v>
      </c>
      <c r="Q2544" s="23" t="s">
        <v>83</v>
      </c>
      <c r="R2544" s="23">
        <v>11100176</v>
      </c>
      <c r="S2544" s="24" t="s">
        <v>80</v>
      </c>
      <c r="T2544" s="24">
        <v>46085</v>
      </c>
      <c r="U2544" s="24">
        <v>46184</v>
      </c>
      <c r="X2544" s="24">
        <v>46084</v>
      </c>
      <c r="Y2544" s="23">
        <v>1111</v>
      </c>
      <c r="Z2544" s="23">
        <v>11100137</v>
      </c>
      <c r="AA2544" s="23">
        <v>505103</v>
      </c>
      <c r="AB2544" s="24">
        <v>46059</v>
      </c>
    </row>
    <row r="2545" spans="2:28" x14ac:dyDescent="0.2">
      <c r="B2545" s="23" t="s">
        <v>81</v>
      </c>
      <c r="C2545" s="23">
        <v>1100578653</v>
      </c>
      <c r="H2545" s="24">
        <v>46184</v>
      </c>
      <c r="O2545" s="23">
        <v>2363.91</v>
      </c>
      <c r="P2545" s="23" t="s">
        <v>79</v>
      </c>
    </row>
    <row r="2546" spans="2:28" x14ac:dyDescent="0.2">
      <c r="C2546" s="23">
        <v>1100575603</v>
      </c>
      <c r="E2546" s="23">
        <v>10</v>
      </c>
      <c r="F2546" s="23" t="s">
        <v>3944</v>
      </c>
      <c r="G2546" s="23" t="s">
        <v>3945</v>
      </c>
      <c r="H2546" s="24">
        <v>46188</v>
      </c>
      <c r="I2546" s="24">
        <v>46188</v>
      </c>
      <c r="J2546" s="23" t="s">
        <v>428</v>
      </c>
      <c r="K2546" s="23" t="s">
        <v>428</v>
      </c>
      <c r="L2546" s="23">
        <v>1</v>
      </c>
      <c r="M2546" s="23" t="s">
        <v>78</v>
      </c>
      <c r="N2546" s="23" t="s">
        <v>78</v>
      </c>
      <c r="O2546" s="23">
        <v>9443.2000000000007</v>
      </c>
      <c r="P2546" s="23" t="s">
        <v>79</v>
      </c>
      <c r="Q2546" s="23" t="s">
        <v>83</v>
      </c>
      <c r="R2546" s="23">
        <v>11100176</v>
      </c>
      <c r="S2546" s="24">
        <v>46108</v>
      </c>
      <c r="T2546" s="24">
        <v>46052</v>
      </c>
      <c r="U2546" s="24" t="s">
        <v>80</v>
      </c>
      <c r="X2546" s="24">
        <v>46044</v>
      </c>
      <c r="Y2546" s="23">
        <v>1111</v>
      </c>
      <c r="Z2546" s="23">
        <v>11400937</v>
      </c>
      <c r="AA2546" s="23">
        <v>5051</v>
      </c>
      <c r="AB2546" s="24">
        <v>46044</v>
      </c>
    </row>
    <row r="2547" spans="2:28" x14ac:dyDescent="0.2">
      <c r="C2547" s="23">
        <v>1100575603</v>
      </c>
      <c r="E2547" s="23">
        <v>20</v>
      </c>
      <c r="F2547" s="23" t="s">
        <v>82</v>
      </c>
      <c r="G2547" s="23" t="s">
        <v>139</v>
      </c>
      <c r="H2547" s="24">
        <v>46188</v>
      </c>
      <c r="I2547" s="24">
        <v>46188</v>
      </c>
      <c r="J2547" s="23" t="s">
        <v>428</v>
      </c>
      <c r="K2547" s="23" t="s">
        <v>428</v>
      </c>
      <c r="L2547" s="23">
        <v>1</v>
      </c>
      <c r="M2547" s="23" t="s">
        <v>78</v>
      </c>
      <c r="N2547" s="23" t="s">
        <v>78</v>
      </c>
      <c r="O2547" s="23">
        <v>0.01</v>
      </c>
      <c r="P2547" s="23" t="s">
        <v>79</v>
      </c>
      <c r="Q2547" s="23" t="s">
        <v>83</v>
      </c>
      <c r="R2547" s="23">
        <v>11100176</v>
      </c>
      <c r="S2547" s="24" t="s">
        <v>80</v>
      </c>
      <c r="T2547" s="24">
        <v>46052</v>
      </c>
      <c r="U2547" s="24" t="s">
        <v>80</v>
      </c>
      <c r="X2547" s="24">
        <v>46044</v>
      </c>
      <c r="Y2547" s="23">
        <v>1111</v>
      </c>
      <c r="Z2547" s="23">
        <v>11400937</v>
      </c>
      <c r="AA2547" s="23">
        <v>5051</v>
      </c>
      <c r="AB2547" s="24">
        <v>46044</v>
      </c>
    </row>
    <row r="2548" spans="2:28" x14ac:dyDescent="0.2">
      <c r="B2548" s="23" t="s">
        <v>81</v>
      </c>
      <c r="C2548" s="23">
        <v>1100575603</v>
      </c>
      <c r="H2548" s="24">
        <v>46188</v>
      </c>
      <c r="O2548" s="23">
        <v>9443.2099999999991</v>
      </c>
      <c r="P2548" s="23" t="s">
        <v>79</v>
      </c>
    </row>
    <row r="2549" spans="2:28" x14ac:dyDescent="0.2">
      <c r="C2549" s="23">
        <v>1100577496</v>
      </c>
      <c r="E2549" s="23">
        <v>10</v>
      </c>
      <c r="F2549" s="23" t="s">
        <v>127</v>
      </c>
      <c r="G2549" s="23" t="s">
        <v>128</v>
      </c>
      <c r="H2549" s="24">
        <v>46191</v>
      </c>
      <c r="I2549" s="24">
        <v>46191</v>
      </c>
      <c r="J2549" s="23" t="s">
        <v>257</v>
      </c>
      <c r="K2549" s="23" t="s">
        <v>257</v>
      </c>
      <c r="L2549" s="23">
        <v>5</v>
      </c>
      <c r="M2549" s="23" t="s">
        <v>78</v>
      </c>
      <c r="N2549" s="23" t="s">
        <v>78</v>
      </c>
      <c r="O2549" s="23">
        <v>1763.1</v>
      </c>
      <c r="P2549" s="23" t="s">
        <v>79</v>
      </c>
      <c r="Q2549" s="23" t="s">
        <v>83</v>
      </c>
      <c r="R2549" s="23">
        <v>11100176</v>
      </c>
      <c r="S2549" s="24">
        <v>46100</v>
      </c>
      <c r="T2549" s="24">
        <v>46074</v>
      </c>
      <c r="U2549" s="24" t="s">
        <v>80</v>
      </c>
      <c r="X2549" s="24">
        <v>46072</v>
      </c>
      <c r="Y2549" s="23">
        <v>1111</v>
      </c>
      <c r="Z2549" s="23">
        <v>11100137</v>
      </c>
      <c r="AA2549" s="23">
        <v>3351</v>
      </c>
      <c r="AB2549" s="24">
        <v>46072</v>
      </c>
    </row>
    <row r="2550" spans="2:28" x14ac:dyDescent="0.2">
      <c r="C2550" s="23">
        <v>1100577496</v>
      </c>
      <c r="E2550" s="23">
        <v>20</v>
      </c>
      <c r="F2550" s="23" t="s">
        <v>127</v>
      </c>
      <c r="G2550" s="23" t="s">
        <v>128</v>
      </c>
      <c r="H2550" s="24">
        <v>46191</v>
      </c>
      <c r="I2550" s="24">
        <v>46198</v>
      </c>
      <c r="J2550" s="23" t="s">
        <v>257</v>
      </c>
      <c r="K2550" s="23" t="s">
        <v>257</v>
      </c>
      <c r="L2550" s="23">
        <v>5</v>
      </c>
      <c r="M2550" s="23" t="s">
        <v>78</v>
      </c>
      <c r="N2550" s="23" t="s">
        <v>78</v>
      </c>
      <c r="O2550" s="23">
        <v>1763.1</v>
      </c>
      <c r="P2550" s="23" t="s">
        <v>79</v>
      </c>
      <c r="Q2550" s="23" t="s">
        <v>83</v>
      </c>
      <c r="R2550" s="23">
        <v>11100176</v>
      </c>
      <c r="S2550" s="24">
        <v>46107</v>
      </c>
      <c r="T2550" s="24">
        <v>46074</v>
      </c>
      <c r="U2550" s="24" t="s">
        <v>80</v>
      </c>
      <c r="X2550" s="24">
        <v>46072</v>
      </c>
      <c r="Y2550" s="23">
        <v>1111</v>
      </c>
      <c r="Z2550" s="23">
        <v>11100137</v>
      </c>
      <c r="AA2550" s="23">
        <v>3351</v>
      </c>
      <c r="AB2550" s="24">
        <v>46072</v>
      </c>
    </row>
    <row r="2551" spans="2:28" x14ac:dyDescent="0.2">
      <c r="C2551" s="23">
        <v>1100577496</v>
      </c>
      <c r="E2551" s="23">
        <v>30</v>
      </c>
      <c r="F2551" s="23" t="s">
        <v>127</v>
      </c>
      <c r="G2551" s="23" t="s">
        <v>128</v>
      </c>
      <c r="H2551" s="24">
        <v>46191</v>
      </c>
      <c r="I2551" s="24">
        <v>46205</v>
      </c>
      <c r="J2551" s="23" t="s">
        <v>257</v>
      </c>
      <c r="K2551" s="23" t="s">
        <v>257</v>
      </c>
      <c r="L2551" s="23">
        <v>5</v>
      </c>
      <c r="M2551" s="23" t="s">
        <v>78</v>
      </c>
      <c r="N2551" s="23" t="s">
        <v>78</v>
      </c>
      <c r="O2551" s="23">
        <v>1763.1</v>
      </c>
      <c r="P2551" s="23" t="s">
        <v>79</v>
      </c>
      <c r="Q2551" s="23" t="s">
        <v>83</v>
      </c>
      <c r="R2551" s="23">
        <v>11100176</v>
      </c>
      <c r="S2551" s="24">
        <v>46114</v>
      </c>
      <c r="T2551" s="24">
        <v>46074</v>
      </c>
      <c r="U2551" s="24" t="s">
        <v>80</v>
      </c>
      <c r="X2551" s="24">
        <v>46072</v>
      </c>
      <c r="Y2551" s="23">
        <v>1111</v>
      </c>
      <c r="Z2551" s="23">
        <v>11100137</v>
      </c>
      <c r="AA2551" s="23">
        <v>3351</v>
      </c>
      <c r="AB2551" s="24">
        <v>46072</v>
      </c>
    </row>
    <row r="2552" spans="2:28" x14ac:dyDescent="0.2">
      <c r="B2552" s="23" t="s">
        <v>81</v>
      </c>
      <c r="C2552" s="23">
        <v>1100577496</v>
      </c>
      <c r="H2552" s="24">
        <v>46191</v>
      </c>
      <c r="O2552" s="23">
        <v>5289.3</v>
      </c>
      <c r="P2552" s="23" t="s">
        <v>79</v>
      </c>
    </row>
    <row r="2553" spans="2:28" x14ac:dyDescent="0.2">
      <c r="C2553" s="23">
        <v>1100574147</v>
      </c>
      <c r="E2553" s="23">
        <v>10</v>
      </c>
      <c r="F2553" s="23" t="s">
        <v>3946</v>
      </c>
      <c r="G2553" s="23" t="s">
        <v>3947</v>
      </c>
      <c r="H2553" s="24">
        <v>46192</v>
      </c>
      <c r="I2553" s="24">
        <v>46192</v>
      </c>
      <c r="J2553" s="23" t="s">
        <v>3948</v>
      </c>
      <c r="K2553" s="23" t="s">
        <v>3948</v>
      </c>
      <c r="L2553" s="23">
        <v>1</v>
      </c>
      <c r="M2553" s="23" t="s">
        <v>78</v>
      </c>
      <c r="N2553" s="23" t="s">
        <v>78</v>
      </c>
      <c r="O2553" s="23">
        <v>0</v>
      </c>
      <c r="P2553" s="23" t="s">
        <v>79</v>
      </c>
      <c r="Q2553" s="23" t="s">
        <v>83</v>
      </c>
      <c r="R2553" s="23">
        <v>11100176</v>
      </c>
      <c r="S2553" s="24" t="s">
        <v>80</v>
      </c>
      <c r="T2553" s="24">
        <v>46042</v>
      </c>
      <c r="U2553" s="24">
        <v>46045</v>
      </c>
      <c r="X2553" s="24">
        <v>46042</v>
      </c>
      <c r="Y2553" s="23">
        <v>1111</v>
      </c>
      <c r="Z2553" s="23">
        <v>11400797</v>
      </c>
      <c r="AA2553" s="23">
        <v>3980</v>
      </c>
      <c r="AB2553" s="24">
        <v>46042</v>
      </c>
    </row>
    <row r="2554" spans="2:28" x14ac:dyDescent="0.2">
      <c r="B2554" s="23" t="s">
        <v>81</v>
      </c>
      <c r="C2554" s="23">
        <v>1100574147</v>
      </c>
      <c r="H2554" s="24">
        <v>46192</v>
      </c>
      <c r="O2554" s="23">
        <v>0</v>
      </c>
      <c r="P2554" s="23" t="s">
        <v>79</v>
      </c>
    </row>
    <row r="2555" spans="2:28" x14ac:dyDescent="0.2">
      <c r="C2555" s="23">
        <v>1100570278</v>
      </c>
      <c r="E2555" s="23">
        <v>10</v>
      </c>
      <c r="F2555" s="23" t="s">
        <v>689</v>
      </c>
      <c r="G2555" s="23" t="s">
        <v>690</v>
      </c>
      <c r="H2555" s="24">
        <v>46196</v>
      </c>
      <c r="I2555" s="24">
        <v>46196</v>
      </c>
      <c r="J2555" s="23" t="s">
        <v>671</v>
      </c>
      <c r="K2555" s="23" t="s">
        <v>671</v>
      </c>
      <c r="L2555" s="23">
        <v>6</v>
      </c>
      <c r="M2555" s="23" t="s">
        <v>78</v>
      </c>
      <c r="N2555" s="23" t="s">
        <v>78</v>
      </c>
      <c r="O2555" s="23">
        <v>473.7</v>
      </c>
      <c r="P2555" s="23" t="s">
        <v>79</v>
      </c>
      <c r="Q2555" s="23" t="s">
        <v>83</v>
      </c>
      <c r="R2555" s="23">
        <v>11100176</v>
      </c>
      <c r="S2555" s="24">
        <v>46037</v>
      </c>
      <c r="T2555" s="24">
        <v>45993</v>
      </c>
      <c r="U2555" s="24" t="s">
        <v>80</v>
      </c>
      <c r="X2555" s="24">
        <v>45986</v>
      </c>
      <c r="Y2555" s="23">
        <v>1111</v>
      </c>
      <c r="Z2555" s="23">
        <v>11400937</v>
      </c>
      <c r="AA2555" s="23">
        <v>335103</v>
      </c>
      <c r="AB2555" s="24">
        <v>45993</v>
      </c>
    </row>
    <row r="2556" spans="2:28" x14ac:dyDescent="0.2">
      <c r="C2556" s="23">
        <v>1100570278</v>
      </c>
      <c r="E2556" s="23">
        <v>20</v>
      </c>
      <c r="F2556" s="23" t="s">
        <v>82</v>
      </c>
      <c r="G2556" s="23" t="s">
        <v>139</v>
      </c>
      <c r="H2556" s="24">
        <v>46196</v>
      </c>
      <c r="I2556" s="24">
        <v>46196</v>
      </c>
      <c r="J2556" s="23" t="s">
        <v>671</v>
      </c>
      <c r="K2556" s="23" t="s">
        <v>671</v>
      </c>
      <c r="L2556" s="23">
        <v>1</v>
      </c>
      <c r="M2556" s="23" t="s">
        <v>78</v>
      </c>
      <c r="N2556" s="23" t="s">
        <v>78</v>
      </c>
      <c r="O2556" s="23">
        <v>0.01</v>
      </c>
      <c r="P2556" s="23" t="s">
        <v>79</v>
      </c>
      <c r="Q2556" s="23" t="s">
        <v>83</v>
      </c>
      <c r="R2556" s="23">
        <v>11100176</v>
      </c>
      <c r="S2556" s="24" t="s">
        <v>80</v>
      </c>
      <c r="T2556" s="24">
        <v>45993</v>
      </c>
      <c r="U2556" s="24" t="s">
        <v>80</v>
      </c>
      <c r="X2556" s="24">
        <v>45986</v>
      </c>
      <c r="Y2556" s="23">
        <v>1111</v>
      </c>
      <c r="Z2556" s="23">
        <v>11400937</v>
      </c>
      <c r="AA2556" s="23">
        <v>335103</v>
      </c>
      <c r="AB2556" s="24">
        <v>45993</v>
      </c>
    </row>
    <row r="2557" spans="2:28" x14ac:dyDescent="0.2">
      <c r="B2557" s="23" t="s">
        <v>81</v>
      </c>
      <c r="C2557" s="23">
        <v>1100570278</v>
      </c>
      <c r="H2557" s="24">
        <v>46196</v>
      </c>
      <c r="O2557" s="23">
        <v>473.71</v>
      </c>
      <c r="P2557" s="23" t="s">
        <v>79</v>
      </c>
    </row>
    <row r="2558" spans="2:28" x14ac:dyDescent="0.2">
      <c r="C2558" s="23">
        <v>1100575226</v>
      </c>
      <c r="E2558" s="23">
        <v>10</v>
      </c>
      <c r="F2558" s="23" t="s">
        <v>3946</v>
      </c>
      <c r="G2558" s="23" t="s">
        <v>3947</v>
      </c>
      <c r="H2558" s="24">
        <v>46196</v>
      </c>
      <c r="I2558" s="24">
        <v>46196</v>
      </c>
      <c r="J2558" s="23" t="s">
        <v>92</v>
      </c>
      <c r="K2558" s="23" t="s">
        <v>92</v>
      </c>
      <c r="L2558" s="23">
        <v>2</v>
      </c>
      <c r="M2558" s="23" t="s">
        <v>78</v>
      </c>
      <c r="N2558" s="23" t="s">
        <v>78</v>
      </c>
      <c r="O2558" s="23">
        <v>21344.73</v>
      </c>
      <c r="P2558" s="23" t="s">
        <v>79</v>
      </c>
      <c r="Q2558" s="23" t="s">
        <v>83</v>
      </c>
      <c r="R2558" s="23">
        <v>11100176</v>
      </c>
      <c r="S2558" s="24">
        <v>46108</v>
      </c>
      <c r="T2558" s="24">
        <v>46050</v>
      </c>
      <c r="U2558" s="24" t="s">
        <v>80</v>
      </c>
      <c r="X2558" s="24">
        <v>46049</v>
      </c>
      <c r="Y2558" s="23">
        <v>1111</v>
      </c>
      <c r="Z2558" s="23">
        <v>11100137</v>
      </c>
      <c r="AA2558" s="23">
        <v>5251</v>
      </c>
      <c r="AB2558" s="24">
        <v>45982</v>
      </c>
    </row>
    <row r="2559" spans="2:28" x14ac:dyDescent="0.2">
      <c r="C2559" s="23">
        <v>1100575226</v>
      </c>
      <c r="E2559" s="23">
        <v>50</v>
      </c>
      <c r="F2559" s="23" t="s">
        <v>3949</v>
      </c>
      <c r="G2559" s="23" t="s">
        <v>3950</v>
      </c>
      <c r="H2559" s="24">
        <v>46196</v>
      </c>
      <c r="I2559" s="24">
        <v>46196</v>
      </c>
      <c r="J2559" s="23" t="s">
        <v>92</v>
      </c>
      <c r="K2559" s="23" t="s">
        <v>92</v>
      </c>
      <c r="L2559" s="23">
        <v>8</v>
      </c>
      <c r="M2559" s="23" t="s">
        <v>78</v>
      </c>
      <c r="N2559" s="23" t="s">
        <v>78</v>
      </c>
      <c r="O2559" s="23">
        <v>377.44</v>
      </c>
      <c r="P2559" s="23" t="s">
        <v>79</v>
      </c>
      <c r="Q2559" s="23" t="s">
        <v>83</v>
      </c>
      <c r="R2559" s="23">
        <v>11100176</v>
      </c>
      <c r="S2559" s="24">
        <v>46108</v>
      </c>
      <c r="T2559" s="24">
        <v>46050</v>
      </c>
      <c r="U2559" s="24" t="s">
        <v>80</v>
      </c>
      <c r="X2559" s="24">
        <v>46049</v>
      </c>
      <c r="Y2559" s="23">
        <v>1111</v>
      </c>
      <c r="Z2559" s="23">
        <v>11100137</v>
      </c>
      <c r="AA2559" s="23">
        <v>5251</v>
      </c>
      <c r="AB2559" s="24">
        <v>45982</v>
      </c>
    </row>
    <row r="2560" spans="2:28" x14ac:dyDescent="0.2">
      <c r="C2560" s="23">
        <v>1100575226</v>
      </c>
      <c r="E2560" s="23">
        <v>60</v>
      </c>
      <c r="F2560" s="23" t="s">
        <v>3951</v>
      </c>
      <c r="G2560" s="23" t="s">
        <v>3952</v>
      </c>
      <c r="H2560" s="24">
        <v>46196</v>
      </c>
      <c r="I2560" s="24">
        <v>46196</v>
      </c>
      <c r="J2560" s="23" t="s">
        <v>92</v>
      </c>
      <c r="K2560" s="23" t="s">
        <v>92</v>
      </c>
      <c r="L2560" s="23">
        <v>2</v>
      </c>
      <c r="M2560" s="23" t="s">
        <v>78</v>
      </c>
      <c r="N2560" s="23" t="s">
        <v>78</v>
      </c>
      <c r="O2560" s="23">
        <v>1016.56</v>
      </c>
      <c r="P2560" s="23" t="s">
        <v>79</v>
      </c>
      <c r="Q2560" s="23" t="s">
        <v>83</v>
      </c>
      <c r="R2560" s="23">
        <v>11100176</v>
      </c>
      <c r="S2560" s="24">
        <v>46108</v>
      </c>
      <c r="T2560" s="24">
        <v>46050</v>
      </c>
      <c r="U2560" s="24" t="s">
        <v>80</v>
      </c>
      <c r="X2560" s="24">
        <v>46049</v>
      </c>
      <c r="Y2560" s="23">
        <v>1111</v>
      </c>
      <c r="Z2560" s="23">
        <v>11100137</v>
      </c>
      <c r="AA2560" s="23">
        <v>5251</v>
      </c>
      <c r="AB2560" s="24">
        <v>45982</v>
      </c>
    </row>
    <row r="2561" spans="3:28" x14ac:dyDescent="0.2">
      <c r="C2561" s="23">
        <v>1100575226</v>
      </c>
      <c r="E2561" s="23">
        <v>70</v>
      </c>
      <c r="F2561" s="23" t="s">
        <v>3953</v>
      </c>
      <c r="G2561" s="23" t="s">
        <v>3954</v>
      </c>
      <c r="H2561" s="24">
        <v>46196</v>
      </c>
      <c r="I2561" s="24">
        <v>46196</v>
      </c>
      <c r="J2561" s="23" t="s">
        <v>92</v>
      </c>
      <c r="K2561" s="23" t="s">
        <v>92</v>
      </c>
      <c r="L2561" s="23">
        <v>2</v>
      </c>
      <c r="M2561" s="23" t="s">
        <v>78</v>
      </c>
      <c r="N2561" s="23" t="s">
        <v>78</v>
      </c>
      <c r="O2561" s="23">
        <v>656.96</v>
      </c>
      <c r="P2561" s="23" t="s">
        <v>79</v>
      </c>
      <c r="Q2561" s="23" t="s">
        <v>83</v>
      </c>
      <c r="R2561" s="23">
        <v>11100176</v>
      </c>
      <c r="S2561" s="24">
        <v>46108</v>
      </c>
      <c r="T2561" s="24">
        <v>46050</v>
      </c>
      <c r="U2561" s="24" t="s">
        <v>80</v>
      </c>
      <c r="X2561" s="24">
        <v>46049</v>
      </c>
      <c r="Y2561" s="23">
        <v>1111</v>
      </c>
      <c r="Z2561" s="23">
        <v>11100137</v>
      </c>
      <c r="AA2561" s="23">
        <v>5251</v>
      </c>
      <c r="AB2561" s="24">
        <v>45982</v>
      </c>
    </row>
    <row r="2562" spans="3:28" x14ac:dyDescent="0.2">
      <c r="C2562" s="23">
        <v>1100575226</v>
      </c>
      <c r="E2562" s="23">
        <v>80</v>
      </c>
      <c r="F2562" s="23" t="s">
        <v>3955</v>
      </c>
      <c r="G2562" s="23" t="s">
        <v>3956</v>
      </c>
      <c r="H2562" s="24">
        <v>46196</v>
      </c>
      <c r="I2562" s="24">
        <v>46196</v>
      </c>
      <c r="J2562" s="23" t="s">
        <v>92</v>
      </c>
      <c r="K2562" s="23" t="s">
        <v>92</v>
      </c>
      <c r="L2562" s="23">
        <v>8</v>
      </c>
      <c r="M2562" s="23" t="s">
        <v>78</v>
      </c>
      <c r="N2562" s="23" t="s">
        <v>78</v>
      </c>
      <c r="O2562" s="23">
        <v>30.88</v>
      </c>
      <c r="P2562" s="23" t="s">
        <v>79</v>
      </c>
      <c r="Q2562" s="23" t="s">
        <v>83</v>
      </c>
      <c r="R2562" s="23">
        <v>11100176</v>
      </c>
      <c r="S2562" s="24">
        <v>46108</v>
      </c>
      <c r="T2562" s="24">
        <v>46050</v>
      </c>
      <c r="U2562" s="24" t="s">
        <v>80</v>
      </c>
      <c r="X2562" s="24">
        <v>46049</v>
      </c>
      <c r="Y2562" s="23">
        <v>1111</v>
      </c>
      <c r="Z2562" s="23">
        <v>11100137</v>
      </c>
      <c r="AA2562" s="23">
        <v>5251</v>
      </c>
      <c r="AB2562" s="24">
        <v>45982</v>
      </c>
    </row>
    <row r="2563" spans="3:28" x14ac:dyDescent="0.2">
      <c r="C2563" s="23">
        <v>1100575226</v>
      </c>
      <c r="E2563" s="23">
        <v>90</v>
      </c>
      <c r="F2563" s="23" t="s">
        <v>3957</v>
      </c>
      <c r="G2563" s="23" t="s">
        <v>3958</v>
      </c>
      <c r="H2563" s="24">
        <v>46196</v>
      </c>
      <c r="I2563" s="24">
        <v>46196</v>
      </c>
      <c r="J2563" s="23" t="s">
        <v>92</v>
      </c>
      <c r="K2563" s="23" t="s">
        <v>92</v>
      </c>
      <c r="L2563" s="23">
        <v>2</v>
      </c>
      <c r="M2563" s="23" t="s">
        <v>78</v>
      </c>
      <c r="N2563" s="23" t="s">
        <v>78</v>
      </c>
      <c r="O2563" s="23">
        <v>62.84</v>
      </c>
      <c r="P2563" s="23" t="s">
        <v>79</v>
      </c>
      <c r="Q2563" s="23" t="s">
        <v>83</v>
      </c>
      <c r="R2563" s="23">
        <v>11100176</v>
      </c>
      <c r="S2563" s="24">
        <v>46108</v>
      </c>
      <c r="T2563" s="24">
        <v>46050</v>
      </c>
      <c r="U2563" s="24" t="s">
        <v>80</v>
      </c>
      <c r="X2563" s="24">
        <v>46049</v>
      </c>
      <c r="Y2563" s="23">
        <v>1111</v>
      </c>
      <c r="Z2563" s="23">
        <v>11100137</v>
      </c>
      <c r="AA2563" s="23">
        <v>5251</v>
      </c>
      <c r="AB2563" s="24">
        <v>45982</v>
      </c>
    </row>
    <row r="2564" spans="3:28" x14ac:dyDescent="0.2">
      <c r="C2564" s="23">
        <v>1100575226</v>
      </c>
      <c r="E2564" s="23">
        <v>100</v>
      </c>
      <c r="F2564" s="23" t="s">
        <v>3959</v>
      </c>
      <c r="G2564" s="23" t="s">
        <v>3960</v>
      </c>
      <c r="H2564" s="24">
        <v>46196</v>
      </c>
      <c r="I2564" s="24">
        <v>46196</v>
      </c>
      <c r="J2564" s="23" t="s">
        <v>92</v>
      </c>
      <c r="K2564" s="23" t="s">
        <v>92</v>
      </c>
      <c r="L2564" s="23">
        <v>12</v>
      </c>
      <c r="M2564" s="23" t="s">
        <v>78</v>
      </c>
      <c r="N2564" s="23" t="s">
        <v>78</v>
      </c>
      <c r="O2564" s="23">
        <v>2096.7600000000002</v>
      </c>
      <c r="P2564" s="23" t="s">
        <v>79</v>
      </c>
      <c r="Q2564" s="23" t="s">
        <v>83</v>
      </c>
      <c r="R2564" s="23">
        <v>11100176</v>
      </c>
      <c r="S2564" s="24">
        <v>46108</v>
      </c>
      <c r="T2564" s="24">
        <v>46050</v>
      </c>
      <c r="U2564" s="24" t="s">
        <v>80</v>
      </c>
      <c r="X2564" s="24">
        <v>46049</v>
      </c>
      <c r="Y2564" s="23">
        <v>1111</v>
      </c>
      <c r="Z2564" s="23">
        <v>11100137</v>
      </c>
      <c r="AA2564" s="23">
        <v>5251</v>
      </c>
      <c r="AB2564" s="24">
        <v>45982</v>
      </c>
    </row>
    <row r="2565" spans="3:28" x14ac:dyDescent="0.2">
      <c r="C2565" s="23">
        <v>1100575226</v>
      </c>
      <c r="E2565" s="23">
        <v>110</v>
      </c>
      <c r="F2565" s="23" t="s">
        <v>3961</v>
      </c>
      <c r="G2565" s="23" t="s">
        <v>3962</v>
      </c>
      <c r="H2565" s="24">
        <v>46196</v>
      </c>
      <c r="I2565" s="24">
        <v>46196</v>
      </c>
      <c r="J2565" s="23" t="s">
        <v>92</v>
      </c>
      <c r="K2565" s="23" t="s">
        <v>92</v>
      </c>
      <c r="L2565" s="23">
        <v>12</v>
      </c>
      <c r="M2565" s="23" t="s">
        <v>78</v>
      </c>
      <c r="N2565" s="23" t="s">
        <v>78</v>
      </c>
      <c r="O2565" s="23">
        <v>2107.6799999999998</v>
      </c>
      <c r="P2565" s="23" t="s">
        <v>79</v>
      </c>
      <c r="Q2565" s="23" t="s">
        <v>83</v>
      </c>
      <c r="R2565" s="23">
        <v>11100176</v>
      </c>
      <c r="S2565" s="24">
        <v>46108</v>
      </c>
      <c r="T2565" s="24">
        <v>46050</v>
      </c>
      <c r="U2565" s="24" t="s">
        <v>80</v>
      </c>
      <c r="X2565" s="24">
        <v>46049</v>
      </c>
      <c r="Y2565" s="23">
        <v>1111</v>
      </c>
      <c r="Z2565" s="23">
        <v>11100137</v>
      </c>
      <c r="AA2565" s="23">
        <v>5251</v>
      </c>
      <c r="AB2565" s="24">
        <v>45982</v>
      </c>
    </row>
    <row r="2566" spans="3:28" x14ac:dyDescent="0.2">
      <c r="C2566" s="23">
        <v>1100575226</v>
      </c>
      <c r="E2566" s="23">
        <v>120</v>
      </c>
      <c r="F2566" s="23" t="s">
        <v>3963</v>
      </c>
      <c r="G2566" s="23" t="s">
        <v>3964</v>
      </c>
      <c r="H2566" s="24">
        <v>46196</v>
      </c>
      <c r="I2566" s="24">
        <v>46196</v>
      </c>
      <c r="J2566" s="23" t="s">
        <v>92</v>
      </c>
      <c r="K2566" s="23" t="s">
        <v>92</v>
      </c>
      <c r="L2566" s="23">
        <v>2</v>
      </c>
      <c r="M2566" s="23" t="s">
        <v>78</v>
      </c>
      <c r="N2566" s="23" t="s">
        <v>78</v>
      </c>
      <c r="O2566" s="23">
        <v>2.5</v>
      </c>
      <c r="P2566" s="23" t="s">
        <v>79</v>
      </c>
      <c r="Q2566" s="23" t="s">
        <v>83</v>
      </c>
      <c r="R2566" s="23">
        <v>11100176</v>
      </c>
      <c r="S2566" s="24">
        <v>46108</v>
      </c>
      <c r="T2566" s="24">
        <v>46050</v>
      </c>
      <c r="U2566" s="24" t="s">
        <v>80</v>
      </c>
      <c r="X2566" s="24">
        <v>46049</v>
      </c>
      <c r="Y2566" s="23">
        <v>1111</v>
      </c>
      <c r="Z2566" s="23">
        <v>11100137</v>
      </c>
      <c r="AA2566" s="23">
        <v>5251</v>
      </c>
      <c r="AB2566" s="24">
        <v>45982</v>
      </c>
    </row>
    <row r="2567" spans="3:28" x14ac:dyDescent="0.2">
      <c r="C2567" s="23">
        <v>1100575226</v>
      </c>
      <c r="E2567" s="23">
        <v>130</v>
      </c>
      <c r="F2567" s="23" t="s">
        <v>3965</v>
      </c>
      <c r="G2567" s="23" t="s">
        <v>3966</v>
      </c>
      <c r="H2567" s="24">
        <v>46196</v>
      </c>
      <c r="I2567" s="24">
        <v>46196</v>
      </c>
      <c r="J2567" s="23" t="s">
        <v>92</v>
      </c>
      <c r="K2567" s="23" t="s">
        <v>92</v>
      </c>
      <c r="L2567" s="23">
        <v>2</v>
      </c>
      <c r="M2567" s="23" t="s">
        <v>78</v>
      </c>
      <c r="N2567" s="23" t="s">
        <v>78</v>
      </c>
      <c r="O2567" s="23">
        <v>8.7200000000000006</v>
      </c>
      <c r="P2567" s="23" t="s">
        <v>79</v>
      </c>
      <c r="Q2567" s="23" t="s">
        <v>83</v>
      </c>
      <c r="R2567" s="23">
        <v>11100176</v>
      </c>
      <c r="S2567" s="24">
        <v>46108</v>
      </c>
      <c r="T2567" s="24">
        <v>46050</v>
      </c>
      <c r="U2567" s="24" t="s">
        <v>80</v>
      </c>
      <c r="X2567" s="24">
        <v>46049</v>
      </c>
      <c r="Y2567" s="23">
        <v>1111</v>
      </c>
      <c r="Z2567" s="23">
        <v>11100137</v>
      </c>
      <c r="AA2567" s="23">
        <v>5251</v>
      </c>
      <c r="AB2567" s="24">
        <v>45982</v>
      </c>
    </row>
    <row r="2568" spans="3:28" x14ac:dyDescent="0.2">
      <c r="C2568" s="23">
        <v>1100575226</v>
      </c>
      <c r="E2568" s="23">
        <v>140</v>
      </c>
      <c r="F2568" s="23" t="s">
        <v>3967</v>
      </c>
      <c r="G2568" s="23" t="s">
        <v>3968</v>
      </c>
      <c r="H2568" s="24">
        <v>46196</v>
      </c>
      <c r="I2568" s="24">
        <v>46196</v>
      </c>
      <c r="J2568" s="23" t="s">
        <v>92</v>
      </c>
      <c r="K2568" s="23" t="s">
        <v>92</v>
      </c>
      <c r="L2568" s="23">
        <v>2</v>
      </c>
      <c r="M2568" s="23" t="s">
        <v>78</v>
      </c>
      <c r="N2568" s="23" t="s">
        <v>78</v>
      </c>
      <c r="O2568" s="23">
        <v>109.1</v>
      </c>
      <c r="P2568" s="23" t="s">
        <v>79</v>
      </c>
      <c r="Q2568" s="23" t="s">
        <v>83</v>
      </c>
      <c r="R2568" s="23">
        <v>11100176</v>
      </c>
      <c r="S2568" s="24">
        <v>46108</v>
      </c>
      <c r="T2568" s="24">
        <v>46050</v>
      </c>
      <c r="U2568" s="24" t="s">
        <v>80</v>
      </c>
      <c r="X2568" s="24">
        <v>46049</v>
      </c>
      <c r="Y2568" s="23">
        <v>1111</v>
      </c>
      <c r="Z2568" s="23">
        <v>11100137</v>
      </c>
      <c r="AA2568" s="23">
        <v>5251</v>
      </c>
      <c r="AB2568" s="24">
        <v>45982</v>
      </c>
    </row>
    <row r="2569" spans="3:28" x14ac:dyDescent="0.2">
      <c r="C2569" s="23">
        <v>1100575226</v>
      </c>
      <c r="E2569" s="23">
        <v>150</v>
      </c>
      <c r="F2569" s="23" t="s">
        <v>3969</v>
      </c>
      <c r="G2569" s="23" t="s">
        <v>3970</v>
      </c>
      <c r="H2569" s="24">
        <v>46196</v>
      </c>
      <c r="I2569" s="24">
        <v>46196</v>
      </c>
      <c r="J2569" s="23" t="s">
        <v>92</v>
      </c>
      <c r="K2569" s="23" t="s">
        <v>92</v>
      </c>
      <c r="L2569" s="23">
        <v>45</v>
      </c>
      <c r="M2569" s="23" t="s">
        <v>122</v>
      </c>
      <c r="N2569" s="23" t="s">
        <v>122</v>
      </c>
      <c r="O2569" s="23">
        <v>372.6</v>
      </c>
      <c r="P2569" s="23" t="s">
        <v>79</v>
      </c>
      <c r="Q2569" s="23" t="s">
        <v>83</v>
      </c>
      <c r="R2569" s="23">
        <v>11100176</v>
      </c>
      <c r="S2569" s="24">
        <v>46108</v>
      </c>
      <c r="T2569" s="24">
        <v>46050</v>
      </c>
      <c r="U2569" s="24" t="s">
        <v>80</v>
      </c>
      <c r="X2569" s="24">
        <v>46049</v>
      </c>
      <c r="Y2569" s="23">
        <v>1111</v>
      </c>
      <c r="Z2569" s="23">
        <v>11100137</v>
      </c>
      <c r="AA2569" s="23">
        <v>5251</v>
      </c>
      <c r="AB2569" s="24">
        <v>45982</v>
      </c>
    </row>
    <row r="2570" spans="3:28" x14ac:dyDescent="0.2">
      <c r="C2570" s="23">
        <v>1100575226</v>
      </c>
      <c r="E2570" s="23">
        <v>160</v>
      </c>
      <c r="F2570" s="23" t="s">
        <v>3971</v>
      </c>
      <c r="G2570" s="23" t="s">
        <v>3972</v>
      </c>
      <c r="H2570" s="24">
        <v>46196</v>
      </c>
      <c r="I2570" s="24">
        <v>46196</v>
      </c>
      <c r="J2570" s="23" t="s">
        <v>92</v>
      </c>
      <c r="K2570" s="23" t="s">
        <v>92</v>
      </c>
      <c r="L2570" s="23">
        <v>3</v>
      </c>
      <c r="M2570" s="23" t="s">
        <v>78</v>
      </c>
      <c r="N2570" s="23" t="s">
        <v>78</v>
      </c>
      <c r="O2570" s="23">
        <v>45.48</v>
      </c>
      <c r="P2570" s="23" t="s">
        <v>79</v>
      </c>
      <c r="Q2570" s="23" t="s">
        <v>83</v>
      </c>
      <c r="R2570" s="23">
        <v>11100176</v>
      </c>
      <c r="S2570" s="24">
        <v>46108</v>
      </c>
      <c r="T2570" s="24">
        <v>46050</v>
      </c>
      <c r="U2570" s="24" t="s">
        <v>80</v>
      </c>
      <c r="X2570" s="24">
        <v>46049</v>
      </c>
      <c r="Y2570" s="23">
        <v>1111</v>
      </c>
      <c r="Z2570" s="23">
        <v>11100137</v>
      </c>
      <c r="AA2570" s="23">
        <v>5251</v>
      </c>
      <c r="AB2570" s="24">
        <v>45982</v>
      </c>
    </row>
    <row r="2571" spans="3:28" x14ac:dyDescent="0.2">
      <c r="C2571" s="23">
        <v>1100575226</v>
      </c>
      <c r="E2571" s="23">
        <v>170</v>
      </c>
      <c r="F2571" s="23" t="s">
        <v>3973</v>
      </c>
      <c r="G2571" s="23" t="s">
        <v>3974</v>
      </c>
      <c r="H2571" s="24">
        <v>46196</v>
      </c>
      <c r="I2571" s="24">
        <v>46196</v>
      </c>
      <c r="J2571" s="23" t="s">
        <v>92</v>
      </c>
      <c r="K2571" s="23" t="s">
        <v>92</v>
      </c>
      <c r="L2571" s="23">
        <v>2</v>
      </c>
      <c r="M2571" s="23" t="s">
        <v>78</v>
      </c>
      <c r="N2571" s="23" t="s">
        <v>78</v>
      </c>
      <c r="O2571" s="23">
        <v>453.7</v>
      </c>
      <c r="P2571" s="23" t="s">
        <v>79</v>
      </c>
      <c r="Q2571" s="23" t="s">
        <v>83</v>
      </c>
      <c r="R2571" s="23">
        <v>11100176</v>
      </c>
      <c r="S2571" s="24">
        <v>46108</v>
      </c>
      <c r="T2571" s="24">
        <v>46050</v>
      </c>
      <c r="U2571" s="24" t="s">
        <v>80</v>
      </c>
      <c r="X2571" s="24">
        <v>46049</v>
      </c>
      <c r="Y2571" s="23">
        <v>1111</v>
      </c>
      <c r="Z2571" s="23">
        <v>11100137</v>
      </c>
      <c r="AA2571" s="23">
        <v>5251</v>
      </c>
      <c r="AB2571" s="24">
        <v>45982</v>
      </c>
    </row>
    <row r="2572" spans="3:28" x14ac:dyDescent="0.2">
      <c r="C2572" s="23">
        <v>1100575226</v>
      </c>
      <c r="E2572" s="23">
        <v>180</v>
      </c>
      <c r="F2572" s="23" t="s">
        <v>3975</v>
      </c>
      <c r="G2572" s="23" t="s">
        <v>3976</v>
      </c>
      <c r="H2572" s="24">
        <v>46196</v>
      </c>
      <c r="I2572" s="24">
        <v>46196</v>
      </c>
      <c r="J2572" s="23" t="s">
        <v>92</v>
      </c>
      <c r="K2572" s="23" t="s">
        <v>92</v>
      </c>
      <c r="L2572" s="23">
        <v>12</v>
      </c>
      <c r="M2572" s="23" t="s">
        <v>78</v>
      </c>
      <c r="N2572" s="23" t="s">
        <v>78</v>
      </c>
      <c r="O2572" s="23">
        <v>41.28</v>
      </c>
      <c r="P2572" s="23" t="s">
        <v>79</v>
      </c>
      <c r="Q2572" s="23" t="s">
        <v>83</v>
      </c>
      <c r="R2572" s="23">
        <v>11100176</v>
      </c>
      <c r="S2572" s="24">
        <v>46108</v>
      </c>
      <c r="T2572" s="24">
        <v>46050</v>
      </c>
      <c r="U2572" s="24" t="s">
        <v>80</v>
      </c>
      <c r="X2572" s="24">
        <v>46049</v>
      </c>
      <c r="Y2572" s="23">
        <v>1111</v>
      </c>
      <c r="Z2572" s="23">
        <v>11100137</v>
      </c>
      <c r="AA2572" s="23">
        <v>5251</v>
      </c>
      <c r="AB2572" s="24">
        <v>45982</v>
      </c>
    </row>
    <row r="2573" spans="3:28" x14ac:dyDescent="0.2">
      <c r="C2573" s="23">
        <v>1100575226</v>
      </c>
      <c r="E2573" s="23">
        <v>190</v>
      </c>
      <c r="F2573" s="23" t="s">
        <v>3977</v>
      </c>
      <c r="G2573" s="23" t="s">
        <v>3978</v>
      </c>
      <c r="H2573" s="24">
        <v>46196</v>
      </c>
      <c r="I2573" s="24">
        <v>46196</v>
      </c>
      <c r="J2573" s="23" t="s">
        <v>92</v>
      </c>
      <c r="K2573" s="23" t="s">
        <v>92</v>
      </c>
      <c r="L2573" s="23">
        <v>25</v>
      </c>
      <c r="M2573" s="23" t="s">
        <v>78</v>
      </c>
      <c r="N2573" s="23" t="s">
        <v>78</v>
      </c>
      <c r="O2573" s="23">
        <v>137.68</v>
      </c>
      <c r="P2573" s="23" t="s">
        <v>79</v>
      </c>
      <c r="Q2573" s="23" t="s">
        <v>83</v>
      </c>
      <c r="R2573" s="23">
        <v>11100176</v>
      </c>
      <c r="S2573" s="24">
        <v>46108</v>
      </c>
      <c r="T2573" s="24">
        <v>46050</v>
      </c>
      <c r="U2573" s="24" t="s">
        <v>80</v>
      </c>
      <c r="X2573" s="24">
        <v>46049</v>
      </c>
      <c r="Y2573" s="23">
        <v>1111</v>
      </c>
      <c r="Z2573" s="23">
        <v>11100137</v>
      </c>
      <c r="AA2573" s="23">
        <v>5251</v>
      </c>
      <c r="AB2573" s="24">
        <v>45982</v>
      </c>
    </row>
    <row r="2574" spans="3:28" x14ac:dyDescent="0.2">
      <c r="C2574" s="23">
        <v>1100575226</v>
      </c>
      <c r="E2574" s="23">
        <v>200</v>
      </c>
      <c r="F2574" s="23" t="s">
        <v>3979</v>
      </c>
      <c r="G2574" s="23" t="s">
        <v>3980</v>
      </c>
      <c r="H2574" s="24">
        <v>46196</v>
      </c>
      <c r="I2574" s="24">
        <v>46196</v>
      </c>
      <c r="J2574" s="23" t="s">
        <v>92</v>
      </c>
      <c r="K2574" s="23" t="s">
        <v>92</v>
      </c>
      <c r="L2574" s="23">
        <v>12</v>
      </c>
      <c r="M2574" s="23" t="s">
        <v>78</v>
      </c>
      <c r="N2574" s="23" t="s">
        <v>78</v>
      </c>
      <c r="O2574" s="23">
        <v>131.04</v>
      </c>
      <c r="P2574" s="23" t="s">
        <v>79</v>
      </c>
      <c r="Q2574" s="23" t="s">
        <v>83</v>
      </c>
      <c r="R2574" s="23">
        <v>11100176</v>
      </c>
      <c r="S2574" s="24">
        <v>46108</v>
      </c>
      <c r="T2574" s="24">
        <v>46050</v>
      </c>
      <c r="U2574" s="24" t="s">
        <v>80</v>
      </c>
      <c r="X2574" s="24">
        <v>46049</v>
      </c>
      <c r="Y2574" s="23">
        <v>1111</v>
      </c>
      <c r="Z2574" s="23">
        <v>11100137</v>
      </c>
      <c r="AA2574" s="23">
        <v>5251</v>
      </c>
      <c r="AB2574" s="24">
        <v>45982</v>
      </c>
    </row>
    <row r="2575" spans="3:28" x14ac:dyDescent="0.2">
      <c r="C2575" s="23">
        <v>1100575226</v>
      </c>
      <c r="E2575" s="23">
        <v>210</v>
      </c>
      <c r="F2575" s="23" t="s">
        <v>3981</v>
      </c>
      <c r="G2575" s="23" t="s">
        <v>3982</v>
      </c>
      <c r="H2575" s="24">
        <v>46196</v>
      </c>
      <c r="I2575" s="24">
        <v>46196</v>
      </c>
      <c r="J2575" s="23" t="s">
        <v>92</v>
      </c>
      <c r="K2575" s="23" t="s">
        <v>92</v>
      </c>
      <c r="L2575" s="23">
        <v>8</v>
      </c>
      <c r="M2575" s="23" t="s">
        <v>78</v>
      </c>
      <c r="N2575" s="23" t="s">
        <v>78</v>
      </c>
      <c r="O2575" s="23">
        <v>695.92</v>
      </c>
      <c r="P2575" s="23" t="s">
        <v>79</v>
      </c>
      <c r="Q2575" s="23" t="s">
        <v>83</v>
      </c>
      <c r="R2575" s="23">
        <v>11100176</v>
      </c>
      <c r="S2575" s="24">
        <v>46108</v>
      </c>
      <c r="T2575" s="24">
        <v>46050</v>
      </c>
      <c r="U2575" s="24" t="s">
        <v>80</v>
      </c>
      <c r="X2575" s="24">
        <v>46049</v>
      </c>
      <c r="Y2575" s="23">
        <v>1111</v>
      </c>
      <c r="Z2575" s="23">
        <v>11100137</v>
      </c>
      <c r="AA2575" s="23">
        <v>5251</v>
      </c>
      <c r="AB2575" s="24">
        <v>45982</v>
      </c>
    </row>
    <row r="2576" spans="3:28" x14ac:dyDescent="0.2">
      <c r="C2576" s="23">
        <v>1100575226</v>
      </c>
      <c r="E2576" s="23">
        <v>220</v>
      </c>
      <c r="F2576" s="23" t="s">
        <v>3983</v>
      </c>
      <c r="G2576" s="23" t="s">
        <v>3984</v>
      </c>
      <c r="H2576" s="24">
        <v>46196</v>
      </c>
      <c r="I2576" s="24">
        <v>46196</v>
      </c>
      <c r="J2576" s="23" t="s">
        <v>92</v>
      </c>
      <c r="K2576" s="23" t="s">
        <v>92</v>
      </c>
      <c r="L2576" s="23">
        <v>4</v>
      </c>
      <c r="M2576" s="23" t="s">
        <v>78</v>
      </c>
      <c r="N2576" s="23" t="s">
        <v>78</v>
      </c>
      <c r="O2576" s="23">
        <v>1659.4</v>
      </c>
      <c r="P2576" s="23" t="s">
        <v>79</v>
      </c>
      <c r="Q2576" s="23" t="s">
        <v>83</v>
      </c>
      <c r="R2576" s="23">
        <v>11100176</v>
      </c>
      <c r="S2576" s="24">
        <v>46108</v>
      </c>
      <c r="T2576" s="24">
        <v>46050</v>
      </c>
      <c r="U2576" s="24" t="s">
        <v>80</v>
      </c>
      <c r="X2576" s="24">
        <v>46049</v>
      </c>
      <c r="Y2576" s="23">
        <v>1111</v>
      </c>
      <c r="Z2576" s="23">
        <v>11100137</v>
      </c>
      <c r="AA2576" s="23">
        <v>5251</v>
      </c>
      <c r="AB2576" s="24">
        <v>45982</v>
      </c>
    </row>
    <row r="2577" spans="2:28" x14ac:dyDescent="0.2">
      <c r="C2577" s="23">
        <v>1100575226</v>
      </c>
      <c r="E2577" s="23">
        <v>240</v>
      </c>
      <c r="F2577" s="23" t="s">
        <v>82</v>
      </c>
      <c r="G2577" s="23" t="s">
        <v>139</v>
      </c>
      <c r="H2577" s="24">
        <v>46196</v>
      </c>
      <c r="I2577" s="24">
        <v>46927</v>
      </c>
      <c r="J2577" s="23" t="s">
        <v>92</v>
      </c>
      <c r="K2577" s="23" t="s">
        <v>92</v>
      </c>
      <c r="L2577" s="23">
        <v>1</v>
      </c>
      <c r="M2577" s="23" t="s">
        <v>78</v>
      </c>
      <c r="N2577" s="23" t="s">
        <v>78</v>
      </c>
      <c r="O2577" s="23">
        <v>0.01</v>
      </c>
      <c r="P2577" s="23" t="s">
        <v>79</v>
      </c>
      <c r="Q2577" s="23" t="s">
        <v>83</v>
      </c>
      <c r="R2577" s="23">
        <v>11100176</v>
      </c>
      <c r="S2577" s="24" t="s">
        <v>80</v>
      </c>
      <c r="T2577" s="24">
        <v>46050</v>
      </c>
      <c r="U2577" s="24" t="s">
        <v>80</v>
      </c>
      <c r="X2577" s="24">
        <v>46049</v>
      </c>
      <c r="Y2577" s="23">
        <v>1111</v>
      </c>
      <c r="Z2577" s="23">
        <v>11100137</v>
      </c>
      <c r="AA2577" s="23">
        <v>5251</v>
      </c>
      <c r="AB2577" s="24">
        <v>45982</v>
      </c>
    </row>
    <row r="2578" spans="2:28" x14ac:dyDescent="0.2">
      <c r="C2578" s="23">
        <v>1100575226</v>
      </c>
      <c r="E2578" s="23">
        <v>250</v>
      </c>
      <c r="F2578" s="23" t="s">
        <v>3985</v>
      </c>
      <c r="G2578" s="23" t="s">
        <v>3986</v>
      </c>
      <c r="H2578" s="24">
        <v>46196</v>
      </c>
      <c r="I2578" s="24">
        <v>46196</v>
      </c>
      <c r="J2578" s="23" t="s">
        <v>92</v>
      </c>
      <c r="K2578" s="23" t="s">
        <v>92</v>
      </c>
      <c r="L2578" s="23">
        <v>1</v>
      </c>
      <c r="M2578" s="23" t="s">
        <v>78</v>
      </c>
      <c r="N2578" s="23" t="s">
        <v>78</v>
      </c>
      <c r="O2578" s="23">
        <v>14769.08</v>
      </c>
      <c r="P2578" s="23" t="s">
        <v>79</v>
      </c>
      <c r="Q2578" s="23" t="s">
        <v>83</v>
      </c>
      <c r="R2578" s="23">
        <v>11100176</v>
      </c>
      <c r="S2578" s="24">
        <v>46108</v>
      </c>
      <c r="T2578" s="24">
        <v>46050</v>
      </c>
      <c r="U2578" s="24" t="s">
        <v>80</v>
      </c>
      <c r="X2578" s="24">
        <v>46049</v>
      </c>
      <c r="Y2578" s="23">
        <v>1111</v>
      </c>
      <c r="Z2578" s="23">
        <v>11100137</v>
      </c>
      <c r="AA2578" s="23">
        <v>5251</v>
      </c>
      <c r="AB2578" s="24">
        <v>45982</v>
      </c>
    </row>
    <row r="2579" spans="2:28" x14ac:dyDescent="0.2">
      <c r="C2579" s="23">
        <v>1100575226</v>
      </c>
      <c r="E2579" s="23">
        <v>260</v>
      </c>
      <c r="F2579" s="23" t="s">
        <v>3987</v>
      </c>
      <c r="G2579" s="23" t="s">
        <v>3988</v>
      </c>
      <c r="H2579" s="24">
        <v>46196</v>
      </c>
      <c r="I2579" s="24">
        <v>46196</v>
      </c>
      <c r="J2579" s="23" t="s">
        <v>92</v>
      </c>
      <c r="K2579" s="23" t="s">
        <v>92</v>
      </c>
      <c r="L2579" s="23">
        <v>1</v>
      </c>
      <c r="M2579" s="23" t="s">
        <v>78</v>
      </c>
      <c r="N2579" s="23" t="s">
        <v>78</v>
      </c>
      <c r="O2579" s="23">
        <v>2812.5</v>
      </c>
      <c r="P2579" s="23" t="s">
        <v>79</v>
      </c>
      <c r="Q2579" s="23" t="s">
        <v>83</v>
      </c>
      <c r="R2579" s="23">
        <v>11100176</v>
      </c>
      <c r="S2579" s="24">
        <v>46108</v>
      </c>
      <c r="T2579" s="24">
        <v>46050</v>
      </c>
      <c r="U2579" s="24" t="s">
        <v>80</v>
      </c>
      <c r="X2579" s="24">
        <v>46049</v>
      </c>
      <c r="Y2579" s="23">
        <v>1111</v>
      </c>
      <c r="Z2579" s="23">
        <v>11100137</v>
      </c>
      <c r="AA2579" s="23">
        <v>5251</v>
      </c>
      <c r="AB2579" s="24">
        <v>45982</v>
      </c>
    </row>
    <row r="2580" spans="2:28" x14ac:dyDescent="0.2">
      <c r="C2580" s="23">
        <v>1100575226</v>
      </c>
      <c r="E2580" s="23">
        <v>270</v>
      </c>
      <c r="F2580" s="23" t="s">
        <v>84</v>
      </c>
      <c r="G2580" s="23" t="s">
        <v>123</v>
      </c>
      <c r="H2580" s="24">
        <v>46196</v>
      </c>
      <c r="I2580" s="24">
        <v>46196</v>
      </c>
      <c r="J2580" s="23" t="s">
        <v>92</v>
      </c>
      <c r="K2580" s="23" t="s">
        <v>92</v>
      </c>
      <c r="L2580" s="23">
        <v>1</v>
      </c>
      <c r="M2580" s="23" t="s">
        <v>78</v>
      </c>
      <c r="N2580" s="23" t="s">
        <v>78</v>
      </c>
      <c r="O2580" s="23">
        <v>0.01</v>
      </c>
      <c r="P2580" s="23" t="s">
        <v>79</v>
      </c>
      <c r="Q2580" s="23" t="s">
        <v>83</v>
      </c>
      <c r="R2580" s="23">
        <v>11100176</v>
      </c>
      <c r="S2580" s="24" t="s">
        <v>80</v>
      </c>
      <c r="T2580" s="24">
        <v>46050</v>
      </c>
      <c r="U2580" s="24" t="s">
        <v>80</v>
      </c>
      <c r="X2580" s="24">
        <v>46049</v>
      </c>
      <c r="Y2580" s="23">
        <v>1111</v>
      </c>
      <c r="Z2580" s="23">
        <v>11100137</v>
      </c>
      <c r="AA2580" s="23">
        <v>5251</v>
      </c>
      <c r="AB2580" s="24">
        <v>45982</v>
      </c>
    </row>
    <row r="2581" spans="2:28" x14ac:dyDescent="0.2">
      <c r="B2581" s="23" t="s">
        <v>81</v>
      </c>
      <c r="C2581" s="23">
        <v>1100575226</v>
      </c>
      <c r="H2581" s="24">
        <v>46196</v>
      </c>
      <c r="O2581" s="23">
        <v>48932.87</v>
      </c>
      <c r="P2581" s="23" t="s">
        <v>79</v>
      </c>
    </row>
    <row r="2582" spans="2:28" x14ac:dyDescent="0.2">
      <c r="C2582" s="23">
        <v>1100572176</v>
      </c>
      <c r="E2582" s="23">
        <v>10</v>
      </c>
      <c r="F2582" s="23" t="s">
        <v>1952</v>
      </c>
      <c r="G2582" s="23" t="s">
        <v>1953</v>
      </c>
      <c r="H2582" s="24">
        <v>46203</v>
      </c>
      <c r="I2582" s="24">
        <v>46203</v>
      </c>
      <c r="J2582" s="23" t="s">
        <v>813</v>
      </c>
      <c r="K2582" s="23" t="s">
        <v>813</v>
      </c>
      <c r="L2582" s="23">
        <v>1</v>
      </c>
      <c r="M2582" s="23" t="s">
        <v>78</v>
      </c>
      <c r="N2582" s="23" t="s">
        <v>78</v>
      </c>
      <c r="O2582" s="23">
        <v>2007.94</v>
      </c>
      <c r="P2582" s="23" t="s">
        <v>79</v>
      </c>
      <c r="Q2582" s="23" t="s">
        <v>83</v>
      </c>
      <c r="R2582" s="23">
        <v>11100176</v>
      </c>
      <c r="S2582" s="24">
        <v>46045</v>
      </c>
      <c r="T2582" s="24">
        <v>46013</v>
      </c>
      <c r="U2582" s="24" t="s">
        <v>80</v>
      </c>
      <c r="X2582" s="24">
        <v>46008</v>
      </c>
      <c r="Y2582" s="23">
        <v>1111</v>
      </c>
      <c r="Z2582" s="23">
        <v>11400704</v>
      </c>
      <c r="AA2582" s="23">
        <v>395103</v>
      </c>
      <c r="AB2582" s="24">
        <v>46009</v>
      </c>
    </row>
    <row r="2583" spans="2:28" x14ac:dyDescent="0.2">
      <c r="C2583" s="23">
        <v>1100572176</v>
      </c>
      <c r="E2583" s="23">
        <v>20</v>
      </c>
      <c r="F2583" s="23" t="s">
        <v>82</v>
      </c>
      <c r="G2583" s="23" t="s">
        <v>139</v>
      </c>
      <c r="H2583" s="24">
        <v>46203</v>
      </c>
      <c r="I2583" s="24">
        <v>46203</v>
      </c>
      <c r="J2583" s="23" t="s">
        <v>813</v>
      </c>
      <c r="K2583" s="23" t="s">
        <v>813</v>
      </c>
      <c r="L2583" s="23">
        <v>1</v>
      </c>
      <c r="M2583" s="23" t="s">
        <v>78</v>
      </c>
      <c r="N2583" s="23" t="s">
        <v>78</v>
      </c>
      <c r="O2583" s="23">
        <v>0.01</v>
      </c>
      <c r="P2583" s="23" t="s">
        <v>79</v>
      </c>
      <c r="Q2583" s="23" t="s">
        <v>83</v>
      </c>
      <c r="R2583" s="23">
        <v>11100176</v>
      </c>
      <c r="S2583" s="24" t="s">
        <v>80</v>
      </c>
      <c r="T2583" s="24">
        <v>46013</v>
      </c>
      <c r="U2583" s="24" t="s">
        <v>80</v>
      </c>
      <c r="X2583" s="24">
        <v>46008</v>
      </c>
      <c r="Y2583" s="23">
        <v>1111</v>
      </c>
      <c r="Z2583" s="23">
        <v>11400704</v>
      </c>
      <c r="AA2583" s="23">
        <v>395103</v>
      </c>
      <c r="AB2583" s="24">
        <v>46009</v>
      </c>
    </row>
    <row r="2584" spans="2:28" x14ac:dyDescent="0.2">
      <c r="B2584" s="23" t="s">
        <v>81</v>
      </c>
      <c r="C2584" s="23">
        <v>1100572176</v>
      </c>
      <c r="H2584" s="24">
        <v>46203</v>
      </c>
      <c r="O2584" s="23">
        <v>2007.95</v>
      </c>
      <c r="P2584" s="23" t="s">
        <v>79</v>
      </c>
    </row>
    <row r="2585" spans="2:28" x14ac:dyDescent="0.2">
      <c r="C2585" s="23">
        <v>1100574330</v>
      </c>
      <c r="E2585" s="23">
        <v>10</v>
      </c>
      <c r="F2585" s="23" t="s">
        <v>1952</v>
      </c>
      <c r="G2585" s="23" t="s">
        <v>1953</v>
      </c>
      <c r="H2585" s="24">
        <v>46203</v>
      </c>
      <c r="I2585" s="24">
        <v>46203</v>
      </c>
      <c r="J2585" s="23" t="s">
        <v>1096</v>
      </c>
      <c r="K2585" s="23" t="s">
        <v>1096</v>
      </c>
      <c r="L2585" s="23">
        <v>2</v>
      </c>
      <c r="M2585" s="23" t="s">
        <v>78</v>
      </c>
      <c r="N2585" s="23" t="s">
        <v>78</v>
      </c>
      <c r="O2585" s="23">
        <v>4015.88</v>
      </c>
      <c r="P2585" s="23" t="s">
        <v>79</v>
      </c>
      <c r="Q2585" s="23" t="s">
        <v>83</v>
      </c>
      <c r="R2585" s="23">
        <v>11100176</v>
      </c>
      <c r="S2585" s="24">
        <v>46057</v>
      </c>
      <c r="T2585" s="24">
        <v>46043</v>
      </c>
      <c r="U2585" s="24" t="s">
        <v>80</v>
      </c>
      <c r="X2585" s="24">
        <v>46042</v>
      </c>
      <c r="Y2585" s="23">
        <v>1111</v>
      </c>
      <c r="Z2585" s="23">
        <v>11400937</v>
      </c>
      <c r="AA2585" s="23">
        <v>395103</v>
      </c>
      <c r="AB2585" s="24">
        <v>46042</v>
      </c>
    </row>
    <row r="2586" spans="2:28" x14ac:dyDescent="0.2">
      <c r="C2586" s="23">
        <v>1100574330</v>
      </c>
      <c r="E2586" s="23">
        <v>20</v>
      </c>
      <c r="F2586" s="23" t="s">
        <v>82</v>
      </c>
      <c r="G2586" s="23" t="s">
        <v>139</v>
      </c>
      <c r="H2586" s="24">
        <v>46203</v>
      </c>
      <c r="I2586" s="24">
        <v>46203</v>
      </c>
      <c r="J2586" s="23" t="s">
        <v>1096</v>
      </c>
      <c r="K2586" s="23" t="s">
        <v>1096</v>
      </c>
      <c r="L2586" s="23">
        <v>1</v>
      </c>
      <c r="M2586" s="23" t="s">
        <v>78</v>
      </c>
      <c r="N2586" s="23" t="s">
        <v>78</v>
      </c>
      <c r="O2586" s="23">
        <v>0.01</v>
      </c>
      <c r="P2586" s="23" t="s">
        <v>79</v>
      </c>
      <c r="Q2586" s="23" t="s">
        <v>83</v>
      </c>
      <c r="R2586" s="23">
        <v>11100176</v>
      </c>
      <c r="S2586" s="24" t="s">
        <v>80</v>
      </c>
      <c r="T2586" s="24">
        <v>46043</v>
      </c>
      <c r="U2586" s="24" t="s">
        <v>80</v>
      </c>
      <c r="X2586" s="24">
        <v>46042</v>
      </c>
      <c r="Y2586" s="23">
        <v>1111</v>
      </c>
      <c r="Z2586" s="23">
        <v>11400937</v>
      </c>
      <c r="AA2586" s="23">
        <v>395103</v>
      </c>
      <c r="AB2586" s="24">
        <v>46042</v>
      </c>
    </row>
    <row r="2587" spans="2:28" x14ac:dyDescent="0.2">
      <c r="B2587" s="23" t="s">
        <v>81</v>
      </c>
      <c r="C2587" s="23">
        <v>1100574330</v>
      </c>
      <c r="H2587" s="24">
        <v>46203</v>
      </c>
      <c r="O2587" s="23">
        <v>4015.89</v>
      </c>
      <c r="P2587" s="23" t="s">
        <v>79</v>
      </c>
    </row>
    <row r="2588" spans="2:28" x14ac:dyDescent="0.2">
      <c r="C2588" s="23">
        <v>1100574603</v>
      </c>
      <c r="E2588" s="23">
        <v>10</v>
      </c>
      <c r="F2588" s="23" t="s">
        <v>1952</v>
      </c>
      <c r="G2588" s="23" t="s">
        <v>1953</v>
      </c>
      <c r="H2588" s="24">
        <v>46203</v>
      </c>
      <c r="I2588" s="24">
        <v>46203</v>
      </c>
      <c r="J2588" s="23" t="s">
        <v>561</v>
      </c>
      <c r="K2588" s="23" t="s">
        <v>561</v>
      </c>
      <c r="L2588" s="23">
        <v>3</v>
      </c>
      <c r="M2588" s="23" t="s">
        <v>78</v>
      </c>
      <c r="N2588" s="23" t="s">
        <v>78</v>
      </c>
      <c r="O2588" s="23">
        <v>2301.7199999999998</v>
      </c>
      <c r="P2588" s="23" t="s">
        <v>79</v>
      </c>
      <c r="Q2588" s="23" t="s">
        <v>83</v>
      </c>
      <c r="R2588" s="23">
        <v>11100176</v>
      </c>
      <c r="S2588" s="24">
        <v>46087</v>
      </c>
      <c r="T2588" s="24">
        <v>46045</v>
      </c>
      <c r="U2588" s="24" t="s">
        <v>80</v>
      </c>
      <c r="X2588" s="24">
        <v>46045</v>
      </c>
      <c r="Y2588" s="23">
        <v>1111</v>
      </c>
      <c r="Z2588" s="23">
        <v>11600007</v>
      </c>
      <c r="AA2588" s="23">
        <v>335103</v>
      </c>
      <c r="AB2588" s="24">
        <v>46043</v>
      </c>
    </row>
    <row r="2589" spans="2:28" x14ac:dyDescent="0.2">
      <c r="B2589" s="23" t="s">
        <v>81</v>
      </c>
      <c r="C2589" s="23">
        <v>1100574603</v>
      </c>
      <c r="H2589" s="24">
        <v>46203</v>
      </c>
      <c r="O2589" s="23">
        <v>2301.7199999999998</v>
      </c>
      <c r="P2589" s="23" t="s">
        <v>79</v>
      </c>
    </row>
    <row r="2590" spans="2:28" x14ac:dyDescent="0.2">
      <c r="C2590" s="23">
        <v>1100574991</v>
      </c>
      <c r="E2590" s="23">
        <v>10</v>
      </c>
      <c r="F2590" s="23" t="s">
        <v>2021</v>
      </c>
      <c r="G2590" s="23" t="s">
        <v>2022</v>
      </c>
      <c r="H2590" s="24">
        <v>46203</v>
      </c>
      <c r="I2590" s="24">
        <v>46203</v>
      </c>
      <c r="J2590" s="23" t="s">
        <v>1433</v>
      </c>
      <c r="K2590" s="23" t="s">
        <v>1433</v>
      </c>
      <c r="L2590" s="23">
        <v>1</v>
      </c>
      <c r="M2590" s="23" t="s">
        <v>78</v>
      </c>
      <c r="N2590" s="23" t="s">
        <v>78</v>
      </c>
      <c r="O2590" s="23">
        <v>1921.68</v>
      </c>
      <c r="P2590" s="23" t="s">
        <v>79</v>
      </c>
      <c r="Q2590" s="23" t="s">
        <v>83</v>
      </c>
      <c r="R2590" s="23">
        <v>11100176</v>
      </c>
      <c r="S2590" s="24">
        <v>46077</v>
      </c>
      <c r="T2590" s="24">
        <v>46049</v>
      </c>
      <c r="U2590" s="24" t="s">
        <v>80</v>
      </c>
      <c r="X2590" s="24">
        <v>45889</v>
      </c>
      <c r="Y2590" s="23">
        <v>1111</v>
      </c>
      <c r="Z2590" s="23">
        <v>11400606</v>
      </c>
      <c r="AA2590" s="23">
        <v>335103</v>
      </c>
      <c r="AB2590" s="24">
        <v>46045</v>
      </c>
    </row>
    <row r="2591" spans="2:28" x14ac:dyDescent="0.2">
      <c r="C2591" s="23">
        <v>1100574991</v>
      </c>
      <c r="E2591" s="23">
        <v>20</v>
      </c>
      <c r="F2591" s="23" t="s">
        <v>82</v>
      </c>
      <c r="G2591" s="23" t="s">
        <v>139</v>
      </c>
      <c r="H2591" s="24">
        <v>46203</v>
      </c>
      <c r="I2591" s="24">
        <v>46203</v>
      </c>
      <c r="J2591" s="23" t="s">
        <v>1433</v>
      </c>
      <c r="K2591" s="23" t="s">
        <v>1433</v>
      </c>
      <c r="L2591" s="23">
        <v>1</v>
      </c>
      <c r="M2591" s="23" t="s">
        <v>78</v>
      </c>
      <c r="N2591" s="23" t="s">
        <v>78</v>
      </c>
      <c r="O2591" s="23">
        <v>0.01</v>
      </c>
      <c r="P2591" s="23" t="s">
        <v>79</v>
      </c>
      <c r="Q2591" s="23" t="s">
        <v>83</v>
      </c>
      <c r="R2591" s="23">
        <v>11100176</v>
      </c>
      <c r="S2591" s="24" t="s">
        <v>80</v>
      </c>
      <c r="T2591" s="24">
        <v>46049</v>
      </c>
      <c r="U2591" s="24" t="s">
        <v>80</v>
      </c>
      <c r="X2591" s="24">
        <v>45889</v>
      </c>
      <c r="Y2591" s="23">
        <v>1111</v>
      </c>
      <c r="Z2591" s="23">
        <v>11400606</v>
      </c>
      <c r="AA2591" s="23">
        <v>335103</v>
      </c>
      <c r="AB2591" s="24">
        <v>46045</v>
      </c>
    </row>
    <row r="2592" spans="2:28" x14ac:dyDescent="0.2">
      <c r="B2592" s="23" t="s">
        <v>81</v>
      </c>
      <c r="C2592" s="23">
        <v>1100574991</v>
      </c>
      <c r="H2592" s="24">
        <v>46203</v>
      </c>
      <c r="O2592" s="23">
        <v>1921.69</v>
      </c>
      <c r="P2592" s="23" t="s">
        <v>79</v>
      </c>
    </row>
    <row r="2593" spans="2:28" x14ac:dyDescent="0.2">
      <c r="C2593" s="23">
        <v>1100577263</v>
      </c>
      <c r="E2593" s="23">
        <v>10</v>
      </c>
      <c r="F2593" s="23" t="s">
        <v>2021</v>
      </c>
      <c r="G2593" s="23" t="s">
        <v>2022</v>
      </c>
      <c r="H2593" s="24">
        <v>46203</v>
      </c>
      <c r="I2593" s="24">
        <v>46203</v>
      </c>
      <c r="J2593" s="23" t="s">
        <v>2602</v>
      </c>
      <c r="K2593" s="23" t="s">
        <v>2602</v>
      </c>
      <c r="L2593" s="23">
        <v>1</v>
      </c>
      <c r="M2593" s="23" t="s">
        <v>78</v>
      </c>
      <c r="N2593" s="23" t="s">
        <v>78</v>
      </c>
      <c r="O2593" s="23">
        <v>2065.81</v>
      </c>
      <c r="P2593" s="23" t="s">
        <v>79</v>
      </c>
      <c r="Q2593" s="23" t="s">
        <v>83</v>
      </c>
      <c r="R2593" s="23">
        <v>11100176</v>
      </c>
      <c r="S2593" s="24">
        <v>46115</v>
      </c>
      <c r="T2593" s="24">
        <v>46072</v>
      </c>
      <c r="U2593" s="24" t="s">
        <v>80</v>
      </c>
      <c r="X2593" s="24">
        <v>46069</v>
      </c>
      <c r="Y2593" s="23">
        <v>1111</v>
      </c>
      <c r="Z2593" s="23">
        <v>11100137</v>
      </c>
      <c r="AA2593" s="23">
        <v>3351</v>
      </c>
      <c r="AB2593" s="24">
        <v>46069</v>
      </c>
    </row>
    <row r="2594" spans="2:28" x14ac:dyDescent="0.2">
      <c r="C2594" s="23">
        <v>1100577263</v>
      </c>
      <c r="E2594" s="23">
        <v>20</v>
      </c>
      <c r="F2594" s="23" t="s">
        <v>209</v>
      </c>
      <c r="G2594" s="23" t="s">
        <v>210</v>
      </c>
      <c r="H2594" s="24">
        <v>46203</v>
      </c>
      <c r="I2594" s="24">
        <v>46203</v>
      </c>
      <c r="J2594" s="23" t="s">
        <v>2602</v>
      </c>
      <c r="K2594" s="23" t="s">
        <v>2602</v>
      </c>
      <c r="L2594" s="23">
        <v>1</v>
      </c>
      <c r="M2594" s="23" t="s">
        <v>78</v>
      </c>
      <c r="N2594" s="23" t="s">
        <v>78</v>
      </c>
      <c r="O2594" s="23">
        <v>0</v>
      </c>
      <c r="P2594" s="23" t="s">
        <v>79</v>
      </c>
      <c r="Q2594" s="23" t="s">
        <v>83</v>
      </c>
      <c r="R2594" s="23">
        <v>11100176</v>
      </c>
      <c r="S2594" s="24" t="s">
        <v>80</v>
      </c>
      <c r="T2594" s="24">
        <v>46072</v>
      </c>
      <c r="U2594" s="24" t="s">
        <v>80</v>
      </c>
      <c r="X2594" s="24">
        <v>46069</v>
      </c>
      <c r="Y2594" s="23">
        <v>1111</v>
      </c>
      <c r="Z2594" s="23">
        <v>11100137</v>
      </c>
      <c r="AA2594" s="23">
        <v>3351</v>
      </c>
      <c r="AB2594" s="24">
        <v>46069</v>
      </c>
    </row>
    <row r="2595" spans="2:28" x14ac:dyDescent="0.2">
      <c r="B2595" s="23" t="s">
        <v>81</v>
      </c>
      <c r="C2595" s="23">
        <v>1100577263</v>
      </c>
      <c r="H2595" s="24">
        <v>46203</v>
      </c>
      <c r="O2595" s="23">
        <v>2065.81</v>
      </c>
      <c r="P2595" s="23" t="s">
        <v>79</v>
      </c>
    </row>
    <row r="2596" spans="2:28" x14ac:dyDescent="0.2">
      <c r="C2596" s="23">
        <v>1100578471</v>
      </c>
      <c r="E2596" s="23">
        <v>10</v>
      </c>
      <c r="F2596" s="23" t="s">
        <v>1952</v>
      </c>
      <c r="G2596" s="23" t="s">
        <v>1953</v>
      </c>
      <c r="H2596" s="24">
        <v>46203</v>
      </c>
      <c r="I2596" s="24">
        <v>46203</v>
      </c>
      <c r="J2596" s="23" t="s">
        <v>561</v>
      </c>
      <c r="K2596" s="23" t="s">
        <v>561</v>
      </c>
      <c r="L2596" s="23">
        <v>3</v>
      </c>
      <c r="M2596" s="23" t="s">
        <v>78</v>
      </c>
      <c r="N2596" s="23" t="s">
        <v>78</v>
      </c>
      <c r="O2596" s="23">
        <v>0</v>
      </c>
      <c r="P2596" s="23" t="s">
        <v>79</v>
      </c>
      <c r="Q2596" s="23" t="s">
        <v>83</v>
      </c>
      <c r="R2596" s="23">
        <v>11100176</v>
      </c>
      <c r="S2596" s="24" t="s">
        <v>80</v>
      </c>
      <c r="T2596" s="24">
        <v>46083</v>
      </c>
      <c r="U2596" s="24" t="s">
        <v>80</v>
      </c>
      <c r="X2596" s="24">
        <v>46083</v>
      </c>
      <c r="Y2596" s="23">
        <v>1111</v>
      </c>
      <c r="Z2596" s="23">
        <v>11400797</v>
      </c>
      <c r="AA2596" s="23">
        <v>335103</v>
      </c>
      <c r="AB2596" s="24">
        <v>46083</v>
      </c>
    </row>
    <row r="2597" spans="2:28" x14ac:dyDescent="0.2">
      <c r="B2597" s="23" t="s">
        <v>81</v>
      </c>
      <c r="C2597" s="23">
        <v>1100578471</v>
      </c>
      <c r="H2597" s="24">
        <v>46203</v>
      </c>
      <c r="O2597" s="23">
        <v>0</v>
      </c>
      <c r="P2597" s="23" t="s">
        <v>79</v>
      </c>
    </row>
    <row r="2598" spans="2:28" x14ac:dyDescent="0.2">
      <c r="C2598" s="23">
        <v>1100577135</v>
      </c>
      <c r="E2598" s="23">
        <v>10</v>
      </c>
      <c r="F2598" s="23" t="s">
        <v>435</v>
      </c>
      <c r="G2598" s="23" t="s">
        <v>436</v>
      </c>
      <c r="H2598" s="24">
        <v>46205</v>
      </c>
      <c r="I2598" s="24">
        <v>46205</v>
      </c>
      <c r="J2598" s="23" t="s">
        <v>98</v>
      </c>
      <c r="K2598" s="23" t="s">
        <v>98</v>
      </c>
      <c r="L2598" s="23">
        <v>1</v>
      </c>
      <c r="M2598" s="23" t="s">
        <v>78</v>
      </c>
      <c r="N2598" s="23" t="s">
        <v>78</v>
      </c>
      <c r="O2598" s="23">
        <v>6972.38</v>
      </c>
      <c r="P2598" s="23" t="s">
        <v>79</v>
      </c>
      <c r="Q2598" s="23" t="s">
        <v>83</v>
      </c>
      <c r="R2598" s="23">
        <v>11100176</v>
      </c>
      <c r="S2598" s="24">
        <v>46150</v>
      </c>
      <c r="T2598" s="24">
        <v>46071</v>
      </c>
      <c r="U2598" s="24" t="s">
        <v>80</v>
      </c>
      <c r="X2598" s="24">
        <v>46069</v>
      </c>
      <c r="Y2598" s="23">
        <v>1111</v>
      </c>
      <c r="Z2598" s="23">
        <v>11100137</v>
      </c>
      <c r="AA2598" s="23">
        <v>3151</v>
      </c>
      <c r="AB2598" s="24">
        <v>46069</v>
      </c>
    </row>
    <row r="2599" spans="2:28" x14ac:dyDescent="0.2">
      <c r="C2599" s="23">
        <v>1100577135</v>
      </c>
      <c r="E2599" s="23">
        <v>20</v>
      </c>
      <c r="F2599" s="23" t="s">
        <v>1170</v>
      </c>
      <c r="G2599" s="23" t="s">
        <v>1171</v>
      </c>
      <c r="H2599" s="24">
        <v>46205</v>
      </c>
      <c r="I2599" s="24">
        <v>46205</v>
      </c>
      <c r="J2599" s="23" t="s">
        <v>98</v>
      </c>
      <c r="K2599" s="23" t="s">
        <v>98</v>
      </c>
      <c r="L2599" s="23">
        <v>1</v>
      </c>
      <c r="M2599" s="23" t="s">
        <v>78</v>
      </c>
      <c r="N2599" s="23" t="s">
        <v>78</v>
      </c>
      <c r="O2599" s="23">
        <v>3309.28</v>
      </c>
      <c r="P2599" s="23" t="s">
        <v>79</v>
      </c>
      <c r="Q2599" s="23" t="s">
        <v>83</v>
      </c>
      <c r="R2599" s="23">
        <v>11100176</v>
      </c>
      <c r="S2599" s="24">
        <v>46150</v>
      </c>
      <c r="T2599" s="24">
        <v>46071</v>
      </c>
      <c r="U2599" s="24" t="s">
        <v>80</v>
      </c>
      <c r="X2599" s="24">
        <v>46069</v>
      </c>
      <c r="Y2599" s="23">
        <v>1111</v>
      </c>
      <c r="Z2599" s="23">
        <v>11100137</v>
      </c>
      <c r="AA2599" s="23">
        <v>3151</v>
      </c>
      <c r="AB2599" s="24">
        <v>46069</v>
      </c>
    </row>
    <row r="2600" spans="2:28" x14ac:dyDescent="0.2">
      <c r="B2600" s="23" t="s">
        <v>81</v>
      </c>
      <c r="C2600" s="23">
        <v>1100577135</v>
      </c>
      <c r="H2600" s="24">
        <v>46205</v>
      </c>
      <c r="O2600" s="23">
        <v>10281.66</v>
      </c>
      <c r="P2600" s="23" t="s">
        <v>79</v>
      </c>
    </row>
    <row r="2601" spans="2:28" x14ac:dyDescent="0.2">
      <c r="C2601" s="23">
        <v>1100578693</v>
      </c>
      <c r="E2601" s="23">
        <v>10</v>
      </c>
      <c r="F2601" s="23">
        <v>4212132</v>
      </c>
      <c r="G2601" s="23" t="s">
        <v>4278</v>
      </c>
      <c r="H2601" s="24">
        <v>46205</v>
      </c>
      <c r="I2601" s="24">
        <v>46205</v>
      </c>
      <c r="J2601" s="23" t="s">
        <v>4279</v>
      </c>
      <c r="K2601" s="23" t="s">
        <v>4279</v>
      </c>
      <c r="L2601" s="23">
        <v>6</v>
      </c>
      <c r="M2601" s="23" t="s">
        <v>78</v>
      </c>
      <c r="N2601" s="23" t="s">
        <v>78</v>
      </c>
      <c r="O2601" s="23">
        <v>3669.96</v>
      </c>
      <c r="P2601" s="23" t="s">
        <v>79</v>
      </c>
      <c r="Q2601" s="23" t="s">
        <v>83</v>
      </c>
      <c r="R2601" s="23">
        <v>11100176</v>
      </c>
      <c r="S2601" s="24">
        <v>46205</v>
      </c>
      <c r="T2601" s="24">
        <v>46086</v>
      </c>
      <c r="U2601" s="24">
        <v>46752</v>
      </c>
      <c r="X2601" s="24">
        <v>46070</v>
      </c>
      <c r="Y2601" s="23">
        <v>1111</v>
      </c>
      <c r="Z2601" s="23">
        <v>11600001</v>
      </c>
      <c r="AA2601" s="23">
        <v>3951</v>
      </c>
      <c r="AB2601" s="24">
        <v>46043</v>
      </c>
    </row>
    <row r="2602" spans="2:28" x14ac:dyDescent="0.2">
      <c r="C2602" s="23">
        <v>1100578693</v>
      </c>
      <c r="E2602" s="23">
        <v>20</v>
      </c>
      <c r="F2602" s="23" t="s">
        <v>87</v>
      </c>
      <c r="G2602" s="23" t="s">
        <v>142</v>
      </c>
      <c r="H2602" s="24">
        <v>46205</v>
      </c>
      <c r="I2602" s="24">
        <v>46205</v>
      </c>
      <c r="J2602" s="23" t="s">
        <v>4279</v>
      </c>
      <c r="K2602" s="23" t="s">
        <v>4279</v>
      </c>
      <c r="L2602" s="23">
        <v>4</v>
      </c>
      <c r="M2602" s="23" t="s">
        <v>78</v>
      </c>
      <c r="N2602" s="23" t="s">
        <v>78</v>
      </c>
      <c r="O2602" s="23">
        <v>6468.48</v>
      </c>
      <c r="P2602" s="23" t="s">
        <v>79</v>
      </c>
      <c r="Q2602" s="23" t="s">
        <v>83</v>
      </c>
      <c r="R2602" s="23">
        <v>11100176</v>
      </c>
      <c r="S2602" s="24">
        <v>46205</v>
      </c>
      <c r="T2602" s="24">
        <v>46086</v>
      </c>
      <c r="U2602" s="24">
        <v>46752</v>
      </c>
      <c r="X2602" s="24">
        <v>46070</v>
      </c>
      <c r="Y2602" s="23">
        <v>1111</v>
      </c>
      <c r="Z2602" s="23">
        <v>11600001</v>
      </c>
      <c r="AA2602" s="23">
        <v>3951</v>
      </c>
      <c r="AB2602" s="24">
        <v>46043</v>
      </c>
    </row>
    <row r="2603" spans="2:28" x14ac:dyDescent="0.2">
      <c r="C2603" s="23">
        <v>1100578693</v>
      </c>
      <c r="E2603" s="23">
        <v>30</v>
      </c>
      <c r="F2603" s="23">
        <v>4023049</v>
      </c>
      <c r="G2603" s="23" t="s">
        <v>4280</v>
      </c>
      <c r="H2603" s="24">
        <v>46205</v>
      </c>
      <c r="I2603" s="24">
        <v>46205</v>
      </c>
      <c r="J2603" s="23" t="s">
        <v>4279</v>
      </c>
      <c r="K2603" s="23" t="s">
        <v>4279</v>
      </c>
      <c r="L2603" s="23">
        <v>2</v>
      </c>
      <c r="M2603" s="23" t="s">
        <v>78</v>
      </c>
      <c r="N2603" s="23" t="s">
        <v>78</v>
      </c>
      <c r="O2603" s="23">
        <v>1135.1199999999999</v>
      </c>
      <c r="P2603" s="23" t="s">
        <v>79</v>
      </c>
      <c r="Q2603" s="23" t="s">
        <v>83</v>
      </c>
      <c r="R2603" s="23">
        <v>11100176</v>
      </c>
      <c r="S2603" s="24">
        <v>46205</v>
      </c>
      <c r="T2603" s="24">
        <v>46086</v>
      </c>
      <c r="U2603" s="24">
        <v>46752</v>
      </c>
      <c r="X2603" s="24">
        <v>46070</v>
      </c>
      <c r="Y2603" s="23">
        <v>1111</v>
      </c>
      <c r="Z2603" s="23">
        <v>11600001</v>
      </c>
      <c r="AA2603" s="23">
        <v>3951</v>
      </c>
      <c r="AB2603" s="24">
        <v>46043</v>
      </c>
    </row>
    <row r="2604" spans="2:28" x14ac:dyDescent="0.2">
      <c r="C2604" s="23">
        <v>1100578693</v>
      </c>
      <c r="E2604" s="23">
        <v>40</v>
      </c>
      <c r="F2604" s="23" t="s">
        <v>4281</v>
      </c>
      <c r="G2604" s="23" t="s">
        <v>4282</v>
      </c>
      <c r="H2604" s="24">
        <v>46205</v>
      </c>
      <c r="I2604" s="24">
        <v>46205</v>
      </c>
      <c r="J2604" s="23" t="s">
        <v>4279</v>
      </c>
      <c r="K2604" s="23" t="s">
        <v>4279</v>
      </c>
      <c r="L2604" s="23">
        <v>2</v>
      </c>
      <c r="M2604" s="23" t="s">
        <v>78</v>
      </c>
      <c r="N2604" s="23" t="s">
        <v>78</v>
      </c>
      <c r="O2604" s="23">
        <v>74348.28</v>
      </c>
      <c r="P2604" s="23" t="s">
        <v>79</v>
      </c>
      <c r="Q2604" s="23" t="s">
        <v>83</v>
      </c>
      <c r="R2604" s="23">
        <v>11100176</v>
      </c>
      <c r="S2604" s="24">
        <v>46205</v>
      </c>
      <c r="T2604" s="24">
        <v>46086</v>
      </c>
      <c r="U2604" s="24">
        <v>46752</v>
      </c>
      <c r="X2604" s="24">
        <v>46070</v>
      </c>
      <c r="Y2604" s="23">
        <v>1111</v>
      </c>
      <c r="Z2604" s="23">
        <v>11600001</v>
      </c>
      <c r="AA2604" s="23">
        <v>3951</v>
      </c>
      <c r="AB2604" s="24">
        <v>46043</v>
      </c>
    </row>
    <row r="2605" spans="2:28" x14ac:dyDescent="0.2">
      <c r="C2605" s="23">
        <v>1100578693</v>
      </c>
      <c r="E2605" s="23">
        <v>50</v>
      </c>
      <c r="F2605" s="23" t="s">
        <v>2051</v>
      </c>
      <c r="G2605" s="23" t="s">
        <v>2052</v>
      </c>
      <c r="H2605" s="24">
        <v>46205</v>
      </c>
      <c r="I2605" s="24">
        <v>46205</v>
      </c>
      <c r="J2605" s="23" t="s">
        <v>4279</v>
      </c>
      <c r="K2605" s="23" t="s">
        <v>4279</v>
      </c>
      <c r="L2605" s="23">
        <v>1</v>
      </c>
      <c r="M2605" s="23" t="s">
        <v>78</v>
      </c>
      <c r="N2605" s="23" t="s">
        <v>78</v>
      </c>
      <c r="O2605" s="23">
        <v>37932.800000000003</v>
      </c>
      <c r="P2605" s="23" t="s">
        <v>79</v>
      </c>
      <c r="Q2605" s="23" t="s">
        <v>83</v>
      </c>
      <c r="R2605" s="23">
        <v>11100176</v>
      </c>
      <c r="S2605" s="24">
        <v>46205</v>
      </c>
      <c r="T2605" s="24">
        <v>46086</v>
      </c>
      <c r="U2605" s="24">
        <v>46752</v>
      </c>
      <c r="X2605" s="24">
        <v>46070</v>
      </c>
      <c r="Y2605" s="23">
        <v>1111</v>
      </c>
      <c r="Z2605" s="23">
        <v>11600001</v>
      </c>
      <c r="AA2605" s="23">
        <v>3951</v>
      </c>
      <c r="AB2605" s="24">
        <v>46043</v>
      </c>
    </row>
    <row r="2606" spans="2:28" x14ac:dyDescent="0.2">
      <c r="C2606" s="23">
        <v>1100578693</v>
      </c>
      <c r="E2606" s="23">
        <v>60</v>
      </c>
      <c r="F2606" s="23" t="s">
        <v>2049</v>
      </c>
      <c r="G2606" s="23" t="s">
        <v>2050</v>
      </c>
      <c r="H2606" s="24">
        <v>46205</v>
      </c>
      <c r="I2606" s="24">
        <v>46205</v>
      </c>
      <c r="J2606" s="23" t="s">
        <v>4279</v>
      </c>
      <c r="K2606" s="23" t="s">
        <v>4279</v>
      </c>
      <c r="L2606" s="23">
        <v>1</v>
      </c>
      <c r="M2606" s="23" t="s">
        <v>78</v>
      </c>
      <c r="N2606" s="23" t="s">
        <v>78</v>
      </c>
      <c r="O2606" s="23">
        <v>31104.9</v>
      </c>
      <c r="P2606" s="23" t="s">
        <v>79</v>
      </c>
      <c r="Q2606" s="23" t="s">
        <v>83</v>
      </c>
      <c r="R2606" s="23">
        <v>11100176</v>
      </c>
      <c r="S2606" s="24">
        <v>46205</v>
      </c>
      <c r="T2606" s="24">
        <v>46086</v>
      </c>
      <c r="U2606" s="24">
        <v>46752</v>
      </c>
      <c r="X2606" s="24">
        <v>46070</v>
      </c>
      <c r="Y2606" s="23">
        <v>1111</v>
      </c>
      <c r="Z2606" s="23">
        <v>11600001</v>
      </c>
      <c r="AA2606" s="23">
        <v>3951</v>
      </c>
      <c r="AB2606" s="24">
        <v>46043</v>
      </c>
    </row>
    <row r="2607" spans="2:28" x14ac:dyDescent="0.2">
      <c r="C2607" s="23">
        <v>1100578693</v>
      </c>
      <c r="E2607" s="23">
        <v>70</v>
      </c>
      <c r="F2607" s="23" t="s">
        <v>4283</v>
      </c>
      <c r="G2607" s="23" t="s">
        <v>4284</v>
      </c>
      <c r="H2607" s="24">
        <v>46205</v>
      </c>
      <c r="I2607" s="24">
        <v>46205</v>
      </c>
      <c r="J2607" s="23" t="s">
        <v>4279</v>
      </c>
      <c r="K2607" s="23" t="s">
        <v>4279</v>
      </c>
      <c r="L2607" s="23">
        <v>1</v>
      </c>
      <c r="M2607" s="23" t="s">
        <v>78</v>
      </c>
      <c r="N2607" s="23" t="s">
        <v>78</v>
      </c>
      <c r="O2607" s="23">
        <v>14850.7</v>
      </c>
      <c r="P2607" s="23" t="s">
        <v>79</v>
      </c>
      <c r="Q2607" s="23" t="s">
        <v>83</v>
      </c>
      <c r="R2607" s="23">
        <v>11100176</v>
      </c>
      <c r="S2607" s="24">
        <v>46205</v>
      </c>
      <c r="T2607" s="24">
        <v>46086</v>
      </c>
      <c r="U2607" s="24">
        <v>46752</v>
      </c>
      <c r="X2607" s="24">
        <v>46070</v>
      </c>
      <c r="Y2607" s="23">
        <v>1111</v>
      </c>
      <c r="Z2607" s="23">
        <v>11600001</v>
      </c>
      <c r="AA2607" s="23">
        <v>3951</v>
      </c>
      <c r="AB2607" s="24">
        <v>46043</v>
      </c>
    </row>
    <row r="2608" spans="2:28" x14ac:dyDescent="0.2">
      <c r="C2608" s="23">
        <v>1100578693</v>
      </c>
      <c r="E2608" s="23">
        <v>80</v>
      </c>
      <c r="F2608" s="23" t="s">
        <v>4285</v>
      </c>
      <c r="G2608" s="23" t="s">
        <v>4286</v>
      </c>
      <c r="H2608" s="24">
        <v>46205</v>
      </c>
      <c r="I2608" s="24">
        <v>46205</v>
      </c>
      <c r="J2608" s="23" t="s">
        <v>4279</v>
      </c>
      <c r="K2608" s="23" t="s">
        <v>4279</v>
      </c>
      <c r="L2608" s="23">
        <v>12</v>
      </c>
      <c r="M2608" s="23" t="s">
        <v>78</v>
      </c>
      <c r="N2608" s="23" t="s">
        <v>78</v>
      </c>
      <c r="O2608" s="23">
        <v>3054</v>
      </c>
      <c r="P2608" s="23" t="s">
        <v>79</v>
      </c>
      <c r="Q2608" s="23" t="s">
        <v>83</v>
      </c>
      <c r="R2608" s="23">
        <v>11100176</v>
      </c>
      <c r="S2608" s="24">
        <v>46205</v>
      </c>
      <c r="T2608" s="24">
        <v>46086</v>
      </c>
      <c r="U2608" s="24">
        <v>46752</v>
      </c>
      <c r="X2608" s="24">
        <v>46070</v>
      </c>
      <c r="Y2608" s="23">
        <v>1111</v>
      </c>
      <c r="Z2608" s="23">
        <v>11600001</v>
      </c>
      <c r="AA2608" s="23">
        <v>3951</v>
      </c>
      <c r="AB2608" s="24">
        <v>46043</v>
      </c>
    </row>
    <row r="2609" spans="2:28" x14ac:dyDescent="0.2">
      <c r="C2609" s="23">
        <v>1100578693</v>
      </c>
      <c r="E2609" s="23">
        <v>90</v>
      </c>
      <c r="F2609" s="23" t="s">
        <v>84</v>
      </c>
      <c r="G2609" s="23" t="s">
        <v>123</v>
      </c>
      <c r="H2609" s="24">
        <v>46205</v>
      </c>
      <c r="I2609" s="24">
        <v>46205</v>
      </c>
      <c r="J2609" s="23" t="s">
        <v>4279</v>
      </c>
      <c r="K2609" s="23" t="s">
        <v>4279</v>
      </c>
      <c r="L2609" s="23">
        <v>1</v>
      </c>
      <c r="M2609" s="23" t="s">
        <v>78</v>
      </c>
      <c r="N2609" s="23" t="s">
        <v>78</v>
      </c>
      <c r="O2609" s="23">
        <v>0.01</v>
      </c>
      <c r="P2609" s="23" t="s">
        <v>79</v>
      </c>
      <c r="Q2609" s="23" t="s">
        <v>83</v>
      </c>
      <c r="R2609" s="23">
        <v>11100176</v>
      </c>
      <c r="S2609" s="24" t="s">
        <v>80</v>
      </c>
      <c r="T2609" s="24">
        <v>46086</v>
      </c>
      <c r="U2609" s="24">
        <v>46752</v>
      </c>
      <c r="X2609" s="24">
        <v>46070</v>
      </c>
      <c r="Y2609" s="23">
        <v>1111</v>
      </c>
      <c r="Z2609" s="23">
        <v>11600001</v>
      </c>
      <c r="AA2609" s="23">
        <v>3951</v>
      </c>
      <c r="AB2609" s="24">
        <v>46043</v>
      </c>
    </row>
    <row r="2610" spans="2:28" x14ac:dyDescent="0.2">
      <c r="B2610" s="23" t="s">
        <v>81</v>
      </c>
      <c r="C2610" s="23">
        <v>1100578693</v>
      </c>
      <c r="H2610" s="24">
        <v>46205</v>
      </c>
      <c r="O2610" s="23">
        <v>172564.25</v>
      </c>
      <c r="P2610" s="23" t="s">
        <v>79</v>
      </c>
    </row>
    <row r="2611" spans="2:28" x14ac:dyDescent="0.2">
      <c r="C2611" s="23">
        <v>1100577948</v>
      </c>
      <c r="E2611" s="23">
        <v>10</v>
      </c>
      <c r="F2611" s="23" t="s">
        <v>3989</v>
      </c>
      <c r="G2611" s="23" t="s">
        <v>3990</v>
      </c>
      <c r="H2611" s="24">
        <v>46212</v>
      </c>
      <c r="I2611" s="24">
        <v>46212</v>
      </c>
      <c r="J2611" s="23" t="s">
        <v>168</v>
      </c>
      <c r="K2611" s="23" t="s">
        <v>168</v>
      </c>
      <c r="L2611" s="23">
        <v>1</v>
      </c>
      <c r="M2611" s="23" t="s">
        <v>78</v>
      </c>
      <c r="N2611" s="23" t="s">
        <v>78</v>
      </c>
      <c r="O2611" s="23">
        <v>550.4</v>
      </c>
      <c r="P2611" s="23" t="s">
        <v>79</v>
      </c>
      <c r="Q2611" s="23" t="s">
        <v>83</v>
      </c>
      <c r="R2611" s="23">
        <v>11100176</v>
      </c>
      <c r="S2611" s="24">
        <v>46113</v>
      </c>
      <c r="T2611" s="24">
        <v>46078</v>
      </c>
      <c r="U2611" s="24" t="s">
        <v>80</v>
      </c>
      <c r="X2611" s="24">
        <v>46078</v>
      </c>
      <c r="Y2611" s="23">
        <v>1111</v>
      </c>
      <c r="Z2611" s="23">
        <v>11400789</v>
      </c>
      <c r="AA2611" s="23">
        <v>5251</v>
      </c>
      <c r="AB2611" s="24">
        <v>46076</v>
      </c>
    </row>
    <row r="2612" spans="2:28" x14ac:dyDescent="0.2">
      <c r="C2612" s="23">
        <v>1100577948</v>
      </c>
      <c r="E2612" s="23">
        <v>20</v>
      </c>
      <c r="F2612" s="23" t="s">
        <v>3991</v>
      </c>
      <c r="G2612" s="23" t="s">
        <v>3992</v>
      </c>
      <c r="H2612" s="24">
        <v>46212</v>
      </c>
      <c r="I2612" s="24">
        <v>46212</v>
      </c>
      <c r="J2612" s="23" t="s">
        <v>168</v>
      </c>
      <c r="K2612" s="23" t="s">
        <v>168</v>
      </c>
      <c r="L2612" s="23">
        <v>1</v>
      </c>
      <c r="M2612" s="23" t="s">
        <v>78</v>
      </c>
      <c r="N2612" s="23" t="s">
        <v>78</v>
      </c>
      <c r="O2612" s="23">
        <v>4397.63</v>
      </c>
      <c r="P2612" s="23" t="s">
        <v>79</v>
      </c>
      <c r="Q2612" s="23" t="s">
        <v>83</v>
      </c>
      <c r="R2612" s="23">
        <v>11100176</v>
      </c>
      <c r="S2612" s="24">
        <v>46113</v>
      </c>
      <c r="T2612" s="24">
        <v>46078</v>
      </c>
      <c r="U2612" s="24" t="s">
        <v>80</v>
      </c>
      <c r="X2612" s="24">
        <v>46078</v>
      </c>
      <c r="Y2612" s="23">
        <v>1111</v>
      </c>
      <c r="Z2612" s="23">
        <v>11400789</v>
      </c>
      <c r="AA2612" s="23">
        <v>5251</v>
      </c>
      <c r="AB2612" s="24">
        <v>46076</v>
      </c>
    </row>
    <row r="2613" spans="2:28" x14ac:dyDescent="0.2">
      <c r="B2613" s="23" t="s">
        <v>81</v>
      </c>
      <c r="C2613" s="23">
        <v>1100577948</v>
      </c>
      <c r="H2613" s="24">
        <v>46212</v>
      </c>
      <c r="O2613" s="23">
        <v>4948.03</v>
      </c>
      <c r="P2613" s="23" t="s">
        <v>79</v>
      </c>
    </row>
    <row r="2614" spans="2:28" x14ac:dyDescent="0.2">
      <c r="C2614" s="23">
        <v>1100474440</v>
      </c>
      <c r="E2614" s="23">
        <v>20</v>
      </c>
      <c r="F2614" s="23" t="s">
        <v>163</v>
      </c>
      <c r="G2614" s="23" t="s">
        <v>164</v>
      </c>
      <c r="H2614" s="24">
        <v>46387</v>
      </c>
      <c r="I2614" s="24">
        <v>46387</v>
      </c>
      <c r="J2614" s="23" t="s">
        <v>156</v>
      </c>
      <c r="K2614" s="23" t="s">
        <v>156</v>
      </c>
      <c r="L2614" s="23">
        <v>1</v>
      </c>
      <c r="M2614" s="23" t="s">
        <v>78</v>
      </c>
      <c r="N2614" s="23" t="s">
        <v>78</v>
      </c>
      <c r="O2614" s="23">
        <v>3000</v>
      </c>
      <c r="P2614" s="23" t="s">
        <v>79</v>
      </c>
      <c r="Q2614" s="23" t="s">
        <v>83</v>
      </c>
      <c r="S2614" s="24" t="s">
        <v>80</v>
      </c>
      <c r="T2614" s="24">
        <v>44680</v>
      </c>
      <c r="U2614" s="24">
        <v>45657</v>
      </c>
      <c r="X2614" s="24">
        <v>44680</v>
      </c>
      <c r="Y2614" s="23">
        <v>1111</v>
      </c>
      <c r="Z2614" s="23">
        <v>11100042</v>
      </c>
      <c r="AA2614" s="23">
        <v>3955</v>
      </c>
      <c r="AB2614" s="24">
        <v>44680</v>
      </c>
    </row>
    <row r="2615" spans="2:28" x14ac:dyDescent="0.2">
      <c r="B2615" s="23" t="s">
        <v>81</v>
      </c>
      <c r="C2615" s="23">
        <v>1100474440</v>
      </c>
      <c r="H2615" s="24">
        <v>46387</v>
      </c>
      <c r="O2615" s="23">
        <v>3000</v>
      </c>
      <c r="P2615" s="23" t="s">
        <v>79</v>
      </c>
    </row>
    <row r="2616" spans="2:28" x14ac:dyDescent="0.2">
      <c r="C2616" s="23">
        <v>1100485872</v>
      </c>
      <c r="E2616" s="23">
        <v>20</v>
      </c>
      <c r="F2616" s="23" t="s">
        <v>174</v>
      </c>
      <c r="G2616" s="23" t="s">
        <v>175</v>
      </c>
      <c r="H2616" s="24">
        <v>46387</v>
      </c>
      <c r="I2616" s="24">
        <v>46387</v>
      </c>
      <c r="J2616" s="23" t="s">
        <v>167</v>
      </c>
      <c r="K2616" s="23" t="s">
        <v>167</v>
      </c>
      <c r="L2616" s="23">
        <v>2</v>
      </c>
      <c r="M2616" s="23" t="s">
        <v>78</v>
      </c>
      <c r="N2616" s="23" t="s">
        <v>78</v>
      </c>
      <c r="O2616" s="23">
        <v>5960.66</v>
      </c>
      <c r="P2616" s="23" t="s">
        <v>79</v>
      </c>
      <c r="Q2616" s="23" t="s">
        <v>83</v>
      </c>
      <c r="S2616" s="24" t="s">
        <v>80</v>
      </c>
      <c r="T2616" s="24">
        <v>44838</v>
      </c>
      <c r="U2616" s="24">
        <v>45657</v>
      </c>
      <c r="X2616" s="24">
        <v>44838</v>
      </c>
      <c r="Y2616" s="23">
        <v>1111</v>
      </c>
      <c r="Z2616" s="23">
        <v>11100042</v>
      </c>
      <c r="AA2616" s="23">
        <v>3355</v>
      </c>
      <c r="AB2616" s="24">
        <v>44838</v>
      </c>
    </row>
    <row r="2617" spans="2:28" x14ac:dyDescent="0.2">
      <c r="C2617" s="23">
        <v>1100485872</v>
      </c>
      <c r="E2617" s="23">
        <v>40</v>
      </c>
      <c r="F2617" s="23" t="s">
        <v>176</v>
      </c>
      <c r="G2617" s="23" t="s">
        <v>177</v>
      </c>
      <c r="H2617" s="24">
        <v>46387</v>
      </c>
      <c r="I2617" s="24">
        <v>46387</v>
      </c>
      <c r="J2617" s="23" t="s">
        <v>167</v>
      </c>
      <c r="K2617" s="23" t="s">
        <v>167</v>
      </c>
      <c r="L2617" s="23">
        <v>1</v>
      </c>
      <c r="M2617" s="23" t="s">
        <v>78</v>
      </c>
      <c r="N2617" s="23" t="s">
        <v>78</v>
      </c>
      <c r="O2617" s="23">
        <v>2980.34</v>
      </c>
      <c r="P2617" s="23" t="s">
        <v>79</v>
      </c>
      <c r="Q2617" s="23" t="s">
        <v>83</v>
      </c>
      <c r="S2617" s="24" t="s">
        <v>80</v>
      </c>
      <c r="T2617" s="24">
        <v>44838</v>
      </c>
      <c r="U2617" s="24">
        <v>45657</v>
      </c>
      <c r="X2617" s="24">
        <v>44838</v>
      </c>
      <c r="Y2617" s="23">
        <v>1111</v>
      </c>
      <c r="Z2617" s="23">
        <v>11100042</v>
      </c>
      <c r="AA2617" s="23">
        <v>3355</v>
      </c>
      <c r="AB2617" s="24">
        <v>44838</v>
      </c>
    </row>
    <row r="2618" spans="2:28" x14ac:dyDescent="0.2">
      <c r="B2618" s="23" t="s">
        <v>81</v>
      </c>
      <c r="C2618" s="23">
        <v>1100485872</v>
      </c>
      <c r="H2618" s="24">
        <v>46387</v>
      </c>
      <c r="O2618" s="23">
        <v>8941</v>
      </c>
      <c r="P2618" s="23" t="s">
        <v>79</v>
      </c>
    </row>
    <row r="2619" spans="2:28" x14ac:dyDescent="0.2">
      <c r="C2619" s="23">
        <v>1100501959</v>
      </c>
      <c r="E2619" s="23">
        <v>20</v>
      </c>
      <c r="F2619" s="23" t="s">
        <v>192</v>
      </c>
      <c r="G2619" s="23" t="s">
        <v>198</v>
      </c>
      <c r="H2619" s="24">
        <v>46387</v>
      </c>
      <c r="I2619" s="24">
        <v>46387</v>
      </c>
      <c r="J2619" s="23" t="s">
        <v>157</v>
      </c>
      <c r="K2619" s="23" t="s">
        <v>157</v>
      </c>
      <c r="L2619" s="23">
        <v>1</v>
      </c>
      <c r="M2619" s="23" t="s">
        <v>78</v>
      </c>
      <c r="N2619" s="23" t="s">
        <v>78</v>
      </c>
      <c r="O2619" s="23">
        <v>0</v>
      </c>
      <c r="P2619" s="23" t="s">
        <v>79</v>
      </c>
      <c r="Q2619" s="23" t="s">
        <v>83</v>
      </c>
      <c r="S2619" s="24" t="s">
        <v>80</v>
      </c>
      <c r="T2619" s="24">
        <v>45071</v>
      </c>
      <c r="U2619" s="24">
        <v>45657</v>
      </c>
      <c r="X2619" s="24">
        <v>45071</v>
      </c>
      <c r="Y2619" s="23">
        <v>1111</v>
      </c>
      <c r="Z2619" s="23">
        <v>11100042</v>
      </c>
      <c r="AA2619" s="23">
        <v>3353</v>
      </c>
      <c r="AB2619" s="24">
        <v>45071</v>
      </c>
    </row>
    <row r="2620" spans="2:28" x14ac:dyDescent="0.2">
      <c r="B2620" s="23" t="s">
        <v>81</v>
      </c>
      <c r="C2620" s="23">
        <v>1100501959</v>
      </c>
      <c r="H2620" s="24">
        <v>46387</v>
      </c>
      <c r="O2620" s="23">
        <v>0</v>
      </c>
      <c r="P2620" s="23" t="s">
        <v>79</v>
      </c>
    </row>
    <row r="2621" spans="2:28" x14ac:dyDescent="0.2">
      <c r="C2621" s="23">
        <v>1100503384</v>
      </c>
      <c r="E2621" s="23">
        <v>20</v>
      </c>
      <c r="F2621" s="23" t="s">
        <v>192</v>
      </c>
      <c r="G2621" s="23" t="s">
        <v>201</v>
      </c>
      <c r="H2621" s="24">
        <v>46387</v>
      </c>
      <c r="I2621" s="24">
        <v>46387</v>
      </c>
      <c r="J2621" s="23" t="s">
        <v>157</v>
      </c>
      <c r="K2621" s="23" t="s">
        <v>157</v>
      </c>
      <c r="L2621" s="23">
        <v>6</v>
      </c>
      <c r="M2621" s="23" t="s">
        <v>78</v>
      </c>
      <c r="N2621" s="23" t="s">
        <v>78</v>
      </c>
      <c r="O2621" s="23">
        <v>0</v>
      </c>
      <c r="P2621" s="23" t="s">
        <v>79</v>
      </c>
      <c r="Q2621" s="23" t="s">
        <v>83</v>
      </c>
      <c r="S2621" s="24" t="s">
        <v>80</v>
      </c>
      <c r="T2621" s="24">
        <v>45092</v>
      </c>
      <c r="U2621" s="24">
        <v>45657</v>
      </c>
      <c r="X2621" s="24">
        <v>45092</v>
      </c>
      <c r="Y2621" s="23">
        <v>1111</v>
      </c>
      <c r="Z2621" s="23">
        <v>11100042</v>
      </c>
      <c r="AA2621" s="23">
        <v>3355</v>
      </c>
      <c r="AB2621" s="24">
        <v>45092</v>
      </c>
    </row>
    <row r="2622" spans="2:28" x14ac:dyDescent="0.2">
      <c r="B2622" s="23" t="s">
        <v>81</v>
      </c>
      <c r="C2622" s="23">
        <v>1100503384</v>
      </c>
      <c r="H2622" s="24">
        <v>46387</v>
      </c>
      <c r="O2622" s="23">
        <v>0</v>
      </c>
      <c r="P2622" s="23" t="s">
        <v>79</v>
      </c>
    </row>
    <row r="2623" spans="2:28" x14ac:dyDescent="0.2">
      <c r="C2623" s="23">
        <v>1100519531</v>
      </c>
      <c r="E2623" s="23">
        <v>10</v>
      </c>
      <c r="F2623" s="23" t="s">
        <v>130</v>
      </c>
      <c r="G2623" s="23" t="s">
        <v>226</v>
      </c>
      <c r="H2623" s="24">
        <v>46387</v>
      </c>
      <c r="I2623" s="24">
        <v>46387</v>
      </c>
      <c r="J2623" s="23" t="s">
        <v>227</v>
      </c>
      <c r="K2623" s="23" t="s">
        <v>227</v>
      </c>
      <c r="L2623" s="23">
        <v>1</v>
      </c>
      <c r="M2623" s="23" t="s">
        <v>131</v>
      </c>
      <c r="N2623" s="23" t="s">
        <v>131</v>
      </c>
      <c r="O2623" s="23">
        <v>0</v>
      </c>
      <c r="P2623" s="23" t="s">
        <v>79</v>
      </c>
      <c r="Q2623" s="23" t="s">
        <v>83</v>
      </c>
      <c r="S2623" s="24" t="s">
        <v>80</v>
      </c>
      <c r="T2623" s="24">
        <v>45331</v>
      </c>
      <c r="U2623" s="24" t="s">
        <v>80</v>
      </c>
      <c r="X2623" s="24">
        <v>45331</v>
      </c>
      <c r="Y2623" s="23">
        <v>1111</v>
      </c>
      <c r="Z2623" s="23">
        <v>11400797</v>
      </c>
      <c r="AA2623" s="23">
        <v>5051</v>
      </c>
      <c r="AB2623" s="24">
        <v>45331</v>
      </c>
    </row>
    <row r="2624" spans="2:28" x14ac:dyDescent="0.2">
      <c r="B2624" s="23" t="s">
        <v>81</v>
      </c>
      <c r="C2624" s="23">
        <v>1100519531</v>
      </c>
      <c r="H2624" s="24">
        <v>46387</v>
      </c>
      <c r="O2624" s="23">
        <v>0</v>
      </c>
      <c r="P2624" s="23" t="s">
        <v>79</v>
      </c>
    </row>
    <row r="2625" spans="2:28" x14ac:dyDescent="0.2">
      <c r="C2625" s="23">
        <v>1100519670</v>
      </c>
      <c r="E2625" s="23">
        <v>10</v>
      </c>
      <c r="F2625" s="23" t="s">
        <v>130</v>
      </c>
      <c r="G2625" s="23" t="s">
        <v>228</v>
      </c>
      <c r="H2625" s="24">
        <v>46387</v>
      </c>
      <c r="I2625" s="24">
        <v>46387</v>
      </c>
      <c r="J2625" s="23" t="s">
        <v>225</v>
      </c>
      <c r="K2625" s="23" t="s">
        <v>225</v>
      </c>
      <c r="L2625" s="23">
        <v>1</v>
      </c>
      <c r="M2625" s="23" t="s">
        <v>131</v>
      </c>
      <c r="N2625" s="23" t="s">
        <v>131</v>
      </c>
      <c r="O2625" s="23">
        <v>0</v>
      </c>
      <c r="P2625" s="23" t="s">
        <v>79</v>
      </c>
      <c r="Q2625" s="23" t="s">
        <v>83</v>
      </c>
      <c r="S2625" s="24" t="s">
        <v>80</v>
      </c>
      <c r="T2625" s="24">
        <v>45334</v>
      </c>
      <c r="U2625" s="24" t="s">
        <v>80</v>
      </c>
      <c r="X2625" s="24">
        <v>45334</v>
      </c>
      <c r="Y2625" s="23">
        <v>1111</v>
      </c>
      <c r="Z2625" s="23">
        <v>11400797</v>
      </c>
      <c r="AA2625" s="23">
        <v>3312</v>
      </c>
      <c r="AB2625" s="24">
        <v>45334</v>
      </c>
    </row>
    <row r="2626" spans="2:28" x14ac:dyDescent="0.2">
      <c r="B2626" s="23" t="s">
        <v>81</v>
      </c>
      <c r="C2626" s="23">
        <v>1100519670</v>
      </c>
      <c r="H2626" s="24">
        <v>46387</v>
      </c>
      <c r="O2626" s="23">
        <v>0</v>
      </c>
      <c r="P2626" s="23" t="s">
        <v>79</v>
      </c>
    </row>
    <row r="2627" spans="2:28" x14ac:dyDescent="0.2">
      <c r="C2627" s="23">
        <v>1100520980</v>
      </c>
      <c r="E2627" s="23">
        <v>10</v>
      </c>
      <c r="F2627" s="23" t="s">
        <v>130</v>
      </c>
      <c r="G2627" s="23" t="s">
        <v>233</v>
      </c>
      <c r="H2627" s="24">
        <v>46387</v>
      </c>
      <c r="I2627" s="24">
        <v>46387</v>
      </c>
      <c r="J2627" s="23" t="s">
        <v>231</v>
      </c>
      <c r="K2627" s="23" t="s">
        <v>231</v>
      </c>
      <c r="L2627" s="23">
        <v>1</v>
      </c>
      <c r="M2627" s="23" t="s">
        <v>131</v>
      </c>
      <c r="N2627" s="23" t="s">
        <v>131</v>
      </c>
      <c r="O2627" s="23">
        <v>0</v>
      </c>
      <c r="P2627" s="23" t="s">
        <v>79</v>
      </c>
      <c r="Q2627" s="23" t="s">
        <v>83</v>
      </c>
      <c r="S2627" s="24" t="s">
        <v>80</v>
      </c>
      <c r="T2627" s="24">
        <v>45350</v>
      </c>
      <c r="U2627" s="24" t="s">
        <v>80</v>
      </c>
      <c r="X2627" s="24">
        <v>45350</v>
      </c>
      <c r="Y2627" s="23">
        <v>1111</v>
      </c>
      <c r="Z2627" s="23">
        <v>11400797</v>
      </c>
      <c r="AA2627" s="23">
        <v>5151</v>
      </c>
      <c r="AB2627" s="24">
        <v>45350</v>
      </c>
    </row>
    <row r="2628" spans="2:28" x14ac:dyDescent="0.2">
      <c r="B2628" s="23" t="s">
        <v>81</v>
      </c>
      <c r="C2628" s="23">
        <v>1100520980</v>
      </c>
      <c r="H2628" s="24">
        <v>46387</v>
      </c>
      <c r="O2628" s="23">
        <v>0</v>
      </c>
      <c r="P2628" s="23" t="s">
        <v>79</v>
      </c>
    </row>
    <row r="2629" spans="2:28" x14ac:dyDescent="0.2">
      <c r="C2629" s="23">
        <v>1100525667</v>
      </c>
      <c r="E2629" s="23">
        <v>10</v>
      </c>
      <c r="F2629" s="23" t="s">
        <v>130</v>
      </c>
      <c r="G2629" s="23" t="s">
        <v>243</v>
      </c>
      <c r="H2629" s="24">
        <v>46387</v>
      </c>
      <c r="I2629" s="24">
        <v>46387</v>
      </c>
      <c r="J2629" s="23" t="s">
        <v>113</v>
      </c>
      <c r="K2629" s="23" t="s">
        <v>113</v>
      </c>
      <c r="L2629" s="23">
        <v>1</v>
      </c>
      <c r="M2629" s="23" t="s">
        <v>131</v>
      </c>
      <c r="N2629" s="23" t="s">
        <v>131</v>
      </c>
      <c r="O2629" s="23">
        <v>0</v>
      </c>
      <c r="P2629" s="23" t="s">
        <v>79</v>
      </c>
      <c r="Q2629" s="23" t="s">
        <v>83</v>
      </c>
      <c r="S2629" s="24" t="s">
        <v>80</v>
      </c>
      <c r="T2629" s="24">
        <v>45415</v>
      </c>
      <c r="U2629" s="24" t="s">
        <v>80</v>
      </c>
      <c r="X2629" s="24">
        <v>45415</v>
      </c>
      <c r="Y2629" s="23">
        <v>1111</v>
      </c>
      <c r="Z2629" s="23">
        <v>11400797</v>
      </c>
      <c r="AA2629" s="23">
        <v>3350</v>
      </c>
      <c r="AB2629" s="24">
        <v>45415</v>
      </c>
    </row>
    <row r="2630" spans="2:28" x14ac:dyDescent="0.2">
      <c r="B2630" s="23" t="s">
        <v>81</v>
      </c>
      <c r="C2630" s="23">
        <v>1100525667</v>
      </c>
      <c r="H2630" s="24">
        <v>46387</v>
      </c>
      <c r="O2630" s="23">
        <v>0</v>
      </c>
      <c r="P2630" s="23" t="s">
        <v>79</v>
      </c>
    </row>
    <row r="2631" spans="2:28" x14ac:dyDescent="0.2">
      <c r="C2631" s="23">
        <v>1100527878</v>
      </c>
      <c r="E2631" s="23">
        <v>10</v>
      </c>
      <c r="F2631" s="23" t="s">
        <v>130</v>
      </c>
      <c r="G2631" s="23" t="s">
        <v>250</v>
      </c>
      <c r="H2631" s="24">
        <v>46387</v>
      </c>
      <c r="I2631" s="24">
        <v>46387</v>
      </c>
      <c r="J2631" s="23" t="s">
        <v>120</v>
      </c>
      <c r="K2631" s="23" t="s">
        <v>120</v>
      </c>
      <c r="L2631" s="23">
        <v>1</v>
      </c>
      <c r="M2631" s="23" t="s">
        <v>131</v>
      </c>
      <c r="N2631" s="23" t="s">
        <v>131</v>
      </c>
      <c r="O2631" s="23">
        <v>0</v>
      </c>
      <c r="P2631" s="23" t="s">
        <v>79</v>
      </c>
      <c r="Q2631" s="23" t="s">
        <v>83</v>
      </c>
      <c r="S2631" s="24" t="s">
        <v>80</v>
      </c>
      <c r="T2631" s="24">
        <v>45450</v>
      </c>
      <c r="U2631" s="24" t="s">
        <v>80</v>
      </c>
      <c r="X2631" s="24">
        <v>45450</v>
      </c>
      <c r="Y2631" s="23">
        <v>1111</v>
      </c>
      <c r="Z2631" s="23">
        <v>11400797</v>
      </c>
      <c r="AA2631" s="23">
        <v>3951</v>
      </c>
      <c r="AB2631" s="24">
        <v>45450</v>
      </c>
    </row>
    <row r="2632" spans="2:28" x14ac:dyDescent="0.2">
      <c r="B2632" s="23" t="s">
        <v>81</v>
      </c>
      <c r="C2632" s="23">
        <v>1100527878</v>
      </c>
      <c r="H2632" s="24">
        <v>46387</v>
      </c>
      <c r="O2632" s="23">
        <v>0</v>
      </c>
      <c r="P2632" s="23" t="s">
        <v>79</v>
      </c>
    </row>
    <row r="2633" spans="2:28" x14ac:dyDescent="0.2">
      <c r="C2633" s="23">
        <v>1100528739</v>
      </c>
      <c r="E2633" s="23">
        <v>10</v>
      </c>
      <c r="F2633" s="23" t="s">
        <v>130</v>
      </c>
      <c r="G2633" s="23" t="s">
        <v>251</v>
      </c>
      <c r="H2633" s="24">
        <v>46387</v>
      </c>
      <c r="I2633" s="24">
        <v>46387</v>
      </c>
      <c r="J2633" s="23" t="s">
        <v>215</v>
      </c>
      <c r="K2633" s="23" t="s">
        <v>215</v>
      </c>
      <c r="L2633" s="23">
        <v>1</v>
      </c>
      <c r="M2633" s="23" t="s">
        <v>131</v>
      </c>
      <c r="N2633" s="23" t="s">
        <v>131</v>
      </c>
      <c r="O2633" s="23">
        <v>0</v>
      </c>
      <c r="P2633" s="23" t="s">
        <v>79</v>
      </c>
      <c r="Q2633" s="23" t="s">
        <v>83</v>
      </c>
      <c r="R2633" s="23">
        <v>11100008</v>
      </c>
      <c r="S2633" s="24" t="s">
        <v>80</v>
      </c>
      <c r="T2633" s="24">
        <v>45463</v>
      </c>
      <c r="U2633" s="24" t="s">
        <v>80</v>
      </c>
      <c r="X2633" s="24">
        <v>45463</v>
      </c>
      <c r="Y2633" s="23">
        <v>1111</v>
      </c>
      <c r="Z2633" s="23">
        <v>11400797</v>
      </c>
      <c r="AA2633" s="23">
        <v>5050</v>
      </c>
      <c r="AB2633" s="24">
        <v>45463</v>
      </c>
    </row>
    <row r="2634" spans="2:28" x14ac:dyDescent="0.2">
      <c r="B2634" s="23" t="s">
        <v>81</v>
      </c>
      <c r="C2634" s="23">
        <v>1100528739</v>
      </c>
      <c r="H2634" s="24">
        <v>46387</v>
      </c>
      <c r="O2634" s="23">
        <v>0</v>
      </c>
      <c r="P2634" s="23" t="s">
        <v>79</v>
      </c>
    </row>
    <row r="2635" spans="2:28" x14ac:dyDescent="0.2">
      <c r="C2635" s="23">
        <v>1100539279</v>
      </c>
      <c r="E2635" s="23">
        <v>30</v>
      </c>
      <c r="F2635" s="23" t="s">
        <v>82</v>
      </c>
      <c r="G2635" s="23" t="s">
        <v>139</v>
      </c>
      <c r="H2635" s="24">
        <v>46387</v>
      </c>
      <c r="I2635" s="24">
        <v>46387</v>
      </c>
      <c r="J2635" s="23" t="s">
        <v>388</v>
      </c>
      <c r="K2635" s="23" t="s">
        <v>388</v>
      </c>
      <c r="L2635" s="23">
        <v>1</v>
      </c>
      <c r="M2635" s="23" t="s">
        <v>78</v>
      </c>
      <c r="N2635" s="23" t="s">
        <v>78</v>
      </c>
      <c r="O2635" s="23">
        <v>0.01</v>
      </c>
      <c r="P2635" s="23" t="s">
        <v>79</v>
      </c>
      <c r="Q2635" s="23" t="s">
        <v>83</v>
      </c>
      <c r="R2635" s="23">
        <v>11100008</v>
      </c>
      <c r="S2635" s="24" t="s">
        <v>80</v>
      </c>
      <c r="T2635" s="24">
        <v>45629</v>
      </c>
      <c r="U2635" s="24">
        <v>45632</v>
      </c>
      <c r="X2635" s="24">
        <v>45628</v>
      </c>
      <c r="Y2635" s="23">
        <v>1111</v>
      </c>
      <c r="Z2635" s="23">
        <v>11400811</v>
      </c>
      <c r="AA2635" s="23">
        <v>3951</v>
      </c>
      <c r="AB2635" s="24">
        <v>45628</v>
      </c>
    </row>
    <row r="2636" spans="2:28" x14ac:dyDescent="0.2">
      <c r="B2636" s="23" t="s">
        <v>81</v>
      </c>
      <c r="C2636" s="23">
        <v>1100539279</v>
      </c>
      <c r="H2636" s="24">
        <v>46387</v>
      </c>
      <c r="O2636" s="23">
        <v>0.01</v>
      </c>
      <c r="P2636" s="23" t="s">
        <v>79</v>
      </c>
    </row>
    <row r="2637" spans="2:28" x14ac:dyDescent="0.2">
      <c r="C2637" s="23">
        <v>1100539744</v>
      </c>
      <c r="E2637" s="23">
        <v>20</v>
      </c>
      <c r="F2637" s="23" t="s">
        <v>82</v>
      </c>
      <c r="G2637" s="23" t="s">
        <v>139</v>
      </c>
      <c r="H2637" s="24">
        <v>46387</v>
      </c>
      <c r="I2637" s="24">
        <v>46387</v>
      </c>
      <c r="J2637" s="23" t="s">
        <v>393</v>
      </c>
      <c r="K2637" s="23" t="s">
        <v>393</v>
      </c>
      <c r="L2637" s="23">
        <v>1</v>
      </c>
      <c r="M2637" s="23" t="s">
        <v>78</v>
      </c>
      <c r="N2637" s="23" t="s">
        <v>78</v>
      </c>
      <c r="O2637" s="23">
        <v>0.01</v>
      </c>
      <c r="P2637" s="23" t="s">
        <v>79</v>
      </c>
      <c r="Q2637" s="23" t="s">
        <v>83</v>
      </c>
      <c r="R2637" s="23">
        <v>11100299</v>
      </c>
      <c r="S2637" s="24" t="s">
        <v>80</v>
      </c>
      <c r="T2637" s="24">
        <v>45636</v>
      </c>
      <c r="U2637" s="24">
        <v>45643</v>
      </c>
      <c r="X2637" s="24">
        <v>45636</v>
      </c>
      <c r="Y2637" s="23">
        <v>1111</v>
      </c>
      <c r="Z2637" s="23">
        <v>11400745</v>
      </c>
      <c r="AA2637" s="23">
        <v>3351</v>
      </c>
      <c r="AB2637" s="24">
        <v>45636</v>
      </c>
    </row>
    <row r="2638" spans="2:28" x14ac:dyDescent="0.2">
      <c r="B2638" s="23" t="s">
        <v>81</v>
      </c>
      <c r="C2638" s="23">
        <v>1100539744</v>
      </c>
      <c r="H2638" s="24">
        <v>46387</v>
      </c>
      <c r="O2638" s="23">
        <v>0.01</v>
      </c>
      <c r="P2638" s="23" t="s">
        <v>79</v>
      </c>
    </row>
    <row r="2639" spans="2:28" x14ac:dyDescent="0.2">
      <c r="C2639" s="23">
        <v>1100540153</v>
      </c>
      <c r="E2639" s="23">
        <v>20</v>
      </c>
      <c r="F2639" s="23" t="s">
        <v>82</v>
      </c>
      <c r="G2639" s="23" t="s">
        <v>139</v>
      </c>
      <c r="H2639" s="24">
        <v>46387</v>
      </c>
      <c r="I2639" s="24">
        <v>46387</v>
      </c>
      <c r="J2639" s="23" t="s">
        <v>417</v>
      </c>
      <c r="K2639" s="23" t="s">
        <v>417</v>
      </c>
      <c r="L2639" s="23">
        <v>1</v>
      </c>
      <c r="M2639" s="23" t="s">
        <v>78</v>
      </c>
      <c r="N2639" s="23" t="s">
        <v>78</v>
      </c>
      <c r="O2639" s="23">
        <v>0.01</v>
      </c>
      <c r="P2639" s="23" t="s">
        <v>79</v>
      </c>
      <c r="Q2639" s="23" t="s">
        <v>83</v>
      </c>
      <c r="R2639" s="23">
        <v>11100008</v>
      </c>
      <c r="S2639" s="24" t="s">
        <v>80</v>
      </c>
      <c r="T2639" s="24">
        <v>45643</v>
      </c>
      <c r="U2639" s="24">
        <v>45649</v>
      </c>
      <c r="X2639" s="24">
        <v>45621</v>
      </c>
      <c r="Y2639" s="23">
        <v>1111</v>
      </c>
      <c r="Z2639" s="23">
        <v>11400745</v>
      </c>
      <c r="AA2639" s="23">
        <v>3351</v>
      </c>
      <c r="AB2639" s="24">
        <v>45616</v>
      </c>
    </row>
    <row r="2640" spans="2:28" x14ac:dyDescent="0.2">
      <c r="B2640" s="23" t="s">
        <v>81</v>
      </c>
      <c r="C2640" s="23">
        <v>1100540153</v>
      </c>
      <c r="H2640" s="24">
        <v>46387</v>
      </c>
      <c r="O2640" s="23">
        <v>0.01</v>
      </c>
      <c r="P2640" s="23" t="s">
        <v>79</v>
      </c>
    </row>
    <row r="2641" spans="2:28" x14ac:dyDescent="0.2">
      <c r="C2641" s="23">
        <v>1100458186</v>
      </c>
      <c r="E2641" s="23">
        <v>10</v>
      </c>
      <c r="F2641" s="23" t="s">
        <v>130</v>
      </c>
      <c r="G2641" s="23" t="s">
        <v>140</v>
      </c>
      <c r="H2641" s="24">
        <v>46752</v>
      </c>
      <c r="I2641" s="24">
        <v>46752</v>
      </c>
      <c r="J2641" s="23" t="s">
        <v>145</v>
      </c>
      <c r="K2641" s="23" t="s">
        <v>145</v>
      </c>
      <c r="L2641" s="23">
        <v>1</v>
      </c>
      <c r="M2641" s="23" t="s">
        <v>131</v>
      </c>
      <c r="N2641" s="23" t="s">
        <v>131</v>
      </c>
      <c r="O2641" s="23">
        <v>0</v>
      </c>
      <c r="P2641" s="23" t="s">
        <v>79</v>
      </c>
      <c r="Q2641" s="23" t="s">
        <v>83</v>
      </c>
      <c r="S2641" s="24" t="s">
        <v>80</v>
      </c>
      <c r="T2641" s="24">
        <v>44461</v>
      </c>
      <c r="U2641" s="24" t="s">
        <v>80</v>
      </c>
      <c r="X2641" s="24">
        <v>44461</v>
      </c>
      <c r="Y2641" s="23">
        <v>1111</v>
      </c>
      <c r="Z2641" s="23">
        <v>11400606</v>
      </c>
      <c r="AA2641" s="23">
        <v>3301</v>
      </c>
      <c r="AB2641" s="24">
        <v>44461</v>
      </c>
    </row>
    <row r="2642" spans="2:28" x14ac:dyDescent="0.2">
      <c r="B2642" s="23" t="s">
        <v>81</v>
      </c>
      <c r="C2642" s="23">
        <v>1100458186</v>
      </c>
      <c r="H2642" s="24">
        <v>46752</v>
      </c>
      <c r="O2642" s="23">
        <v>0</v>
      </c>
      <c r="P2642" s="23" t="s">
        <v>79</v>
      </c>
    </row>
    <row r="2643" spans="2:28" x14ac:dyDescent="0.2">
      <c r="C2643" s="23">
        <v>1100458743</v>
      </c>
      <c r="E2643" s="23">
        <v>10</v>
      </c>
      <c r="F2643" s="23" t="s">
        <v>130</v>
      </c>
      <c r="G2643" s="23" t="s">
        <v>141</v>
      </c>
      <c r="H2643" s="24">
        <v>46752</v>
      </c>
      <c r="I2643" s="24">
        <v>46752</v>
      </c>
      <c r="J2643" s="23" t="s">
        <v>134</v>
      </c>
      <c r="K2643" s="23" t="s">
        <v>134</v>
      </c>
      <c r="L2643" s="23">
        <v>1</v>
      </c>
      <c r="M2643" s="23" t="s">
        <v>131</v>
      </c>
      <c r="N2643" s="23" t="s">
        <v>131</v>
      </c>
      <c r="O2643" s="23">
        <v>0</v>
      </c>
      <c r="P2643" s="23" t="s">
        <v>79</v>
      </c>
      <c r="Q2643" s="23" t="s">
        <v>83</v>
      </c>
      <c r="R2643" s="23">
        <v>11100008</v>
      </c>
      <c r="S2643" s="24">
        <v>44468</v>
      </c>
      <c r="T2643" s="24">
        <v>44468</v>
      </c>
      <c r="U2643" s="24">
        <v>44470</v>
      </c>
      <c r="X2643" s="24">
        <v>44468</v>
      </c>
      <c r="Y2643" s="23">
        <v>1111</v>
      </c>
      <c r="Z2643" s="23">
        <v>11400005</v>
      </c>
      <c r="AA2643" s="23">
        <v>3301</v>
      </c>
      <c r="AB2643" s="24">
        <v>44468</v>
      </c>
    </row>
    <row r="2644" spans="2:28" x14ac:dyDescent="0.2">
      <c r="B2644" s="23" t="s">
        <v>81</v>
      </c>
      <c r="C2644" s="23">
        <v>1100458743</v>
      </c>
      <c r="H2644" s="24">
        <v>46752</v>
      </c>
      <c r="O2644" s="23">
        <v>0</v>
      </c>
      <c r="P2644" s="23" t="s">
        <v>79</v>
      </c>
    </row>
    <row r="2645" spans="2:28" x14ac:dyDescent="0.2">
      <c r="C2645" s="23">
        <v>1100461506</v>
      </c>
      <c r="E2645" s="23">
        <v>10</v>
      </c>
      <c r="F2645" s="23" t="s">
        <v>130</v>
      </c>
      <c r="G2645" s="23" t="s">
        <v>143</v>
      </c>
      <c r="H2645" s="24">
        <v>46752</v>
      </c>
      <c r="I2645" s="24">
        <v>46752</v>
      </c>
      <c r="J2645" s="23" t="s">
        <v>126</v>
      </c>
      <c r="K2645" s="23" t="s">
        <v>126</v>
      </c>
      <c r="L2645" s="23">
        <v>1</v>
      </c>
      <c r="M2645" s="23" t="s">
        <v>131</v>
      </c>
      <c r="N2645" s="23" t="s">
        <v>131</v>
      </c>
      <c r="O2645" s="23">
        <v>0</v>
      </c>
      <c r="P2645" s="23" t="s">
        <v>79</v>
      </c>
      <c r="Q2645" s="23" t="s">
        <v>83</v>
      </c>
      <c r="S2645" s="24">
        <v>44504</v>
      </c>
      <c r="T2645" s="24">
        <v>44504</v>
      </c>
      <c r="U2645" s="24" t="s">
        <v>80</v>
      </c>
      <c r="X2645" s="24">
        <v>44504</v>
      </c>
      <c r="Y2645" s="23">
        <v>1111</v>
      </c>
      <c r="Z2645" s="23">
        <v>11400672</v>
      </c>
      <c r="AA2645" s="23">
        <v>5012</v>
      </c>
      <c r="AB2645" s="24">
        <v>44504</v>
      </c>
    </row>
    <row r="2646" spans="2:28" x14ac:dyDescent="0.2">
      <c r="B2646" s="23" t="s">
        <v>81</v>
      </c>
      <c r="C2646" s="23">
        <v>1100461506</v>
      </c>
      <c r="H2646" s="24">
        <v>46752</v>
      </c>
      <c r="O2646" s="23">
        <v>0</v>
      </c>
      <c r="P2646" s="23" t="s">
        <v>79</v>
      </c>
    </row>
    <row r="2647" spans="2:28" x14ac:dyDescent="0.2">
      <c r="C2647" s="23">
        <v>1100472980</v>
      </c>
      <c r="E2647" s="23">
        <v>10</v>
      </c>
      <c r="F2647" s="23" t="s">
        <v>178</v>
      </c>
      <c r="G2647" s="23" t="s">
        <v>179</v>
      </c>
      <c r="H2647" s="24">
        <v>46752</v>
      </c>
      <c r="I2647" s="24">
        <v>46752</v>
      </c>
      <c r="J2647" s="23" t="s">
        <v>92</v>
      </c>
      <c r="K2647" s="23" t="s">
        <v>92</v>
      </c>
      <c r="L2647" s="23">
        <v>1</v>
      </c>
      <c r="M2647" s="23" t="s">
        <v>78</v>
      </c>
      <c r="N2647" s="23" t="s">
        <v>78</v>
      </c>
      <c r="O2647" s="23">
        <v>0</v>
      </c>
      <c r="P2647" s="23" t="s">
        <v>79</v>
      </c>
      <c r="Q2647" s="23" t="s">
        <v>83</v>
      </c>
      <c r="R2647" s="23">
        <v>11100189</v>
      </c>
      <c r="S2647" s="24" t="s">
        <v>80</v>
      </c>
      <c r="T2647" s="24">
        <v>44661</v>
      </c>
      <c r="U2647" s="24">
        <v>45657</v>
      </c>
      <c r="X2647" s="24" t="s">
        <v>80</v>
      </c>
      <c r="Y2647" s="23">
        <v>1111</v>
      </c>
      <c r="Z2647" s="23">
        <v>11100042</v>
      </c>
      <c r="AA2647" s="23">
        <v>5155</v>
      </c>
      <c r="AB2647" s="24" t="s">
        <v>80</v>
      </c>
    </row>
    <row r="2648" spans="2:28" x14ac:dyDescent="0.2">
      <c r="B2648" s="23" t="s">
        <v>81</v>
      </c>
      <c r="C2648" s="23">
        <v>1100472980</v>
      </c>
      <c r="H2648" s="24">
        <v>46752</v>
      </c>
      <c r="O2648" s="23">
        <v>0</v>
      </c>
      <c r="P2648" s="23" t="s">
        <v>79</v>
      </c>
    </row>
    <row r="2649" spans="2:28" x14ac:dyDescent="0.2">
      <c r="C2649" s="23">
        <v>1100481385</v>
      </c>
      <c r="E2649" s="23">
        <v>10</v>
      </c>
      <c r="F2649" s="23" t="s">
        <v>171</v>
      </c>
      <c r="G2649" s="23" t="s">
        <v>172</v>
      </c>
      <c r="H2649" s="24">
        <v>46752</v>
      </c>
      <c r="I2649" s="24">
        <v>46752</v>
      </c>
      <c r="J2649" s="23" t="s">
        <v>173</v>
      </c>
      <c r="K2649" s="23" t="s">
        <v>173</v>
      </c>
      <c r="L2649" s="23">
        <v>1</v>
      </c>
      <c r="M2649" s="23" t="s">
        <v>78</v>
      </c>
      <c r="N2649" s="23" t="s">
        <v>78</v>
      </c>
      <c r="O2649" s="23">
        <v>0.01</v>
      </c>
      <c r="P2649" s="23" t="s">
        <v>79</v>
      </c>
      <c r="Q2649" s="23" t="s">
        <v>83</v>
      </c>
      <c r="S2649" s="24" t="s">
        <v>80</v>
      </c>
      <c r="T2649" s="24">
        <v>44776</v>
      </c>
      <c r="U2649" s="24">
        <v>44796</v>
      </c>
      <c r="X2649" s="24">
        <v>44776</v>
      </c>
      <c r="Y2649" s="23">
        <v>1111</v>
      </c>
      <c r="Z2649" s="23">
        <v>11100042</v>
      </c>
      <c r="AA2649" s="23">
        <v>5055</v>
      </c>
      <c r="AB2649" s="24">
        <v>44776</v>
      </c>
    </row>
    <row r="2650" spans="2:28" x14ac:dyDescent="0.2">
      <c r="B2650" s="23" t="s">
        <v>81</v>
      </c>
      <c r="C2650" s="23">
        <v>1100481385</v>
      </c>
      <c r="H2650" s="24">
        <v>46752</v>
      </c>
      <c r="O2650" s="23">
        <v>0.01</v>
      </c>
      <c r="P2650" s="23" t="s">
        <v>79</v>
      </c>
    </row>
    <row r="2651" spans="2:28" x14ac:dyDescent="0.2">
      <c r="C2651" s="23">
        <v>1100498618</v>
      </c>
      <c r="E2651" s="23">
        <v>10</v>
      </c>
      <c r="F2651" s="23" t="s">
        <v>130</v>
      </c>
      <c r="G2651" s="23" t="s">
        <v>202</v>
      </c>
      <c r="H2651" s="24">
        <v>46752</v>
      </c>
      <c r="I2651" s="24">
        <v>46752</v>
      </c>
      <c r="J2651" s="23" t="s">
        <v>190</v>
      </c>
      <c r="K2651" s="23" t="s">
        <v>190</v>
      </c>
      <c r="L2651" s="23">
        <v>1</v>
      </c>
      <c r="M2651" s="23" t="s">
        <v>131</v>
      </c>
      <c r="N2651" s="23" t="s">
        <v>131</v>
      </c>
      <c r="O2651" s="23">
        <v>0</v>
      </c>
      <c r="P2651" s="23" t="s">
        <v>79</v>
      </c>
      <c r="Q2651" s="23" t="s">
        <v>83</v>
      </c>
      <c r="S2651" s="24" t="s">
        <v>80</v>
      </c>
      <c r="T2651" s="24">
        <v>45026</v>
      </c>
      <c r="U2651" s="24">
        <v>46022</v>
      </c>
      <c r="X2651" s="24">
        <v>45026</v>
      </c>
      <c r="Y2651" s="23">
        <v>1111</v>
      </c>
      <c r="Z2651" s="23">
        <v>11400789</v>
      </c>
      <c r="AA2651" s="23">
        <v>3951</v>
      </c>
      <c r="AB2651" s="24">
        <v>45026</v>
      </c>
    </row>
    <row r="2652" spans="2:28" x14ac:dyDescent="0.2">
      <c r="B2652" s="23" t="s">
        <v>81</v>
      </c>
      <c r="C2652" s="23">
        <v>1100498618</v>
      </c>
      <c r="H2652" s="24">
        <v>46752</v>
      </c>
      <c r="O2652" s="23">
        <v>0</v>
      </c>
      <c r="P2652" s="23" t="s">
        <v>79</v>
      </c>
    </row>
    <row r="2653" spans="2:28" x14ac:dyDescent="0.2">
      <c r="C2653" s="23">
        <v>1100499842</v>
      </c>
      <c r="E2653" s="23">
        <v>20</v>
      </c>
      <c r="F2653" s="23" t="s">
        <v>136</v>
      </c>
      <c r="G2653" s="23" t="s">
        <v>137</v>
      </c>
      <c r="H2653" s="24">
        <v>46752</v>
      </c>
      <c r="I2653" s="24">
        <v>46752</v>
      </c>
      <c r="J2653" s="23" t="s">
        <v>166</v>
      </c>
      <c r="K2653" s="23" t="s">
        <v>166</v>
      </c>
      <c r="L2653" s="23">
        <v>1</v>
      </c>
      <c r="M2653" s="23" t="s">
        <v>78</v>
      </c>
      <c r="N2653" s="23" t="s">
        <v>78</v>
      </c>
      <c r="O2653" s="23">
        <v>2537</v>
      </c>
      <c r="P2653" s="23" t="s">
        <v>79</v>
      </c>
      <c r="Q2653" s="23" t="s">
        <v>83</v>
      </c>
      <c r="S2653" s="24" t="s">
        <v>80</v>
      </c>
      <c r="T2653" s="24">
        <v>45042</v>
      </c>
      <c r="U2653" s="24">
        <v>45657</v>
      </c>
      <c r="X2653" s="24">
        <v>45037</v>
      </c>
      <c r="Y2653" s="23">
        <v>1111</v>
      </c>
      <c r="Z2653" s="23">
        <v>11100042</v>
      </c>
      <c r="AA2653" s="23">
        <v>3955</v>
      </c>
      <c r="AB2653" s="24">
        <v>45042</v>
      </c>
    </row>
    <row r="2654" spans="2:28" x14ac:dyDescent="0.2">
      <c r="C2654" s="23">
        <v>1100499842</v>
      </c>
      <c r="E2654" s="23">
        <v>30</v>
      </c>
      <c r="F2654" s="23" t="s">
        <v>82</v>
      </c>
      <c r="G2654" s="23" t="s">
        <v>139</v>
      </c>
      <c r="H2654" s="24">
        <v>46752</v>
      </c>
      <c r="I2654" s="24">
        <v>46752</v>
      </c>
      <c r="J2654" s="23" t="s">
        <v>166</v>
      </c>
      <c r="K2654" s="23" t="s">
        <v>166</v>
      </c>
      <c r="L2654" s="23">
        <v>1</v>
      </c>
      <c r="M2654" s="23" t="s">
        <v>78</v>
      </c>
      <c r="N2654" s="23" t="s">
        <v>78</v>
      </c>
      <c r="O2654" s="23">
        <v>0</v>
      </c>
      <c r="P2654" s="23" t="s">
        <v>79</v>
      </c>
      <c r="Q2654" s="23" t="s">
        <v>83</v>
      </c>
      <c r="S2654" s="24" t="s">
        <v>80</v>
      </c>
      <c r="T2654" s="24">
        <v>45042</v>
      </c>
      <c r="U2654" s="24">
        <v>45657</v>
      </c>
      <c r="X2654" s="24">
        <v>45037</v>
      </c>
      <c r="Y2654" s="23">
        <v>1111</v>
      </c>
      <c r="Z2654" s="23">
        <v>11100042</v>
      </c>
      <c r="AA2654" s="23">
        <v>3955</v>
      </c>
      <c r="AB2654" s="24">
        <v>45042</v>
      </c>
    </row>
    <row r="2655" spans="2:28" x14ac:dyDescent="0.2">
      <c r="B2655" s="23" t="s">
        <v>81</v>
      </c>
      <c r="C2655" s="23">
        <v>1100499842</v>
      </c>
      <c r="H2655" s="24">
        <v>46752</v>
      </c>
      <c r="O2655" s="23">
        <v>2537</v>
      </c>
      <c r="P2655" s="23" t="s">
        <v>79</v>
      </c>
    </row>
    <row r="2656" spans="2:28" x14ac:dyDescent="0.2">
      <c r="C2656" s="23">
        <v>1100500548</v>
      </c>
      <c r="E2656" s="23">
        <v>240</v>
      </c>
      <c r="F2656" s="23" t="s">
        <v>204</v>
      </c>
      <c r="G2656" s="23" t="s">
        <v>205</v>
      </c>
      <c r="H2656" s="24">
        <v>46752</v>
      </c>
      <c r="I2656" s="24">
        <v>45148</v>
      </c>
      <c r="J2656" s="23" t="s">
        <v>206</v>
      </c>
      <c r="K2656" s="23" t="s">
        <v>206</v>
      </c>
      <c r="L2656" s="23">
        <v>1</v>
      </c>
      <c r="M2656" s="23" t="s">
        <v>78</v>
      </c>
      <c r="N2656" s="23" t="s">
        <v>78</v>
      </c>
      <c r="O2656" s="23">
        <v>0.01</v>
      </c>
      <c r="P2656" s="23" t="s">
        <v>79</v>
      </c>
      <c r="Q2656" s="23" t="s">
        <v>83</v>
      </c>
      <c r="R2656" s="23">
        <v>11100189</v>
      </c>
      <c r="S2656" s="24">
        <v>45148</v>
      </c>
      <c r="T2656" s="24">
        <v>45050</v>
      </c>
      <c r="U2656" s="24">
        <v>45148</v>
      </c>
      <c r="X2656" s="24">
        <v>45050</v>
      </c>
      <c r="Y2656" s="23">
        <v>1111</v>
      </c>
      <c r="Z2656" s="23">
        <v>11400742</v>
      </c>
      <c r="AA2656" s="23">
        <v>3951</v>
      </c>
      <c r="AB2656" s="24">
        <v>45044</v>
      </c>
    </row>
    <row r="2657" spans="2:28" x14ac:dyDescent="0.2">
      <c r="C2657" s="23">
        <v>1100500548</v>
      </c>
      <c r="E2657" s="23">
        <v>250</v>
      </c>
      <c r="F2657" s="23" t="s">
        <v>207</v>
      </c>
      <c r="G2657" s="23" t="s">
        <v>208</v>
      </c>
      <c r="H2657" s="24">
        <v>46752</v>
      </c>
      <c r="I2657" s="24">
        <v>45148</v>
      </c>
      <c r="J2657" s="23" t="s">
        <v>206</v>
      </c>
      <c r="K2657" s="23" t="s">
        <v>206</v>
      </c>
      <c r="L2657" s="23">
        <v>1</v>
      </c>
      <c r="M2657" s="23" t="s">
        <v>78</v>
      </c>
      <c r="N2657" s="23" t="s">
        <v>78</v>
      </c>
      <c r="O2657" s="23">
        <v>0.01</v>
      </c>
      <c r="P2657" s="23" t="s">
        <v>79</v>
      </c>
      <c r="Q2657" s="23" t="s">
        <v>83</v>
      </c>
      <c r="R2657" s="23">
        <v>11100189</v>
      </c>
      <c r="S2657" s="24">
        <v>45148</v>
      </c>
      <c r="T2657" s="24">
        <v>45050</v>
      </c>
      <c r="U2657" s="24">
        <v>45148</v>
      </c>
      <c r="X2657" s="24">
        <v>45050</v>
      </c>
      <c r="Y2657" s="23">
        <v>1111</v>
      </c>
      <c r="Z2657" s="23">
        <v>11400742</v>
      </c>
      <c r="AA2657" s="23">
        <v>3951</v>
      </c>
      <c r="AB2657" s="24">
        <v>45044</v>
      </c>
    </row>
    <row r="2658" spans="2:28" x14ac:dyDescent="0.2">
      <c r="B2658" s="23" t="s">
        <v>81</v>
      </c>
      <c r="C2658" s="23">
        <v>1100500548</v>
      </c>
      <c r="H2658" s="24">
        <v>46752</v>
      </c>
      <c r="O2658" s="23">
        <v>0.02</v>
      </c>
      <c r="P2658" s="23" t="s">
        <v>79</v>
      </c>
    </row>
    <row r="2659" spans="2:28" x14ac:dyDescent="0.2">
      <c r="C2659" s="23">
        <v>1100501400</v>
      </c>
      <c r="E2659" s="23">
        <v>10</v>
      </c>
      <c r="F2659" s="23" t="s">
        <v>196</v>
      </c>
      <c r="G2659" s="23" t="s">
        <v>197</v>
      </c>
      <c r="H2659" s="24">
        <v>46752</v>
      </c>
      <c r="I2659" s="24">
        <v>46752</v>
      </c>
      <c r="J2659" s="23" t="s">
        <v>169</v>
      </c>
      <c r="K2659" s="23" t="s">
        <v>169</v>
      </c>
      <c r="L2659" s="23">
        <v>4</v>
      </c>
      <c r="M2659" s="23" t="s">
        <v>78</v>
      </c>
      <c r="N2659" s="23" t="s">
        <v>78</v>
      </c>
      <c r="O2659" s="23">
        <v>0.04</v>
      </c>
      <c r="P2659" s="23" t="s">
        <v>79</v>
      </c>
      <c r="Q2659" s="23" t="s">
        <v>83</v>
      </c>
      <c r="S2659" s="24">
        <v>45065</v>
      </c>
      <c r="T2659" s="24">
        <v>45063</v>
      </c>
      <c r="U2659" s="24">
        <v>45134</v>
      </c>
      <c r="X2659" s="24">
        <v>45063</v>
      </c>
      <c r="Y2659" s="23">
        <v>1111</v>
      </c>
      <c r="Z2659" s="23">
        <v>11300017</v>
      </c>
      <c r="AA2659" s="23">
        <v>3951</v>
      </c>
      <c r="AB2659" s="24">
        <v>45073</v>
      </c>
    </row>
    <row r="2660" spans="2:28" x14ac:dyDescent="0.2">
      <c r="B2660" s="23" t="s">
        <v>81</v>
      </c>
      <c r="C2660" s="23">
        <v>1100501400</v>
      </c>
      <c r="H2660" s="24">
        <v>46752</v>
      </c>
      <c r="O2660" s="23">
        <v>0.04</v>
      </c>
      <c r="P2660" s="23" t="s">
        <v>79</v>
      </c>
    </row>
    <row r="2661" spans="2:28" x14ac:dyDescent="0.2">
      <c r="C2661" s="23">
        <v>1100502523</v>
      </c>
      <c r="E2661" s="23">
        <v>10</v>
      </c>
      <c r="F2661" s="23" t="s">
        <v>199</v>
      </c>
      <c r="G2661" s="23" t="s">
        <v>200</v>
      </c>
      <c r="H2661" s="24">
        <v>46752</v>
      </c>
      <c r="I2661" s="24">
        <v>46752</v>
      </c>
      <c r="J2661" s="23" t="s">
        <v>91</v>
      </c>
      <c r="K2661" s="23" t="s">
        <v>91</v>
      </c>
      <c r="L2661" s="23">
        <v>1</v>
      </c>
      <c r="M2661" s="23" t="s">
        <v>78</v>
      </c>
      <c r="N2661" s="23" t="s">
        <v>78</v>
      </c>
      <c r="O2661" s="23">
        <v>0.01</v>
      </c>
      <c r="P2661" s="23" t="s">
        <v>79</v>
      </c>
      <c r="Q2661" s="23" t="s">
        <v>83</v>
      </c>
      <c r="S2661" s="24">
        <v>45078</v>
      </c>
      <c r="T2661" s="24">
        <v>45079</v>
      </c>
      <c r="U2661" s="24" t="s">
        <v>80</v>
      </c>
      <c r="X2661" s="24">
        <v>45078</v>
      </c>
      <c r="Y2661" s="23">
        <v>1111</v>
      </c>
      <c r="Z2661" s="23">
        <v>11400745</v>
      </c>
      <c r="AA2661" s="23">
        <v>3951</v>
      </c>
      <c r="AB2661" s="24">
        <v>45068</v>
      </c>
    </row>
    <row r="2662" spans="2:28" x14ac:dyDescent="0.2">
      <c r="B2662" s="23" t="s">
        <v>81</v>
      </c>
      <c r="C2662" s="23">
        <v>1100502523</v>
      </c>
      <c r="H2662" s="24">
        <v>46752</v>
      </c>
      <c r="O2662" s="23">
        <v>0.01</v>
      </c>
      <c r="P2662" s="23" t="s">
        <v>79</v>
      </c>
    </row>
    <row r="2663" spans="2:28" x14ac:dyDescent="0.2">
      <c r="C2663" s="23">
        <v>1100502697</v>
      </c>
      <c r="E2663" s="23">
        <v>30</v>
      </c>
      <c r="F2663" s="23" t="s">
        <v>130</v>
      </c>
      <c r="G2663" s="23" t="s">
        <v>217</v>
      </c>
      <c r="H2663" s="24">
        <v>46752</v>
      </c>
      <c r="I2663" s="24">
        <v>46752</v>
      </c>
      <c r="J2663" s="23" t="s">
        <v>165</v>
      </c>
      <c r="K2663" s="23" t="s">
        <v>165</v>
      </c>
      <c r="L2663" s="23">
        <v>1</v>
      </c>
      <c r="M2663" s="23" t="s">
        <v>131</v>
      </c>
      <c r="N2663" s="23" t="s">
        <v>131</v>
      </c>
      <c r="O2663" s="23">
        <v>0</v>
      </c>
      <c r="P2663" s="23" t="s">
        <v>79</v>
      </c>
      <c r="Q2663" s="23" t="s">
        <v>83</v>
      </c>
      <c r="R2663" s="23">
        <v>11100008</v>
      </c>
      <c r="S2663" s="24" t="s">
        <v>80</v>
      </c>
      <c r="T2663" s="24">
        <v>45082</v>
      </c>
      <c r="U2663" s="24">
        <v>45183</v>
      </c>
      <c r="X2663" s="24">
        <v>45082</v>
      </c>
      <c r="Y2663" s="23">
        <v>1111</v>
      </c>
      <c r="Z2663" s="23">
        <v>11100042</v>
      </c>
      <c r="AA2663" s="23">
        <v>3355</v>
      </c>
      <c r="AB2663" s="24">
        <v>45082</v>
      </c>
    </row>
    <row r="2664" spans="2:28" x14ac:dyDescent="0.2">
      <c r="B2664" s="23" t="s">
        <v>81</v>
      </c>
      <c r="C2664" s="23">
        <v>1100502697</v>
      </c>
      <c r="H2664" s="24">
        <v>46752</v>
      </c>
      <c r="O2664" s="23">
        <v>0</v>
      </c>
      <c r="P2664" s="23" t="s">
        <v>79</v>
      </c>
    </row>
    <row r="2665" spans="2:28" x14ac:dyDescent="0.2">
      <c r="C2665" s="23">
        <v>1100504586</v>
      </c>
      <c r="E2665" s="23">
        <v>10</v>
      </c>
      <c r="F2665" s="23" t="s">
        <v>130</v>
      </c>
      <c r="G2665" s="23" t="s">
        <v>203</v>
      </c>
      <c r="H2665" s="24">
        <v>46752</v>
      </c>
      <c r="I2665" s="24">
        <v>46752</v>
      </c>
      <c r="J2665" s="23" t="s">
        <v>257</v>
      </c>
      <c r="K2665" s="23" t="s">
        <v>257</v>
      </c>
      <c r="L2665" s="23">
        <v>1</v>
      </c>
      <c r="M2665" s="23" t="s">
        <v>131</v>
      </c>
      <c r="N2665" s="23" t="s">
        <v>131</v>
      </c>
      <c r="O2665" s="23">
        <v>0</v>
      </c>
      <c r="P2665" s="23" t="s">
        <v>79</v>
      </c>
      <c r="Q2665" s="23" t="s">
        <v>83</v>
      </c>
      <c r="S2665" s="24" t="s">
        <v>80</v>
      </c>
      <c r="T2665" s="24">
        <v>45107</v>
      </c>
      <c r="U2665" s="24" t="s">
        <v>80</v>
      </c>
      <c r="X2665" s="24">
        <v>45107</v>
      </c>
      <c r="Y2665" s="23">
        <v>1111</v>
      </c>
      <c r="Z2665" s="23">
        <v>11100137</v>
      </c>
      <c r="AA2665" s="23">
        <v>3951</v>
      </c>
      <c r="AB2665" s="24">
        <v>43558</v>
      </c>
    </row>
    <row r="2666" spans="2:28" x14ac:dyDescent="0.2">
      <c r="B2666" s="23" t="s">
        <v>81</v>
      </c>
      <c r="C2666" s="23">
        <v>1100504586</v>
      </c>
      <c r="H2666" s="24">
        <v>46752</v>
      </c>
      <c r="O2666" s="23">
        <v>0</v>
      </c>
      <c r="P2666" s="23" t="s">
        <v>79</v>
      </c>
    </row>
    <row r="2667" spans="2:28" x14ac:dyDescent="0.2">
      <c r="C2667" s="23">
        <v>1100520328</v>
      </c>
      <c r="E2667" s="23">
        <v>10</v>
      </c>
      <c r="F2667" s="23" t="s">
        <v>234</v>
      </c>
      <c r="G2667" s="23" t="s">
        <v>235</v>
      </c>
      <c r="H2667" s="24">
        <v>46752</v>
      </c>
      <c r="I2667" s="24">
        <v>46752</v>
      </c>
      <c r="J2667" s="23" t="s">
        <v>224</v>
      </c>
      <c r="K2667" s="23" t="s">
        <v>224</v>
      </c>
      <c r="L2667" s="23">
        <v>1</v>
      </c>
      <c r="M2667" s="23" t="s">
        <v>78</v>
      </c>
      <c r="N2667" s="23" t="s">
        <v>78</v>
      </c>
      <c r="O2667" s="23">
        <v>0</v>
      </c>
      <c r="P2667" s="23" t="s">
        <v>79</v>
      </c>
      <c r="Q2667" s="23" t="s">
        <v>83</v>
      </c>
      <c r="R2667" s="23">
        <v>11100189</v>
      </c>
      <c r="S2667" s="24" t="s">
        <v>80</v>
      </c>
      <c r="T2667" s="24">
        <v>45343</v>
      </c>
      <c r="U2667" s="24">
        <v>45345</v>
      </c>
      <c r="X2667" s="24" t="s">
        <v>80</v>
      </c>
      <c r="Y2667" s="23">
        <v>1111</v>
      </c>
      <c r="Z2667" s="23">
        <v>11100042</v>
      </c>
      <c r="AA2667" s="23">
        <v>3355</v>
      </c>
      <c r="AB2667" s="24" t="s">
        <v>80</v>
      </c>
    </row>
    <row r="2668" spans="2:28" x14ac:dyDescent="0.2">
      <c r="B2668" s="23" t="s">
        <v>81</v>
      </c>
      <c r="C2668" s="23">
        <v>1100520328</v>
      </c>
      <c r="H2668" s="24">
        <v>46752</v>
      </c>
      <c r="O2668" s="23">
        <v>0</v>
      </c>
      <c r="P2668" s="23" t="s">
        <v>79</v>
      </c>
    </row>
    <row r="2669" spans="2:28" x14ac:dyDescent="0.2">
      <c r="C2669" s="23">
        <v>1100533116</v>
      </c>
      <c r="E2669" s="23">
        <v>10</v>
      </c>
      <c r="F2669" s="23" t="s">
        <v>216</v>
      </c>
      <c r="G2669" s="23" t="s">
        <v>267</v>
      </c>
      <c r="H2669" s="24">
        <v>46752</v>
      </c>
      <c r="I2669" s="24">
        <v>46752</v>
      </c>
      <c r="J2669" s="23" t="s">
        <v>268</v>
      </c>
      <c r="K2669" s="23" t="s">
        <v>268</v>
      </c>
      <c r="L2669" s="23">
        <v>4</v>
      </c>
      <c r="M2669" s="23" t="s">
        <v>78</v>
      </c>
      <c r="N2669" s="23" t="s">
        <v>78</v>
      </c>
      <c r="O2669" s="23">
        <v>0</v>
      </c>
      <c r="P2669" s="23" t="s">
        <v>79</v>
      </c>
      <c r="Q2669" s="23" t="s">
        <v>83</v>
      </c>
      <c r="R2669" s="23">
        <v>11100189</v>
      </c>
      <c r="S2669" s="24" t="s">
        <v>80</v>
      </c>
      <c r="T2669" s="24">
        <v>45531</v>
      </c>
      <c r="U2669" s="24">
        <v>45533</v>
      </c>
      <c r="X2669" s="24" t="s">
        <v>80</v>
      </c>
      <c r="Y2669" s="23">
        <v>1111</v>
      </c>
      <c r="Z2669" s="23">
        <v>11100042</v>
      </c>
      <c r="AA2669" s="23">
        <v>5055</v>
      </c>
      <c r="AB2669" s="24" t="s">
        <v>80</v>
      </c>
    </row>
    <row r="2670" spans="2:28" x14ac:dyDescent="0.2">
      <c r="B2670" s="23" t="s">
        <v>81</v>
      </c>
      <c r="C2670" s="23">
        <v>1100533116</v>
      </c>
      <c r="H2670" s="24">
        <v>46752</v>
      </c>
      <c r="O2670" s="23">
        <v>0</v>
      </c>
      <c r="P2670" s="23" t="s">
        <v>79</v>
      </c>
    </row>
    <row r="2671" spans="2:28" x14ac:dyDescent="0.2">
      <c r="C2671" s="23">
        <v>1100547712</v>
      </c>
      <c r="E2671" s="23">
        <v>20</v>
      </c>
      <c r="F2671" s="23" t="s">
        <v>82</v>
      </c>
      <c r="G2671" s="23" t="s">
        <v>139</v>
      </c>
      <c r="H2671" s="24">
        <v>46752</v>
      </c>
      <c r="I2671" s="24">
        <v>47118</v>
      </c>
      <c r="J2671" s="23" t="s">
        <v>813</v>
      </c>
      <c r="K2671" s="23" t="s">
        <v>813</v>
      </c>
      <c r="L2671" s="23">
        <v>1</v>
      </c>
      <c r="M2671" s="23" t="s">
        <v>78</v>
      </c>
      <c r="N2671" s="23" t="s">
        <v>78</v>
      </c>
      <c r="O2671" s="23">
        <v>0</v>
      </c>
      <c r="P2671" s="23" t="s">
        <v>79</v>
      </c>
      <c r="Q2671" s="23" t="s">
        <v>83</v>
      </c>
      <c r="R2671" s="23">
        <v>11100008</v>
      </c>
      <c r="S2671" s="24" t="s">
        <v>80</v>
      </c>
      <c r="T2671" s="24">
        <v>45757</v>
      </c>
      <c r="U2671" s="24">
        <v>45806</v>
      </c>
      <c r="X2671" s="24">
        <v>45757</v>
      </c>
      <c r="Y2671" s="23">
        <v>1111</v>
      </c>
      <c r="Z2671" s="23">
        <v>11600002</v>
      </c>
      <c r="AA2671" s="23">
        <v>395103</v>
      </c>
      <c r="AB2671" s="24">
        <v>45757</v>
      </c>
    </row>
    <row r="2672" spans="2:28" x14ac:dyDescent="0.2">
      <c r="C2672" s="23">
        <v>1100547712</v>
      </c>
      <c r="E2672" s="23">
        <v>30</v>
      </c>
      <c r="F2672" s="23" t="s">
        <v>923</v>
      </c>
      <c r="G2672" s="23" t="s">
        <v>714</v>
      </c>
      <c r="H2672" s="24">
        <v>46752</v>
      </c>
      <c r="I2672" s="24">
        <v>46752</v>
      </c>
      <c r="J2672" s="23" t="s">
        <v>813</v>
      </c>
      <c r="K2672" s="23" t="s">
        <v>813</v>
      </c>
      <c r="L2672" s="23">
        <v>2</v>
      </c>
      <c r="M2672" s="23" t="s">
        <v>78</v>
      </c>
      <c r="N2672" s="23" t="s">
        <v>78</v>
      </c>
      <c r="O2672" s="23">
        <v>1628</v>
      </c>
      <c r="P2672" s="23" t="s">
        <v>79</v>
      </c>
      <c r="Q2672" s="23" t="s">
        <v>83</v>
      </c>
      <c r="R2672" s="23">
        <v>11100008</v>
      </c>
      <c r="S2672" s="24">
        <v>45806</v>
      </c>
      <c r="T2672" s="24">
        <v>45757</v>
      </c>
      <c r="U2672" s="24">
        <v>46752</v>
      </c>
      <c r="X2672" s="24">
        <v>45757</v>
      </c>
      <c r="Y2672" s="23">
        <v>1111</v>
      </c>
      <c r="Z2672" s="23">
        <v>11600002</v>
      </c>
      <c r="AA2672" s="23">
        <v>395103</v>
      </c>
      <c r="AB2672" s="24">
        <v>45757</v>
      </c>
    </row>
    <row r="2673" spans="2:28" x14ac:dyDescent="0.2">
      <c r="B2673" s="23" t="s">
        <v>81</v>
      </c>
      <c r="C2673" s="23">
        <v>1100547712</v>
      </c>
      <c r="H2673" s="24">
        <v>46752</v>
      </c>
      <c r="O2673" s="23">
        <v>1628</v>
      </c>
      <c r="P2673" s="23" t="s">
        <v>79</v>
      </c>
    </row>
    <row r="2674" spans="2:28" x14ac:dyDescent="0.2">
      <c r="C2674" s="23">
        <v>1100552263</v>
      </c>
      <c r="E2674" s="23">
        <v>20</v>
      </c>
      <c r="F2674" s="23" t="s">
        <v>192</v>
      </c>
      <c r="G2674" s="23" t="s">
        <v>926</v>
      </c>
      <c r="H2674" s="24">
        <v>46752</v>
      </c>
      <c r="I2674" s="24">
        <v>46752</v>
      </c>
      <c r="J2674" s="23" t="s">
        <v>881</v>
      </c>
      <c r="K2674" s="23" t="s">
        <v>881</v>
      </c>
      <c r="L2674" s="23">
        <v>2</v>
      </c>
      <c r="M2674" s="23" t="s">
        <v>78</v>
      </c>
      <c r="N2674" s="23" t="s">
        <v>78</v>
      </c>
      <c r="O2674" s="23">
        <v>8298</v>
      </c>
      <c r="P2674" s="23" t="s">
        <v>79</v>
      </c>
      <c r="Q2674" s="23" t="s">
        <v>83</v>
      </c>
      <c r="R2674" s="23">
        <v>11100008</v>
      </c>
      <c r="S2674" s="24" t="s">
        <v>80</v>
      </c>
      <c r="T2674" s="24">
        <v>45806</v>
      </c>
      <c r="U2674" s="24">
        <v>46752</v>
      </c>
      <c r="X2674" s="24">
        <v>45806</v>
      </c>
      <c r="Y2674" s="23">
        <v>1111</v>
      </c>
      <c r="Z2674" s="23">
        <v>11100042</v>
      </c>
      <c r="AA2674" s="23">
        <v>3955</v>
      </c>
      <c r="AB2674" s="24">
        <v>45806</v>
      </c>
    </row>
    <row r="2675" spans="2:28" x14ac:dyDescent="0.2">
      <c r="C2675" s="23">
        <v>1100552263</v>
      </c>
      <c r="E2675" s="23">
        <v>30</v>
      </c>
      <c r="F2675" s="23" t="s">
        <v>82</v>
      </c>
      <c r="G2675" s="23" t="s">
        <v>139</v>
      </c>
      <c r="H2675" s="24">
        <v>46752</v>
      </c>
      <c r="I2675" s="24">
        <v>46752</v>
      </c>
      <c r="J2675" s="23" t="s">
        <v>881</v>
      </c>
      <c r="K2675" s="23" t="s">
        <v>881</v>
      </c>
      <c r="L2675" s="23">
        <v>1</v>
      </c>
      <c r="M2675" s="23" t="s">
        <v>78</v>
      </c>
      <c r="N2675" s="23" t="s">
        <v>78</v>
      </c>
      <c r="O2675" s="23">
        <v>0.01</v>
      </c>
      <c r="P2675" s="23" t="s">
        <v>79</v>
      </c>
      <c r="Q2675" s="23" t="s">
        <v>83</v>
      </c>
      <c r="R2675" s="23">
        <v>11100008</v>
      </c>
      <c r="S2675" s="24" t="s">
        <v>80</v>
      </c>
      <c r="T2675" s="24">
        <v>45806</v>
      </c>
      <c r="U2675" s="24">
        <v>46752</v>
      </c>
      <c r="X2675" s="24">
        <v>45806</v>
      </c>
      <c r="Y2675" s="23">
        <v>1111</v>
      </c>
      <c r="Z2675" s="23">
        <v>11100042</v>
      </c>
      <c r="AA2675" s="23">
        <v>3955</v>
      </c>
      <c r="AB2675" s="24">
        <v>45806</v>
      </c>
    </row>
    <row r="2676" spans="2:28" x14ac:dyDescent="0.2">
      <c r="B2676" s="23" t="s">
        <v>81</v>
      </c>
      <c r="C2676" s="23">
        <v>1100552263</v>
      </c>
      <c r="H2676" s="24">
        <v>46752</v>
      </c>
      <c r="O2676" s="23">
        <v>8298.01</v>
      </c>
      <c r="P2676" s="23" t="s">
        <v>79</v>
      </c>
    </row>
    <row r="2677" spans="2:28" x14ac:dyDescent="0.2">
      <c r="C2677" s="23">
        <v>1100554152</v>
      </c>
      <c r="E2677" s="23">
        <v>20</v>
      </c>
      <c r="F2677" s="23" t="s">
        <v>929</v>
      </c>
      <c r="G2677" s="23" t="s">
        <v>930</v>
      </c>
      <c r="H2677" s="24">
        <v>46752</v>
      </c>
      <c r="I2677" s="24">
        <v>46752</v>
      </c>
      <c r="J2677" s="23" t="s">
        <v>657</v>
      </c>
      <c r="K2677" s="23" t="s">
        <v>657</v>
      </c>
      <c r="L2677" s="23">
        <v>1</v>
      </c>
      <c r="M2677" s="23" t="s">
        <v>78</v>
      </c>
      <c r="N2677" s="23" t="s">
        <v>78</v>
      </c>
      <c r="O2677" s="23">
        <v>0</v>
      </c>
      <c r="P2677" s="23" t="s">
        <v>79</v>
      </c>
      <c r="Q2677" s="23" t="s">
        <v>83</v>
      </c>
      <c r="R2677" s="23">
        <v>11100018</v>
      </c>
      <c r="S2677" s="24">
        <v>45828</v>
      </c>
      <c r="T2677" s="24">
        <v>45827</v>
      </c>
      <c r="U2677" s="24">
        <v>46752</v>
      </c>
      <c r="X2677" s="24">
        <v>45827</v>
      </c>
      <c r="Y2677" s="23">
        <v>1111</v>
      </c>
      <c r="Z2677" s="23">
        <v>11400797</v>
      </c>
      <c r="AA2677" s="23">
        <v>334903</v>
      </c>
      <c r="AB2677" s="24">
        <v>45827</v>
      </c>
    </row>
    <row r="2678" spans="2:28" x14ac:dyDescent="0.2">
      <c r="C2678" s="23">
        <v>1100554152</v>
      </c>
      <c r="E2678" s="23">
        <v>30</v>
      </c>
      <c r="F2678" s="23" t="s">
        <v>931</v>
      </c>
      <c r="G2678" s="23" t="s">
        <v>932</v>
      </c>
      <c r="H2678" s="24">
        <v>46752</v>
      </c>
      <c r="I2678" s="24">
        <v>46752</v>
      </c>
      <c r="J2678" s="23" t="s">
        <v>657</v>
      </c>
      <c r="K2678" s="23" t="s">
        <v>657</v>
      </c>
      <c r="L2678" s="23">
        <v>1</v>
      </c>
      <c r="M2678" s="23" t="s">
        <v>78</v>
      </c>
      <c r="N2678" s="23" t="s">
        <v>78</v>
      </c>
      <c r="O2678" s="23">
        <v>0</v>
      </c>
      <c r="P2678" s="23" t="s">
        <v>79</v>
      </c>
      <c r="Q2678" s="23" t="s">
        <v>83</v>
      </c>
      <c r="R2678" s="23">
        <v>11100018</v>
      </c>
      <c r="S2678" s="24">
        <v>45828</v>
      </c>
      <c r="T2678" s="24">
        <v>45827</v>
      </c>
      <c r="U2678" s="24">
        <v>46752</v>
      </c>
      <c r="X2678" s="24">
        <v>45827</v>
      </c>
      <c r="Y2678" s="23">
        <v>1111</v>
      </c>
      <c r="Z2678" s="23">
        <v>11400797</v>
      </c>
      <c r="AA2678" s="23">
        <v>334903</v>
      </c>
      <c r="AB2678" s="24">
        <v>45827</v>
      </c>
    </row>
    <row r="2679" spans="2:28" x14ac:dyDescent="0.2">
      <c r="C2679" s="23">
        <v>1100554152</v>
      </c>
      <c r="E2679" s="23">
        <v>40</v>
      </c>
      <c r="F2679" s="23" t="s">
        <v>933</v>
      </c>
      <c r="G2679" s="23" t="s">
        <v>934</v>
      </c>
      <c r="H2679" s="24">
        <v>46752</v>
      </c>
      <c r="I2679" s="24">
        <v>46752</v>
      </c>
      <c r="J2679" s="23" t="s">
        <v>657</v>
      </c>
      <c r="K2679" s="23" t="s">
        <v>657</v>
      </c>
      <c r="L2679" s="23">
        <v>1</v>
      </c>
      <c r="M2679" s="23" t="s">
        <v>78</v>
      </c>
      <c r="N2679" s="23" t="s">
        <v>78</v>
      </c>
      <c r="O2679" s="23">
        <v>0</v>
      </c>
      <c r="P2679" s="23" t="s">
        <v>79</v>
      </c>
      <c r="Q2679" s="23" t="s">
        <v>83</v>
      </c>
      <c r="R2679" s="23">
        <v>11100018</v>
      </c>
      <c r="S2679" s="24">
        <v>45828</v>
      </c>
      <c r="T2679" s="24">
        <v>45827</v>
      </c>
      <c r="U2679" s="24">
        <v>46752</v>
      </c>
      <c r="X2679" s="24">
        <v>45827</v>
      </c>
      <c r="Y2679" s="23">
        <v>1111</v>
      </c>
      <c r="Z2679" s="23">
        <v>11400797</v>
      </c>
      <c r="AA2679" s="23">
        <v>334903</v>
      </c>
      <c r="AB2679" s="24">
        <v>45827</v>
      </c>
    </row>
    <row r="2680" spans="2:28" x14ac:dyDescent="0.2">
      <c r="B2680" s="23" t="s">
        <v>81</v>
      </c>
      <c r="C2680" s="23">
        <v>1100554152</v>
      </c>
      <c r="H2680" s="24">
        <v>46752</v>
      </c>
      <c r="O2680" s="23">
        <v>0</v>
      </c>
      <c r="P2680" s="23" t="s">
        <v>79</v>
      </c>
    </row>
    <row r="2681" spans="2:28" x14ac:dyDescent="0.2">
      <c r="C2681" s="23">
        <v>1100555031</v>
      </c>
      <c r="E2681" s="23">
        <v>10</v>
      </c>
      <c r="F2681" s="23" t="s">
        <v>1082</v>
      </c>
      <c r="G2681" s="23" t="s">
        <v>1083</v>
      </c>
      <c r="H2681" s="24">
        <v>46752</v>
      </c>
      <c r="I2681" s="24">
        <v>46752</v>
      </c>
      <c r="J2681" s="23" t="s">
        <v>92</v>
      </c>
      <c r="K2681" s="23" t="s">
        <v>92</v>
      </c>
      <c r="L2681" s="23">
        <v>1</v>
      </c>
      <c r="M2681" s="23" t="s">
        <v>78</v>
      </c>
      <c r="N2681" s="23" t="s">
        <v>78</v>
      </c>
      <c r="O2681" s="23">
        <v>1325</v>
      </c>
      <c r="P2681" s="23" t="s">
        <v>79</v>
      </c>
      <c r="Q2681" s="23" t="s">
        <v>83</v>
      </c>
      <c r="R2681" s="23">
        <v>11100008</v>
      </c>
      <c r="S2681" s="24">
        <v>45891</v>
      </c>
      <c r="T2681" s="24">
        <v>45835</v>
      </c>
      <c r="U2681" s="24">
        <v>46752</v>
      </c>
      <c r="X2681" s="24">
        <v>45834</v>
      </c>
      <c r="Y2681" s="23">
        <v>1111</v>
      </c>
      <c r="Z2681" s="23">
        <v>11400745</v>
      </c>
      <c r="AA2681" s="23">
        <v>515103</v>
      </c>
      <c r="AB2681" s="24">
        <v>45828</v>
      </c>
    </row>
    <row r="2682" spans="2:28" x14ac:dyDescent="0.2">
      <c r="B2682" s="23" t="s">
        <v>81</v>
      </c>
      <c r="C2682" s="23">
        <v>1100555031</v>
      </c>
      <c r="H2682" s="24">
        <v>46752</v>
      </c>
      <c r="O2682" s="23">
        <v>1325</v>
      </c>
      <c r="P2682" s="23" t="s">
        <v>79</v>
      </c>
    </row>
    <row r="2683" spans="2:28" x14ac:dyDescent="0.2">
      <c r="C2683" s="23">
        <v>1100558290</v>
      </c>
      <c r="E2683" s="23">
        <v>200</v>
      </c>
      <c r="F2683" s="23" t="s">
        <v>84</v>
      </c>
      <c r="G2683" s="23" t="s">
        <v>123</v>
      </c>
      <c r="H2683" s="24">
        <v>46752</v>
      </c>
      <c r="I2683" s="24">
        <v>46752</v>
      </c>
      <c r="J2683" s="23" t="s">
        <v>1074</v>
      </c>
      <c r="K2683" s="23" t="s">
        <v>1074</v>
      </c>
      <c r="L2683" s="23">
        <v>1</v>
      </c>
      <c r="M2683" s="23" t="s">
        <v>78</v>
      </c>
      <c r="N2683" s="23" t="s">
        <v>78</v>
      </c>
      <c r="O2683" s="23">
        <v>0.01</v>
      </c>
      <c r="P2683" s="23" t="s">
        <v>79</v>
      </c>
      <c r="Q2683" s="23" t="s">
        <v>83</v>
      </c>
      <c r="R2683" s="23">
        <v>11100018</v>
      </c>
      <c r="S2683" s="24" t="s">
        <v>80</v>
      </c>
      <c r="T2683" s="24">
        <v>45869</v>
      </c>
      <c r="U2683" s="24">
        <v>46752</v>
      </c>
      <c r="X2683" s="24">
        <v>45868</v>
      </c>
      <c r="Y2683" s="23">
        <v>1111</v>
      </c>
      <c r="Z2683" s="23">
        <v>11400895</v>
      </c>
      <c r="AA2683" s="23">
        <v>3351</v>
      </c>
      <c r="AB2683" s="24">
        <v>45854</v>
      </c>
    </row>
    <row r="2684" spans="2:28" x14ac:dyDescent="0.2">
      <c r="B2684" s="23" t="s">
        <v>81</v>
      </c>
      <c r="C2684" s="23">
        <v>1100558290</v>
      </c>
      <c r="H2684" s="24">
        <v>46752</v>
      </c>
      <c r="O2684" s="23">
        <v>0.01</v>
      </c>
      <c r="P2684" s="23" t="s">
        <v>79</v>
      </c>
    </row>
    <row r="2685" spans="2:28" x14ac:dyDescent="0.2">
      <c r="C2685" s="23">
        <v>1100559635</v>
      </c>
      <c r="E2685" s="23">
        <v>10</v>
      </c>
      <c r="F2685" s="23" t="s">
        <v>87</v>
      </c>
      <c r="G2685" s="23" t="s">
        <v>2166</v>
      </c>
      <c r="H2685" s="24">
        <v>46752</v>
      </c>
      <c r="I2685" s="24">
        <v>46752</v>
      </c>
      <c r="J2685" s="23" t="s">
        <v>815</v>
      </c>
      <c r="K2685" s="23" t="s">
        <v>815</v>
      </c>
      <c r="L2685" s="23">
        <v>1</v>
      </c>
      <c r="M2685" s="23" t="s">
        <v>78</v>
      </c>
      <c r="N2685" s="23" t="s">
        <v>78</v>
      </c>
      <c r="O2685" s="23">
        <v>13850</v>
      </c>
      <c r="P2685" s="23" t="s">
        <v>79</v>
      </c>
      <c r="Q2685" s="23" t="s">
        <v>83</v>
      </c>
      <c r="R2685" s="23">
        <v>11100018</v>
      </c>
      <c r="S2685" s="24">
        <v>45841</v>
      </c>
      <c r="T2685" s="24">
        <v>45883</v>
      </c>
      <c r="U2685" s="24" t="s">
        <v>80</v>
      </c>
      <c r="X2685" s="24">
        <v>45747</v>
      </c>
      <c r="Y2685" s="23">
        <v>1111</v>
      </c>
      <c r="Z2685" s="23">
        <v>11600007</v>
      </c>
      <c r="AA2685" s="23">
        <v>335103</v>
      </c>
      <c r="AB2685" s="24">
        <v>45883</v>
      </c>
    </row>
    <row r="2686" spans="2:28" x14ac:dyDescent="0.2">
      <c r="C2686" s="23">
        <v>1100559635</v>
      </c>
      <c r="E2686" s="23">
        <v>20</v>
      </c>
      <c r="F2686" s="23" t="s">
        <v>87</v>
      </c>
      <c r="G2686" s="23" t="s">
        <v>2167</v>
      </c>
      <c r="H2686" s="24">
        <v>46752</v>
      </c>
      <c r="I2686" s="24">
        <v>46752</v>
      </c>
      <c r="J2686" s="23" t="s">
        <v>815</v>
      </c>
      <c r="K2686" s="23" t="s">
        <v>815</v>
      </c>
      <c r="L2686" s="23">
        <v>1</v>
      </c>
      <c r="M2686" s="23" t="s">
        <v>78</v>
      </c>
      <c r="N2686" s="23" t="s">
        <v>78</v>
      </c>
      <c r="O2686" s="23">
        <v>27700</v>
      </c>
      <c r="P2686" s="23" t="s">
        <v>79</v>
      </c>
      <c r="Q2686" s="23" t="s">
        <v>83</v>
      </c>
      <c r="R2686" s="23">
        <v>11100018</v>
      </c>
      <c r="S2686" s="24">
        <v>45841</v>
      </c>
      <c r="T2686" s="24">
        <v>45883</v>
      </c>
      <c r="U2686" s="24" t="s">
        <v>80</v>
      </c>
      <c r="X2686" s="24">
        <v>45747</v>
      </c>
      <c r="Y2686" s="23">
        <v>1111</v>
      </c>
      <c r="Z2686" s="23">
        <v>11600007</v>
      </c>
      <c r="AA2686" s="23">
        <v>335103</v>
      </c>
      <c r="AB2686" s="24">
        <v>45883</v>
      </c>
    </row>
    <row r="2687" spans="2:28" x14ac:dyDescent="0.2">
      <c r="C2687" s="23">
        <v>1100559635</v>
      </c>
      <c r="E2687" s="23">
        <v>30</v>
      </c>
      <c r="F2687" s="23" t="s">
        <v>87</v>
      </c>
      <c r="G2687" s="23" t="s">
        <v>2168</v>
      </c>
      <c r="H2687" s="24">
        <v>46752</v>
      </c>
      <c r="I2687" s="24">
        <v>46752</v>
      </c>
      <c r="J2687" s="23" t="s">
        <v>815</v>
      </c>
      <c r="K2687" s="23" t="s">
        <v>815</v>
      </c>
      <c r="L2687" s="23">
        <v>1</v>
      </c>
      <c r="M2687" s="23" t="s">
        <v>78</v>
      </c>
      <c r="N2687" s="23" t="s">
        <v>78</v>
      </c>
      <c r="O2687" s="23">
        <v>500</v>
      </c>
      <c r="P2687" s="23" t="s">
        <v>79</v>
      </c>
      <c r="Q2687" s="23" t="s">
        <v>83</v>
      </c>
      <c r="R2687" s="23">
        <v>11100018</v>
      </c>
      <c r="S2687" s="24">
        <v>45841</v>
      </c>
      <c r="T2687" s="24">
        <v>45883</v>
      </c>
      <c r="U2687" s="24" t="s">
        <v>80</v>
      </c>
      <c r="X2687" s="24">
        <v>45747</v>
      </c>
      <c r="Y2687" s="23">
        <v>1111</v>
      </c>
      <c r="Z2687" s="23">
        <v>11600007</v>
      </c>
      <c r="AA2687" s="23">
        <v>335103</v>
      </c>
      <c r="AB2687" s="24">
        <v>45883</v>
      </c>
    </row>
    <row r="2688" spans="2:28" x14ac:dyDescent="0.2">
      <c r="C2688" s="23">
        <v>1100559635</v>
      </c>
      <c r="E2688" s="23">
        <v>40</v>
      </c>
      <c r="F2688" s="23" t="s">
        <v>82</v>
      </c>
      <c r="G2688" s="23" t="s">
        <v>139</v>
      </c>
      <c r="H2688" s="24">
        <v>46752</v>
      </c>
      <c r="I2688" s="24">
        <v>46752</v>
      </c>
      <c r="J2688" s="23" t="s">
        <v>815</v>
      </c>
      <c r="K2688" s="23" t="s">
        <v>815</v>
      </c>
      <c r="L2688" s="23">
        <v>1</v>
      </c>
      <c r="M2688" s="23" t="s">
        <v>78</v>
      </c>
      <c r="N2688" s="23" t="s">
        <v>78</v>
      </c>
      <c r="O2688" s="23">
        <v>0.01</v>
      </c>
      <c r="P2688" s="23" t="s">
        <v>79</v>
      </c>
      <c r="Q2688" s="23" t="s">
        <v>83</v>
      </c>
      <c r="R2688" s="23">
        <v>11100018</v>
      </c>
      <c r="S2688" s="24" t="s">
        <v>80</v>
      </c>
      <c r="T2688" s="24">
        <v>45883</v>
      </c>
      <c r="U2688" s="24" t="s">
        <v>80</v>
      </c>
      <c r="X2688" s="24">
        <v>45747</v>
      </c>
      <c r="Y2688" s="23">
        <v>1111</v>
      </c>
      <c r="Z2688" s="23">
        <v>11600007</v>
      </c>
      <c r="AA2688" s="23">
        <v>335103</v>
      </c>
      <c r="AB2688" s="24">
        <v>45883</v>
      </c>
    </row>
    <row r="2689" spans="2:28" x14ac:dyDescent="0.2">
      <c r="C2689" s="23">
        <v>1100559635</v>
      </c>
      <c r="E2689" s="23">
        <v>60</v>
      </c>
      <c r="F2689" s="23" t="s">
        <v>84</v>
      </c>
      <c r="G2689" s="23" t="s">
        <v>123</v>
      </c>
      <c r="H2689" s="24">
        <v>46752</v>
      </c>
      <c r="I2689" s="24">
        <v>46752</v>
      </c>
      <c r="J2689" s="23" t="s">
        <v>815</v>
      </c>
      <c r="K2689" s="23" t="s">
        <v>815</v>
      </c>
      <c r="L2689" s="23">
        <v>1</v>
      </c>
      <c r="M2689" s="23" t="s">
        <v>78</v>
      </c>
      <c r="N2689" s="23" t="s">
        <v>78</v>
      </c>
      <c r="O2689" s="23">
        <v>0.01</v>
      </c>
      <c r="P2689" s="23" t="s">
        <v>79</v>
      </c>
      <c r="Q2689" s="23" t="s">
        <v>83</v>
      </c>
      <c r="R2689" s="23">
        <v>11100018</v>
      </c>
      <c r="S2689" s="24" t="s">
        <v>80</v>
      </c>
      <c r="T2689" s="24">
        <v>45883</v>
      </c>
      <c r="U2689" s="24" t="s">
        <v>80</v>
      </c>
      <c r="X2689" s="24">
        <v>45747</v>
      </c>
      <c r="Y2689" s="23">
        <v>1111</v>
      </c>
      <c r="Z2689" s="23">
        <v>11600007</v>
      </c>
      <c r="AA2689" s="23">
        <v>335103</v>
      </c>
      <c r="AB2689" s="24">
        <v>45883</v>
      </c>
    </row>
    <row r="2690" spans="2:28" x14ac:dyDescent="0.2">
      <c r="B2690" s="23" t="s">
        <v>81</v>
      </c>
      <c r="C2690" s="23">
        <v>1100559635</v>
      </c>
      <c r="H2690" s="24">
        <v>46752</v>
      </c>
      <c r="O2690" s="23">
        <v>42050.02</v>
      </c>
      <c r="P2690" s="23" t="s">
        <v>79</v>
      </c>
    </row>
    <row r="2691" spans="2:28" x14ac:dyDescent="0.2">
      <c r="C2691" s="23">
        <v>1100566048</v>
      </c>
      <c r="E2691" s="23">
        <v>10</v>
      </c>
      <c r="F2691" s="23" t="s">
        <v>2171</v>
      </c>
      <c r="G2691" s="23" t="s">
        <v>2172</v>
      </c>
      <c r="H2691" s="24">
        <v>46752</v>
      </c>
      <c r="I2691" s="24">
        <v>45945</v>
      </c>
      <c r="J2691" s="23" t="s">
        <v>2030</v>
      </c>
      <c r="K2691" s="23" t="s">
        <v>2030</v>
      </c>
      <c r="L2691" s="23">
        <v>7</v>
      </c>
      <c r="M2691" s="23" t="s">
        <v>78</v>
      </c>
      <c r="N2691" s="23" t="s">
        <v>78</v>
      </c>
      <c r="O2691" s="23">
        <v>7.0000000000000007E-2</v>
      </c>
      <c r="P2691" s="23" t="s">
        <v>79</v>
      </c>
      <c r="Q2691" s="23" t="s">
        <v>83</v>
      </c>
      <c r="R2691" s="23">
        <v>11100008</v>
      </c>
      <c r="S2691" s="24" t="s">
        <v>80</v>
      </c>
      <c r="T2691" s="24">
        <v>45945</v>
      </c>
      <c r="U2691" s="24">
        <v>46752</v>
      </c>
      <c r="X2691" s="24">
        <v>45945</v>
      </c>
      <c r="Y2691" s="23">
        <v>1111</v>
      </c>
      <c r="Z2691" s="23">
        <v>11100042</v>
      </c>
      <c r="AA2691" s="23">
        <v>3355</v>
      </c>
      <c r="AB2691" s="24">
        <v>45945</v>
      </c>
    </row>
    <row r="2692" spans="2:28" x14ac:dyDescent="0.2">
      <c r="C2692" s="23">
        <v>1100566048</v>
      </c>
      <c r="E2692" s="23">
        <v>30</v>
      </c>
      <c r="F2692" s="23" t="s">
        <v>2173</v>
      </c>
      <c r="G2692" s="23" t="s">
        <v>2174</v>
      </c>
      <c r="H2692" s="24">
        <v>46752</v>
      </c>
      <c r="I2692" s="24">
        <v>45945</v>
      </c>
      <c r="J2692" s="23" t="s">
        <v>2030</v>
      </c>
      <c r="K2692" s="23" t="s">
        <v>2030</v>
      </c>
      <c r="L2692" s="23">
        <v>2</v>
      </c>
      <c r="M2692" s="23" t="s">
        <v>78</v>
      </c>
      <c r="N2692" s="23" t="s">
        <v>78</v>
      </c>
      <c r="O2692" s="23">
        <v>0.02</v>
      </c>
      <c r="P2692" s="23" t="s">
        <v>79</v>
      </c>
      <c r="Q2692" s="23" t="s">
        <v>83</v>
      </c>
      <c r="R2692" s="23">
        <v>11100008</v>
      </c>
      <c r="S2692" s="24" t="s">
        <v>80</v>
      </c>
      <c r="T2692" s="24">
        <v>45945</v>
      </c>
      <c r="U2692" s="24">
        <v>46752</v>
      </c>
      <c r="X2692" s="24">
        <v>45945</v>
      </c>
      <c r="Y2692" s="23">
        <v>1111</v>
      </c>
      <c r="Z2692" s="23">
        <v>11100042</v>
      </c>
      <c r="AA2692" s="23">
        <v>3355</v>
      </c>
      <c r="AB2692" s="24">
        <v>45945</v>
      </c>
    </row>
    <row r="2693" spans="2:28" x14ac:dyDescent="0.2">
      <c r="B2693" s="23" t="s">
        <v>81</v>
      </c>
      <c r="C2693" s="23">
        <v>1100566048</v>
      </c>
      <c r="H2693" s="24">
        <v>46752</v>
      </c>
      <c r="O2693" s="23">
        <v>0.09</v>
      </c>
      <c r="P2693" s="23" t="s">
        <v>79</v>
      </c>
    </row>
    <row r="2694" spans="2:28" x14ac:dyDescent="0.2">
      <c r="C2694" s="23">
        <v>1100566892</v>
      </c>
      <c r="E2694" s="23">
        <v>10</v>
      </c>
      <c r="F2694" s="23" t="s">
        <v>2175</v>
      </c>
      <c r="G2694" s="23" t="s">
        <v>2176</v>
      </c>
      <c r="H2694" s="24">
        <v>46752</v>
      </c>
      <c r="I2694" s="24">
        <v>46752</v>
      </c>
      <c r="J2694" s="23" t="s">
        <v>416</v>
      </c>
      <c r="K2694" s="23" t="s">
        <v>416</v>
      </c>
      <c r="L2694" s="23">
        <v>1</v>
      </c>
      <c r="M2694" s="23" t="s">
        <v>78</v>
      </c>
      <c r="N2694" s="23" t="s">
        <v>78</v>
      </c>
      <c r="O2694" s="23">
        <v>3504.54</v>
      </c>
      <c r="P2694" s="23" t="s">
        <v>79</v>
      </c>
      <c r="Q2694" s="23" t="s">
        <v>83</v>
      </c>
      <c r="R2694" s="23">
        <v>11100299</v>
      </c>
      <c r="S2694" s="24">
        <v>45974</v>
      </c>
      <c r="T2694" s="24">
        <v>45953</v>
      </c>
      <c r="U2694" s="24">
        <v>46752</v>
      </c>
      <c r="X2694" s="24">
        <v>45952</v>
      </c>
      <c r="Y2694" s="23">
        <v>1111</v>
      </c>
      <c r="Z2694" s="23">
        <v>11400895</v>
      </c>
      <c r="AA2694" s="23">
        <v>3351</v>
      </c>
      <c r="AB2694" s="24">
        <v>45951</v>
      </c>
    </row>
    <row r="2695" spans="2:28" x14ac:dyDescent="0.2">
      <c r="C2695" s="23">
        <v>1100566892</v>
      </c>
      <c r="E2695" s="23">
        <v>20</v>
      </c>
      <c r="F2695" s="23" t="s">
        <v>82</v>
      </c>
      <c r="G2695" s="23" t="s">
        <v>139</v>
      </c>
      <c r="H2695" s="24">
        <v>46752</v>
      </c>
      <c r="I2695" s="24">
        <v>46752</v>
      </c>
      <c r="J2695" s="23" t="s">
        <v>416</v>
      </c>
      <c r="K2695" s="23" t="s">
        <v>416</v>
      </c>
      <c r="L2695" s="23">
        <v>1</v>
      </c>
      <c r="M2695" s="23" t="s">
        <v>78</v>
      </c>
      <c r="N2695" s="23" t="s">
        <v>78</v>
      </c>
      <c r="O2695" s="23">
        <v>0.01</v>
      </c>
      <c r="P2695" s="23" t="s">
        <v>79</v>
      </c>
      <c r="Q2695" s="23" t="s">
        <v>83</v>
      </c>
      <c r="R2695" s="23">
        <v>11100299</v>
      </c>
      <c r="S2695" s="24" t="s">
        <v>80</v>
      </c>
      <c r="T2695" s="24">
        <v>45953</v>
      </c>
      <c r="U2695" s="24">
        <v>46752</v>
      </c>
      <c r="X2695" s="24">
        <v>45952</v>
      </c>
      <c r="Y2695" s="23">
        <v>1111</v>
      </c>
      <c r="Z2695" s="23">
        <v>11400895</v>
      </c>
      <c r="AA2695" s="23">
        <v>3351</v>
      </c>
      <c r="AB2695" s="24">
        <v>45951</v>
      </c>
    </row>
    <row r="2696" spans="2:28" x14ac:dyDescent="0.2">
      <c r="B2696" s="23" t="s">
        <v>81</v>
      </c>
      <c r="C2696" s="23">
        <v>1100566892</v>
      </c>
      <c r="H2696" s="24">
        <v>46752</v>
      </c>
      <c r="O2696" s="23">
        <v>3504.55</v>
      </c>
      <c r="P2696" s="23" t="s">
        <v>79</v>
      </c>
    </row>
    <row r="2697" spans="2:28" x14ac:dyDescent="0.2">
      <c r="C2697" s="23">
        <v>1100567162</v>
      </c>
      <c r="E2697" s="23">
        <v>10</v>
      </c>
      <c r="F2697" s="23" t="s">
        <v>1860</v>
      </c>
      <c r="G2697" s="23" t="s">
        <v>1861</v>
      </c>
      <c r="H2697" s="24">
        <v>46752</v>
      </c>
      <c r="I2697" s="24">
        <v>46752</v>
      </c>
      <c r="J2697" s="23" t="s">
        <v>242</v>
      </c>
      <c r="K2697" s="23" t="s">
        <v>242</v>
      </c>
      <c r="L2697" s="23">
        <v>1</v>
      </c>
      <c r="M2697" s="23" t="s">
        <v>78</v>
      </c>
      <c r="N2697" s="23" t="s">
        <v>78</v>
      </c>
      <c r="O2697" s="23">
        <v>1685.53</v>
      </c>
      <c r="P2697" s="23" t="s">
        <v>79</v>
      </c>
      <c r="Q2697" s="23" t="s">
        <v>83</v>
      </c>
      <c r="R2697" s="23">
        <v>11100008</v>
      </c>
      <c r="S2697" s="24">
        <v>45985</v>
      </c>
      <c r="T2697" s="24">
        <v>45957</v>
      </c>
      <c r="U2697" s="24" t="s">
        <v>80</v>
      </c>
      <c r="X2697" s="24">
        <v>45957</v>
      </c>
      <c r="Y2697" s="23">
        <v>1111</v>
      </c>
      <c r="Z2697" s="23">
        <v>11400789</v>
      </c>
      <c r="AA2697" s="23">
        <v>5051</v>
      </c>
      <c r="AB2697" s="24">
        <v>45914</v>
      </c>
    </row>
    <row r="2698" spans="2:28" x14ac:dyDescent="0.2">
      <c r="C2698" s="23">
        <v>1100567162</v>
      </c>
      <c r="E2698" s="23">
        <v>20</v>
      </c>
      <c r="F2698" s="23" t="s">
        <v>82</v>
      </c>
      <c r="G2698" s="23" t="s">
        <v>139</v>
      </c>
      <c r="H2698" s="24">
        <v>46752</v>
      </c>
      <c r="I2698" s="24">
        <v>46752</v>
      </c>
      <c r="J2698" s="23" t="s">
        <v>242</v>
      </c>
      <c r="K2698" s="23" t="s">
        <v>242</v>
      </c>
      <c r="L2698" s="23">
        <v>1</v>
      </c>
      <c r="M2698" s="23" t="s">
        <v>78</v>
      </c>
      <c r="N2698" s="23" t="s">
        <v>78</v>
      </c>
      <c r="O2698" s="23">
        <v>0.01</v>
      </c>
      <c r="P2698" s="23" t="s">
        <v>79</v>
      </c>
      <c r="Q2698" s="23" t="s">
        <v>83</v>
      </c>
      <c r="R2698" s="23">
        <v>11100008</v>
      </c>
      <c r="S2698" s="24" t="s">
        <v>80</v>
      </c>
      <c r="T2698" s="24">
        <v>45957</v>
      </c>
      <c r="U2698" s="24" t="s">
        <v>80</v>
      </c>
      <c r="X2698" s="24">
        <v>45957</v>
      </c>
      <c r="Y2698" s="23">
        <v>1111</v>
      </c>
      <c r="Z2698" s="23">
        <v>11400789</v>
      </c>
      <c r="AA2698" s="23">
        <v>5051</v>
      </c>
      <c r="AB2698" s="24">
        <v>45914</v>
      </c>
    </row>
    <row r="2699" spans="2:28" x14ac:dyDescent="0.2">
      <c r="B2699" s="23" t="s">
        <v>81</v>
      </c>
      <c r="C2699" s="23">
        <v>1100567162</v>
      </c>
      <c r="H2699" s="24">
        <v>46752</v>
      </c>
      <c r="O2699" s="23">
        <v>1685.54</v>
      </c>
      <c r="P2699" s="23" t="s">
        <v>79</v>
      </c>
    </row>
    <row r="2700" spans="2:28" x14ac:dyDescent="0.2">
      <c r="C2700" s="23">
        <v>1100571655</v>
      </c>
      <c r="E2700" s="23">
        <v>10</v>
      </c>
      <c r="F2700" s="23" t="s">
        <v>706</v>
      </c>
      <c r="G2700" s="23" t="s">
        <v>707</v>
      </c>
      <c r="H2700" s="24">
        <v>46752</v>
      </c>
      <c r="I2700" s="24">
        <v>46752</v>
      </c>
      <c r="J2700" s="23" t="s">
        <v>2191</v>
      </c>
      <c r="K2700" s="23" t="s">
        <v>2191</v>
      </c>
      <c r="L2700" s="23">
        <v>2</v>
      </c>
      <c r="M2700" s="23" t="s">
        <v>78</v>
      </c>
      <c r="N2700" s="23" t="s">
        <v>78</v>
      </c>
      <c r="O2700" s="23">
        <v>13355.88</v>
      </c>
      <c r="P2700" s="23" t="s">
        <v>79</v>
      </c>
      <c r="Q2700" s="23" t="s">
        <v>83</v>
      </c>
      <c r="R2700" s="23">
        <v>11100176</v>
      </c>
      <c r="S2700" s="24">
        <v>46017</v>
      </c>
      <c r="T2700" s="24">
        <v>46007</v>
      </c>
      <c r="U2700" s="24">
        <v>46752</v>
      </c>
      <c r="X2700" s="24">
        <v>45985</v>
      </c>
      <c r="Y2700" s="23">
        <v>1111</v>
      </c>
      <c r="Z2700" s="23">
        <v>11400704</v>
      </c>
      <c r="AA2700" s="23">
        <v>505103</v>
      </c>
      <c r="AB2700" s="24">
        <v>45918</v>
      </c>
    </row>
    <row r="2701" spans="2:28" x14ac:dyDescent="0.2">
      <c r="B2701" s="23" t="s">
        <v>81</v>
      </c>
      <c r="C2701" s="23">
        <v>1100571655</v>
      </c>
      <c r="H2701" s="24">
        <v>46752</v>
      </c>
      <c r="O2701" s="23">
        <v>13355.88</v>
      </c>
      <c r="P2701" s="23" t="s">
        <v>79</v>
      </c>
    </row>
    <row r="2702" spans="2:28" x14ac:dyDescent="0.2">
      <c r="C2702" s="23">
        <v>1100572224</v>
      </c>
      <c r="E2702" s="23">
        <v>10</v>
      </c>
      <c r="F2702" s="23" t="s">
        <v>651</v>
      </c>
      <c r="G2702" s="23" t="s">
        <v>652</v>
      </c>
      <c r="H2702" s="24">
        <v>46752</v>
      </c>
      <c r="I2702" s="24">
        <v>46752</v>
      </c>
      <c r="J2702" s="23" t="s">
        <v>685</v>
      </c>
      <c r="K2702" s="23" t="s">
        <v>685</v>
      </c>
      <c r="L2702" s="23">
        <v>1</v>
      </c>
      <c r="M2702" s="23" t="s">
        <v>78</v>
      </c>
      <c r="N2702" s="23" t="s">
        <v>78</v>
      </c>
      <c r="O2702" s="23">
        <v>377.2</v>
      </c>
      <c r="P2702" s="23" t="s">
        <v>79</v>
      </c>
      <c r="Q2702" s="23" t="s">
        <v>83</v>
      </c>
      <c r="R2702" s="23">
        <v>11100176</v>
      </c>
      <c r="S2702" s="24">
        <v>46027</v>
      </c>
      <c r="T2702" s="24">
        <v>46013</v>
      </c>
      <c r="U2702" s="24">
        <v>46752</v>
      </c>
      <c r="X2702" s="24">
        <v>46010</v>
      </c>
      <c r="Y2702" s="23">
        <v>1111</v>
      </c>
      <c r="Z2702" s="23">
        <v>11600007</v>
      </c>
      <c r="AA2702" s="23">
        <v>505103</v>
      </c>
      <c r="AB2702" s="24">
        <v>46013</v>
      </c>
    </row>
    <row r="2703" spans="2:28" x14ac:dyDescent="0.2">
      <c r="C2703" s="23">
        <v>1100572224</v>
      </c>
      <c r="E2703" s="23">
        <v>20</v>
      </c>
      <c r="F2703" s="23" t="s">
        <v>94</v>
      </c>
      <c r="G2703" s="23" t="s">
        <v>95</v>
      </c>
      <c r="H2703" s="24">
        <v>46752</v>
      </c>
      <c r="I2703" s="24">
        <v>46752</v>
      </c>
      <c r="J2703" s="23" t="s">
        <v>685</v>
      </c>
      <c r="K2703" s="23" t="s">
        <v>685</v>
      </c>
      <c r="L2703" s="23">
        <v>1</v>
      </c>
      <c r="M2703" s="23" t="s">
        <v>78</v>
      </c>
      <c r="N2703" s="23" t="s">
        <v>78</v>
      </c>
      <c r="O2703" s="23">
        <v>25</v>
      </c>
      <c r="P2703" s="23" t="s">
        <v>79</v>
      </c>
      <c r="Q2703" s="23" t="s">
        <v>83</v>
      </c>
      <c r="R2703" s="23">
        <v>11100176</v>
      </c>
      <c r="S2703" s="24" t="s">
        <v>80</v>
      </c>
      <c r="T2703" s="24">
        <v>46013</v>
      </c>
      <c r="U2703" s="24">
        <v>46752</v>
      </c>
      <c r="X2703" s="24">
        <v>46010</v>
      </c>
      <c r="Y2703" s="23">
        <v>1111</v>
      </c>
      <c r="Z2703" s="23">
        <v>11600007</v>
      </c>
      <c r="AA2703" s="23">
        <v>505103</v>
      </c>
      <c r="AB2703" s="24">
        <v>46013</v>
      </c>
    </row>
    <row r="2704" spans="2:28" x14ac:dyDescent="0.2">
      <c r="B2704" s="23" t="s">
        <v>81</v>
      </c>
      <c r="C2704" s="23">
        <v>1100572224</v>
      </c>
      <c r="H2704" s="24">
        <v>46752</v>
      </c>
      <c r="O2704" s="23">
        <v>402.2</v>
      </c>
      <c r="P2704" s="23" t="s">
        <v>79</v>
      </c>
    </row>
    <row r="2705" spans="2:28" x14ac:dyDescent="0.2">
      <c r="C2705" s="23">
        <v>1100572916</v>
      </c>
      <c r="E2705" s="23">
        <v>10</v>
      </c>
      <c r="F2705" s="23" t="s">
        <v>87</v>
      </c>
      <c r="G2705" s="23" t="s">
        <v>2200</v>
      </c>
      <c r="H2705" s="24">
        <v>46752</v>
      </c>
      <c r="I2705" s="24">
        <v>46752</v>
      </c>
      <c r="J2705" s="23" t="s">
        <v>1144</v>
      </c>
      <c r="K2705" s="23" t="s">
        <v>1144</v>
      </c>
      <c r="L2705" s="23">
        <v>1</v>
      </c>
      <c r="M2705" s="23" t="s">
        <v>78</v>
      </c>
      <c r="N2705" s="23" t="s">
        <v>78</v>
      </c>
      <c r="O2705" s="23">
        <v>11992</v>
      </c>
      <c r="P2705" s="23" t="s">
        <v>79</v>
      </c>
      <c r="Q2705" s="23" t="s">
        <v>83</v>
      </c>
      <c r="R2705" s="23">
        <v>11100176</v>
      </c>
      <c r="S2705" s="24">
        <v>46104</v>
      </c>
      <c r="T2705" s="24">
        <v>46028</v>
      </c>
      <c r="U2705" s="24">
        <v>46752</v>
      </c>
      <c r="X2705" s="24">
        <v>46010</v>
      </c>
      <c r="Y2705" s="23">
        <v>1111</v>
      </c>
      <c r="Z2705" s="23">
        <v>11400124</v>
      </c>
      <c r="AA2705" s="23">
        <v>335803</v>
      </c>
      <c r="AB2705" s="24">
        <v>46752</v>
      </c>
    </row>
    <row r="2706" spans="2:28" x14ac:dyDescent="0.2">
      <c r="C2706" s="23">
        <v>1100572916</v>
      </c>
      <c r="E2706" s="23">
        <v>20</v>
      </c>
      <c r="F2706" s="23" t="s">
        <v>87</v>
      </c>
      <c r="G2706" s="23" t="s">
        <v>2200</v>
      </c>
      <c r="H2706" s="24">
        <v>46752</v>
      </c>
      <c r="I2706" s="24">
        <v>46752</v>
      </c>
      <c r="J2706" s="23" t="s">
        <v>1144</v>
      </c>
      <c r="K2706" s="23" t="s">
        <v>1144</v>
      </c>
      <c r="L2706" s="23">
        <v>1</v>
      </c>
      <c r="M2706" s="23" t="s">
        <v>78</v>
      </c>
      <c r="N2706" s="23" t="s">
        <v>78</v>
      </c>
      <c r="O2706" s="23">
        <v>18908</v>
      </c>
      <c r="P2706" s="23" t="s">
        <v>79</v>
      </c>
      <c r="Q2706" s="23" t="s">
        <v>83</v>
      </c>
      <c r="R2706" s="23">
        <v>11100176</v>
      </c>
      <c r="S2706" s="24">
        <v>46104</v>
      </c>
      <c r="T2706" s="24">
        <v>46028</v>
      </c>
      <c r="U2706" s="24">
        <v>46752</v>
      </c>
      <c r="X2706" s="24">
        <v>46010</v>
      </c>
      <c r="Y2706" s="23">
        <v>1111</v>
      </c>
      <c r="Z2706" s="23">
        <v>11400124</v>
      </c>
      <c r="AA2706" s="23">
        <v>335803</v>
      </c>
      <c r="AB2706" s="24">
        <v>46752</v>
      </c>
    </row>
    <row r="2707" spans="2:28" x14ac:dyDescent="0.2">
      <c r="C2707" s="23">
        <v>1100572916</v>
      </c>
      <c r="E2707" s="23">
        <v>30</v>
      </c>
      <c r="F2707" s="23" t="s">
        <v>87</v>
      </c>
      <c r="G2707" s="23" t="s">
        <v>2200</v>
      </c>
      <c r="H2707" s="24">
        <v>46752</v>
      </c>
      <c r="I2707" s="24">
        <v>46752</v>
      </c>
      <c r="J2707" s="23" t="s">
        <v>1144</v>
      </c>
      <c r="K2707" s="23" t="s">
        <v>1144</v>
      </c>
      <c r="L2707" s="23">
        <v>1</v>
      </c>
      <c r="M2707" s="23" t="s">
        <v>78</v>
      </c>
      <c r="N2707" s="23" t="s">
        <v>78</v>
      </c>
      <c r="O2707" s="23">
        <v>6916</v>
      </c>
      <c r="P2707" s="23" t="s">
        <v>79</v>
      </c>
      <c r="Q2707" s="23" t="s">
        <v>83</v>
      </c>
      <c r="R2707" s="23">
        <v>11100176</v>
      </c>
      <c r="S2707" s="24">
        <v>46104</v>
      </c>
      <c r="T2707" s="24">
        <v>46028</v>
      </c>
      <c r="U2707" s="24">
        <v>46752</v>
      </c>
      <c r="X2707" s="24">
        <v>46010</v>
      </c>
      <c r="Y2707" s="23">
        <v>1111</v>
      </c>
      <c r="Z2707" s="23">
        <v>11400124</v>
      </c>
      <c r="AA2707" s="23">
        <v>335803</v>
      </c>
      <c r="AB2707" s="24">
        <v>46752</v>
      </c>
    </row>
    <row r="2708" spans="2:28" x14ac:dyDescent="0.2">
      <c r="C2708" s="23">
        <v>1100572916</v>
      </c>
      <c r="E2708" s="23">
        <v>40</v>
      </c>
      <c r="F2708" s="23" t="s">
        <v>84</v>
      </c>
      <c r="G2708" s="23" t="s">
        <v>123</v>
      </c>
      <c r="H2708" s="24">
        <v>46752</v>
      </c>
      <c r="I2708" s="24">
        <v>46752</v>
      </c>
      <c r="J2708" s="23" t="s">
        <v>1144</v>
      </c>
      <c r="K2708" s="23" t="s">
        <v>1144</v>
      </c>
      <c r="L2708" s="23">
        <v>1</v>
      </c>
      <c r="M2708" s="23" t="s">
        <v>78</v>
      </c>
      <c r="N2708" s="23" t="s">
        <v>78</v>
      </c>
      <c r="O2708" s="23">
        <v>0.01</v>
      </c>
      <c r="P2708" s="23" t="s">
        <v>79</v>
      </c>
      <c r="Q2708" s="23" t="s">
        <v>83</v>
      </c>
      <c r="R2708" s="23">
        <v>11100176</v>
      </c>
      <c r="S2708" s="24">
        <v>46104</v>
      </c>
      <c r="T2708" s="24">
        <v>46028</v>
      </c>
      <c r="U2708" s="24">
        <v>46752</v>
      </c>
      <c r="X2708" s="24">
        <v>46010</v>
      </c>
      <c r="Y2708" s="23">
        <v>1111</v>
      </c>
      <c r="Z2708" s="23">
        <v>11400124</v>
      </c>
      <c r="AA2708" s="23">
        <v>335803</v>
      </c>
      <c r="AB2708" s="24">
        <v>46752</v>
      </c>
    </row>
    <row r="2709" spans="2:28" x14ac:dyDescent="0.2">
      <c r="C2709" s="23">
        <v>1100572916</v>
      </c>
      <c r="E2709" s="23">
        <v>50</v>
      </c>
      <c r="F2709" s="23" t="s">
        <v>96</v>
      </c>
      <c r="G2709" s="23" t="s">
        <v>97</v>
      </c>
      <c r="H2709" s="24">
        <v>46752</v>
      </c>
      <c r="I2709" s="24">
        <v>46752</v>
      </c>
      <c r="J2709" s="23" t="s">
        <v>1144</v>
      </c>
      <c r="K2709" s="23" t="s">
        <v>1144</v>
      </c>
      <c r="L2709" s="23">
        <v>1</v>
      </c>
      <c r="M2709" s="23" t="s">
        <v>78</v>
      </c>
      <c r="N2709" s="23" t="s">
        <v>78</v>
      </c>
      <c r="O2709" s="23">
        <v>0.01</v>
      </c>
      <c r="P2709" s="23" t="s">
        <v>79</v>
      </c>
      <c r="Q2709" s="23" t="s">
        <v>83</v>
      </c>
      <c r="R2709" s="23">
        <v>11100176</v>
      </c>
      <c r="S2709" s="24">
        <v>46104</v>
      </c>
      <c r="T2709" s="24">
        <v>46028</v>
      </c>
      <c r="U2709" s="24">
        <v>46752</v>
      </c>
      <c r="X2709" s="24">
        <v>46010</v>
      </c>
      <c r="Y2709" s="23">
        <v>1111</v>
      </c>
      <c r="Z2709" s="23">
        <v>11400124</v>
      </c>
      <c r="AA2709" s="23">
        <v>335803</v>
      </c>
      <c r="AB2709" s="24">
        <v>46752</v>
      </c>
    </row>
    <row r="2710" spans="2:28" x14ac:dyDescent="0.2">
      <c r="B2710" s="23" t="s">
        <v>81</v>
      </c>
      <c r="C2710" s="23">
        <v>1100572916</v>
      </c>
      <c r="H2710" s="24">
        <v>46752</v>
      </c>
      <c r="O2710" s="23">
        <v>37816.019999999997</v>
      </c>
      <c r="P2710" s="23" t="s">
        <v>79</v>
      </c>
    </row>
    <row r="2711" spans="2:28" x14ac:dyDescent="0.2">
      <c r="C2711" s="23">
        <v>1100436612</v>
      </c>
      <c r="E2711" s="23">
        <v>20</v>
      </c>
      <c r="F2711" s="23" t="s">
        <v>132</v>
      </c>
      <c r="G2711" s="23" t="s">
        <v>133</v>
      </c>
      <c r="H2711" s="24">
        <v>47118</v>
      </c>
      <c r="I2711" s="24">
        <v>47118</v>
      </c>
      <c r="J2711" s="23" t="s">
        <v>129</v>
      </c>
      <c r="K2711" s="23" t="s">
        <v>129</v>
      </c>
      <c r="L2711" s="23">
        <v>1</v>
      </c>
      <c r="M2711" s="23" t="s">
        <v>78</v>
      </c>
      <c r="N2711" s="23" t="s">
        <v>78</v>
      </c>
      <c r="O2711" s="23">
        <v>10000</v>
      </c>
      <c r="P2711" s="23" t="s">
        <v>79</v>
      </c>
      <c r="Q2711" s="23" t="s">
        <v>83</v>
      </c>
      <c r="R2711" s="23">
        <v>11100008</v>
      </c>
      <c r="S2711" s="24" t="s">
        <v>80</v>
      </c>
      <c r="T2711" s="24">
        <v>44179</v>
      </c>
      <c r="U2711" s="24">
        <v>44925</v>
      </c>
      <c r="X2711" s="24">
        <v>44179</v>
      </c>
      <c r="Y2711" s="23">
        <v>1111</v>
      </c>
      <c r="Z2711" s="23">
        <v>11100042</v>
      </c>
      <c r="AA2711" s="23">
        <v>3955</v>
      </c>
      <c r="AB2711" s="24">
        <v>44179</v>
      </c>
    </row>
    <row r="2712" spans="2:28" x14ac:dyDescent="0.2">
      <c r="C2712" s="23">
        <v>1100436612</v>
      </c>
      <c r="E2712" s="23">
        <v>30</v>
      </c>
      <c r="F2712" s="23" t="s">
        <v>82</v>
      </c>
      <c r="G2712" s="23" t="s">
        <v>90</v>
      </c>
      <c r="H2712" s="24">
        <v>47118</v>
      </c>
      <c r="I2712" s="24">
        <v>47118</v>
      </c>
      <c r="J2712" s="23" t="s">
        <v>129</v>
      </c>
      <c r="K2712" s="23" t="s">
        <v>129</v>
      </c>
      <c r="L2712" s="23">
        <v>1</v>
      </c>
      <c r="M2712" s="23" t="s">
        <v>78</v>
      </c>
      <c r="N2712" s="23" t="s">
        <v>78</v>
      </c>
      <c r="O2712" s="23">
        <v>0</v>
      </c>
      <c r="P2712" s="23" t="s">
        <v>79</v>
      </c>
      <c r="Q2712" s="23" t="s">
        <v>83</v>
      </c>
      <c r="R2712" s="23">
        <v>11100008</v>
      </c>
      <c r="S2712" s="24" t="s">
        <v>80</v>
      </c>
      <c r="T2712" s="24">
        <v>44179</v>
      </c>
      <c r="U2712" s="24">
        <v>44925</v>
      </c>
      <c r="X2712" s="24">
        <v>44179</v>
      </c>
      <c r="Y2712" s="23">
        <v>1111</v>
      </c>
      <c r="Z2712" s="23">
        <v>11100042</v>
      </c>
      <c r="AA2712" s="23">
        <v>3955</v>
      </c>
      <c r="AB2712" s="24">
        <v>44179</v>
      </c>
    </row>
    <row r="2713" spans="2:28" x14ac:dyDescent="0.2">
      <c r="B2713" s="23" t="s">
        <v>81</v>
      </c>
      <c r="C2713" s="23">
        <v>1100436612</v>
      </c>
      <c r="H2713" s="24">
        <v>47118</v>
      </c>
      <c r="O2713" s="23">
        <v>10000</v>
      </c>
      <c r="P2713" s="23" t="s">
        <v>79</v>
      </c>
    </row>
    <row r="2714" spans="2:28" x14ac:dyDescent="0.2">
      <c r="C2714" s="23">
        <v>1100445280</v>
      </c>
      <c r="E2714" s="23">
        <v>20</v>
      </c>
      <c r="F2714" s="23" t="s">
        <v>136</v>
      </c>
      <c r="G2714" s="23" t="s">
        <v>137</v>
      </c>
      <c r="H2714" s="24">
        <v>47118</v>
      </c>
      <c r="I2714" s="24">
        <v>47118</v>
      </c>
      <c r="J2714" s="23" t="s">
        <v>166</v>
      </c>
      <c r="K2714" s="23" t="s">
        <v>166</v>
      </c>
      <c r="L2714" s="23">
        <v>1</v>
      </c>
      <c r="M2714" s="23" t="s">
        <v>78</v>
      </c>
      <c r="N2714" s="23" t="s">
        <v>78</v>
      </c>
      <c r="O2714" s="23">
        <v>2714</v>
      </c>
      <c r="P2714" s="23" t="s">
        <v>79</v>
      </c>
      <c r="Q2714" s="23" t="s">
        <v>83</v>
      </c>
      <c r="S2714" s="24" t="s">
        <v>80</v>
      </c>
      <c r="T2714" s="24">
        <v>44293</v>
      </c>
      <c r="U2714" s="24">
        <v>44925</v>
      </c>
      <c r="X2714" s="24">
        <v>44293</v>
      </c>
      <c r="Y2714" s="23">
        <v>1111</v>
      </c>
      <c r="Z2714" s="23">
        <v>11100042</v>
      </c>
      <c r="AA2714" s="23">
        <v>3955</v>
      </c>
      <c r="AB2714" s="24">
        <v>44293</v>
      </c>
    </row>
    <row r="2715" spans="2:28" x14ac:dyDescent="0.2">
      <c r="B2715" s="23" t="s">
        <v>81</v>
      </c>
      <c r="C2715" s="23">
        <v>1100445280</v>
      </c>
      <c r="H2715" s="24">
        <v>47118</v>
      </c>
      <c r="O2715" s="23">
        <v>2714</v>
      </c>
      <c r="P2715" s="23" t="s">
        <v>79</v>
      </c>
    </row>
    <row r="2716" spans="2:28" x14ac:dyDescent="0.2">
      <c r="C2716" s="23">
        <v>1100487367</v>
      </c>
      <c r="E2716" s="23">
        <v>20</v>
      </c>
      <c r="F2716" s="23" t="s">
        <v>136</v>
      </c>
      <c r="G2716" s="23" t="s">
        <v>137</v>
      </c>
      <c r="H2716" s="24">
        <v>47118</v>
      </c>
      <c r="I2716" s="24">
        <v>47118</v>
      </c>
      <c r="J2716" s="23" t="s">
        <v>170</v>
      </c>
      <c r="K2716" s="23" t="s">
        <v>170</v>
      </c>
      <c r="L2716" s="23">
        <v>1</v>
      </c>
      <c r="M2716" s="23" t="s">
        <v>78</v>
      </c>
      <c r="N2716" s="23" t="s">
        <v>78</v>
      </c>
      <c r="O2716" s="23">
        <v>2677</v>
      </c>
      <c r="P2716" s="23" t="s">
        <v>79</v>
      </c>
      <c r="Q2716" s="23" t="s">
        <v>83</v>
      </c>
      <c r="R2716" s="23">
        <v>11100189</v>
      </c>
      <c r="S2716" s="24" t="s">
        <v>80</v>
      </c>
      <c r="T2716" s="24">
        <v>44860</v>
      </c>
      <c r="U2716" s="24">
        <v>45289</v>
      </c>
      <c r="X2716" s="24">
        <v>44860</v>
      </c>
      <c r="Y2716" s="23">
        <v>1111</v>
      </c>
      <c r="Z2716" s="23">
        <v>11100042</v>
      </c>
      <c r="AA2716" s="23">
        <v>3955</v>
      </c>
      <c r="AB2716" s="24">
        <v>44860</v>
      </c>
    </row>
    <row r="2717" spans="2:28" x14ac:dyDescent="0.2">
      <c r="B2717" s="23" t="s">
        <v>81</v>
      </c>
      <c r="C2717" s="23">
        <v>1100487367</v>
      </c>
      <c r="H2717" s="24">
        <v>47118</v>
      </c>
      <c r="O2717" s="23">
        <v>2677</v>
      </c>
      <c r="P2717" s="23" t="s">
        <v>79</v>
      </c>
    </row>
    <row r="2718" spans="2:28" x14ac:dyDescent="0.2">
      <c r="C2718" s="23">
        <v>1100493771</v>
      </c>
      <c r="E2718" s="23">
        <v>20</v>
      </c>
      <c r="F2718" s="23" t="s">
        <v>192</v>
      </c>
      <c r="G2718" s="23" t="s">
        <v>193</v>
      </c>
      <c r="H2718" s="24">
        <v>47118</v>
      </c>
      <c r="I2718" s="24">
        <v>47118</v>
      </c>
      <c r="J2718" s="23" t="s">
        <v>194</v>
      </c>
      <c r="K2718" s="23" t="s">
        <v>194</v>
      </c>
      <c r="L2718" s="23">
        <v>1</v>
      </c>
      <c r="M2718" s="23" t="s">
        <v>78</v>
      </c>
      <c r="N2718" s="23" t="s">
        <v>78</v>
      </c>
      <c r="O2718" s="23">
        <v>4695</v>
      </c>
      <c r="P2718" s="23" t="s">
        <v>79</v>
      </c>
      <c r="Q2718" s="23" t="s">
        <v>83</v>
      </c>
      <c r="S2718" s="24" t="s">
        <v>80</v>
      </c>
      <c r="T2718" s="24">
        <v>44959</v>
      </c>
      <c r="U2718" s="24">
        <v>45016</v>
      </c>
      <c r="X2718" s="24">
        <v>44959</v>
      </c>
      <c r="Y2718" s="23">
        <v>1111</v>
      </c>
      <c r="Z2718" s="23">
        <v>11100042</v>
      </c>
      <c r="AA2718" s="23">
        <v>5055</v>
      </c>
      <c r="AB2718" s="24">
        <v>44959</v>
      </c>
    </row>
    <row r="2719" spans="2:28" x14ac:dyDescent="0.2">
      <c r="B2719" s="23" t="s">
        <v>81</v>
      </c>
      <c r="C2719" s="23">
        <v>1100493771</v>
      </c>
      <c r="H2719" s="24">
        <v>47118</v>
      </c>
      <c r="O2719" s="23">
        <v>4695</v>
      </c>
      <c r="P2719" s="23" t="s">
        <v>79</v>
      </c>
    </row>
    <row r="2720" spans="2:28" x14ac:dyDescent="0.2">
      <c r="C2720" s="23">
        <v>1100512714</v>
      </c>
      <c r="E2720" s="23">
        <v>10</v>
      </c>
      <c r="F2720" s="23" t="s">
        <v>212</v>
      </c>
      <c r="G2720" s="23" t="s">
        <v>213</v>
      </c>
      <c r="H2720" s="24">
        <v>47118</v>
      </c>
      <c r="I2720" s="24">
        <v>47118</v>
      </c>
      <c r="J2720" s="23" t="s">
        <v>214</v>
      </c>
      <c r="K2720" s="23" t="s">
        <v>214</v>
      </c>
      <c r="L2720" s="23">
        <v>2</v>
      </c>
      <c r="M2720" s="23" t="s">
        <v>78</v>
      </c>
      <c r="N2720" s="23" t="s">
        <v>78</v>
      </c>
      <c r="O2720" s="23">
        <v>0.02</v>
      </c>
      <c r="P2720" s="23" t="s">
        <v>79</v>
      </c>
      <c r="Q2720" s="23" t="s">
        <v>83</v>
      </c>
      <c r="S2720" s="24">
        <v>45225</v>
      </c>
      <c r="T2720" s="24">
        <v>45225</v>
      </c>
      <c r="U2720" s="24">
        <v>45296</v>
      </c>
      <c r="X2720" s="24">
        <v>45225</v>
      </c>
      <c r="Y2720" s="23">
        <v>1111</v>
      </c>
      <c r="Z2720" s="23">
        <v>11300017</v>
      </c>
      <c r="AA2720" s="23">
        <v>3955</v>
      </c>
      <c r="AB2720" s="24">
        <v>45225</v>
      </c>
    </row>
    <row r="2721" spans="2:28" x14ac:dyDescent="0.2">
      <c r="B2721" s="23" t="s">
        <v>81</v>
      </c>
      <c r="C2721" s="23">
        <v>1100512714</v>
      </c>
      <c r="H2721" s="24">
        <v>47118</v>
      </c>
      <c r="O2721" s="23">
        <v>0.02</v>
      </c>
      <c r="P2721" s="23" t="s">
        <v>79</v>
      </c>
    </row>
    <row r="2722" spans="2:28" x14ac:dyDescent="0.2">
      <c r="C2722" s="23">
        <v>1100513349</v>
      </c>
      <c r="E2722" s="23">
        <v>20</v>
      </c>
      <c r="F2722" s="23" t="s">
        <v>192</v>
      </c>
      <c r="G2722" s="23" t="s">
        <v>220</v>
      </c>
      <c r="H2722" s="24">
        <v>47118</v>
      </c>
      <c r="I2722" s="24">
        <v>47118</v>
      </c>
      <c r="J2722" s="23" t="s">
        <v>157</v>
      </c>
      <c r="K2722" s="23" t="s">
        <v>157</v>
      </c>
      <c r="L2722" s="23">
        <v>1</v>
      </c>
      <c r="M2722" s="23" t="s">
        <v>78</v>
      </c>
      <c r="N2722" s="23" t="s">
        <v>78</v>
      </c>
      <c r="O2722" s="23">
        <v>0</v>
      </c>
      <c r="P2722" s="23" t="s">
        <v>79</v>
      </c>
      <c r="Q2722" s="23" t="s">
        <v>83</v>
      </c>
      <c r="R2722" s="23">
        <v>11100189</v>
      </c>
      <c r="S2722" s="24" t="s">
        <v>80</v>
      </c>
      <c r="T2722" s="24">
        <v>45233</v>
      </c>
      <c r="U2722" s="24">
        <v>45657</v>
      </c>
      <c r="X2722" s="24">
        <v>45233</v>
      </c>
      <c r="Y2722" s="23">
        <v>1111</v>
      </c>
      <c r="Z2722" s="23">
        <v>11100042</v>
      </c>
      <c r="AA2722" s="23">
        <v>3355</v>
      </c>
      <c r="AB2722" s="24">
        <v>45233</v>
      </c>
    </row>
    <row r="2723" spans="2:28" x14ac:dyDescent="0.2">
      <c r="B2723" s="23" t="s">
        <v>81</v>
      </c>
      <c r="C2723" s="23">
        <v>1100513349</v>
      </c>
      <c r="H2723" s="24">
        <v>47118</v>
      </c>
      <c r="O2723" s="23">
        <v>0</v>
      </c>
      <c r="P2723" s="23" t="s">
        <v>79</v>
      </c>
    </row>
    <row r="2724" spans="2:28" x14ac:dyDescent="0.2">
      <c r="C2724" s="23">
        <v>1100516053</v>
      </c>
      <c r="E2724" s="23">
        <v>20</v>
      </c>
      <c r="F2724" s="23" t="s">
        <v>192</v>
      </c>
      <c r="G2724" s="23" t="s">
        <v>221</v>
      </c>
      <c r="H2724" s="24">
        <v>47118</v>
      </c>
      <c r="I2724" s="24">
        <v>47118</v>
      </c>
      <c r="J2724" s="23" t="s">
        <v>159</v>
      </c>
      <c r="K2724" s="23" t="s">
        <v>159</v>
      </c>
      <c r="L2724" s="23">
        <v>27</v>
      </c>
      <c r="M2724" s="23" t="s">
        <v>78</v>
      </c>
      <c r="N2724" s="23" t="s">
        <v>78</v>
      </c>
      <c r="O2724" s="23">
        <v>0</v>
      </c>
      <c r="P2724" s="23" t="s">
        <v>79</v>
      </c>
      <c r="Q2724" s="23" t="s">
        <v>119</v>
      </c>
      <c r="R2724" s="23">
        <v>11100008</v>
      </c>
      <c r="S2724" s="24" t="s">
        <v>80</v>
      </c>
      <c r="T2724" s="24">
        <v>45274</v>
      </c>
      <c r="U2724" s="24">
        <v>45281</v>
      </c>
      <c r="V2724" s="23">
        <v>7</v>
      </c>
      <c r="X2724" s="24">
        <v>45274</v>
      </c>
      <c r="Y2724" s="23">
        <v>1111</v>
      </c>
      <c r="Z2724" s="23">
        <v>11100042</v>
      </c>
      <c r="AA2724" s="23">
        <v>3955</v>
      </c>
      <c r="AB2724" s="24">
        <v>45274</v>
      </c>
    </row>
    <row r="2725" spans="2:28" x14ac:dyDescent="0.2">
      <c r="C2725" s="23">
        <v>1100516053</v>
      </c>
      <c r="E2725" s="23">
        <v>50</v>
      </c>
      <c r="F2725" s="23" t="s">
        <v>84</v>
      </c>
      <c r="G2725" s="23" t="s">
        <v>123</v>
      </c>
      <c r="H2725" s="24">
        <v>47118</v>
      </c>
      <c r="I2725" s="24">
        <v>47118</v>
      </c>
      <c r="J2725" s="23" t="s">
        <v>159</v>
      </c>
      <c r="K2725" s="23" t="s">
        <v>159</v>
      </c>
      <c r="L2725" s="23">
        <v>1</v>
      </c>
      <c r="M2725" s="23" t="s">
        <v>78</v>
      </c>
      <c r="N2725" s="23" t="s">
        <v>78</v>
      </c>
      <c r="O2725" s="23">
        <v>0</v>
      </c>
      <c r="P2725" s="23" t="s">
        <v>79</v>
      </c>
      <c r="Q2725" s="23" t="s">
        <v>83</v>
      </c>
      <c r="R2725" s="23">
        <v>11100008</v>
      </c>
      <c r="S2725" s="24" t="s">
        <v>80</v>
      </c>
      <c r="T2725" s="24">
        <v>45274</v>
      </c>
      <c r="U2725" s="24">
        <v>46022</v>
      </c>
      <c r="X2725" s="24">
        <v>45274</v>
      </c>
      <c r="Y2725" s="23">
        <v>1111</v>
      </c>
      <c r="Z2725" s="23">
        <v>11100042</v>
      </c>
      <c r="AA2725" s="23">
        <v>3955</v>
      </c>
      <c r="AB2725" s="24">
        <v>45274</v>
      </c>
    </row>
    <row r="2726" spans="2:28" x14ac:dyDescent="0.2">
      <c r="B2726" s="23" t="s">
        <v>81</v>
      </c>
      <c r="C2726" s="23">
        <v>1100516053</v>
      </c>
      <c r="H2726" s="24">
        <v>47118</v>
      </c>
      <c r="O2726" s="23">
        <v>0</v>
      </c>
      <c r="P2726" s="23" t="s">
        <v>79</v>
      </c>
    </row>
    <row r="2727" spans="2:28" x14ac:dyDescent="0.2">
      <c r="C2727" s="23">
        <v>1100530103</v>
      </c>
      <c r="E2727" s="23">
        <v>10</v>
      </c>
      <c r="F2727" s="23" t="s">
        <v>84</v>
      </c>
      <c r="G2727" s="23" t="s">
        <v>254</v>
      </c>
      <c r="H2727" s="24">
        <v>47118</v>
      </c>
      <c r="I2727" s="24">
        <v>47118</v>
      </c>
      <c r="J2727" s="23" t="s">
        <v>168</v>
      </c>
      <c r="K2727" s="23" t="s">
        <v>168</v>
      </c>
      <c r="L2727" s="23">
        <v>1</v>
      </c>
      <c r="M2727" s="23" t="s">
        <v>78</v>
      </c>
      <c r="N2727" s="23" t="s">
        <v>78</v>
      </c>
      <c r="O2727" s="23">
        <v>0</v>
      </c>
      <c r="P2727" s="23" t="s">
        <v>79</v>
      </c>
      <c r="Q2727" s="23" t="s">
        <v>83</v>
      </c>
      <c r="R2727" s="23">
        <v>11100008</v>
      </c>
      <c r="S2727" s="24">
        <v>45485</v>
      </c>
      <c r="T2727" s="24">
        <v>45483</v>
      </c>
      <c r="U2727" s="24">
        <v>46387</v>
      </c>
      <c r="X2727" s="24">
        <v>45483</v>
      </c>
      <c r="Y2727" s="23">
        <v>1111</v>
      </c>
      <c r="Z2727" s="23">
        <v>11400778</v>
      </c>
      <c r="AA2727" s="23">
        <v>5101</v>
      </c>
      <c r="AB2727" s="24">
        <v>45483</v>
      </c>
    </row>
    <row r="2728" spans="2:28" x14ac:dyDescent="0.2">
      <c r="B2728" s="23" t="s">
        <v>81</v>
      </c>
      <c r="C2728" s="23">
        <v>1100530103</v>
      </c>
      <c r="H2728" s="24">
        <v>47118</v>
      </c>
      <c r="O2728" s="23">
        <v>0</v>
      </c>
      <c r="P2728" s="23" t="s">
        <v>79</v>
      </c>
    </row>
    <row r="2729" spans="2:28" x14ac:dyDescent="0.2">
      <c r="C2729" s="23">
        <v>1100533414</v>
      </c>
      <c r="E2729" s="23">
        <v>10</v>
      </c>
      <c r="F2729" s="23" t="s">
        <v>265</v>
      </c>
      <c r="G2729" s="23" t="s">
        <v>266</v>
      </c>
      <c r="H2729" s="24">
        <v>47118</v>
      </c>
      <c r="I2729" s="24">
        <v>47118</v>
      </c>
      <c r="J2729" s="23" t="s">
        <v>157</v>
      </c>
      <c r="K2729" s="23" t="s">
        <v>157</v>
      </c>
      <c r="L2729" s="23">
        <v>11</v>
      </c>
      <c r="M2729" s="23" t="s">
        <v>78</v>
      </c>
      <c r="N2729" s="23" t="s">
        <v>78</v>
      </c>
      <c r="O2729" s="23">
        <v>0</v>
      </c>
      <c r="P2729" s="23" t="s">
        <v>79</v>
      </c>
      <c r="Q2729" s="23" t="s">
        <v>83</v>
      </c>
      <c r="R2729" s="23">
        <v>11100189</v>
      </c>
      <c r="S2729" s="24">
        <v>45537</v>
      </c>
      <c r="T2729" s="24">
        <v>45534</v>
      </c>
      <c r="U2729" s="24">
        <v>46387</v>
      </c>
      <c r="X2729" s="24">
        <v>45534</v>
      </c>
      <c r="Y2729" s="23">
        <v>1111</v>
      </c>
      <c r="Z2729" s="23">
        <v>11400797</v>
      </c>
      <c r="AA2729" s="23">
        <v>5020</v>
      </c>
      <c r="AB2729" s="24">
        <v>45534</v>
      </c>
    </row>
    <row r="2730" spans="2:28" x14ac:dyDescent="0.2">
      <c r="B2730" s="23" t="s">
        <v>81</v>
      </c>
      <c r="C2730" s="23">
        <v>1100533414</v>
      </c>
      <c r="H2730" s="24">
        <v>47118</v>
      </c>
      <c r="O2730" s="23">
        <v>0</v>
      </c>
      <c r="P2730" s="23" t="s">
        <v>79</v>
      </c>
    </row>
    <row r="2731" spans="2:28" x14ac:dyDescent="0.2">
      <c r="C2731" s="23">
        <v>1100536238</v>
      </c>
      <c r="E2731" s="23">
        <v>20</v>
      </c>
      <c r="F2731" s="23" t="s">
        <v>192</v>
      </c>
      <c r="G2731" s="23" t="s">
        <v>280</v>
      </c>
      <c r="H2731" s="24">
        <v>47118</v>
      </c>
      <c r="I2731" s="24">
        <v>47118</v>
      </c>
      <c r="J2731" s="23" t="s">
        <v>157</v>
      </c>
      <c r="K2731" s="23" t="s">
        <v>157</v>
      </c>
      <c r="L2731" s="23">
        <v>1</v>
      </c>
      <c r="M2731" s="23" t="s">
        <v>78</v>
      </c>
      <c r="N2731" s="23" t="s">
        <v>78</v>
      </c>
      <c r="O2731" s="23">
        <v>0</v>
      </c>
      <c r="P2731" s="23" t="s">
        <v>79</v>
      </c>
      <c r="Q2731" s="23" t="s">
        <v>83</v>
      </c>
      <c r="R2731" s="23">
        <v>11100189</v>
      </c>
      <c r="S2731" s="24" t="s">
        <v>80</v>
      </c>
      <c r="T2731" s="24">
        <v>45580</v>
      </c>
      <c r="U2731" s="24">
        <v>46387</v>
      </c>
      <c r="X2731" s="24">
        <v>45580</v>
      </c>
      <c r="Y2731" s="23">
        <v>1111</v>
      </c>
      <c r="Z2731" s="23">
        <v>11100042</v>
      </c>
      <c r="AA2731" s="23">
        <v>5053</v>
      </c>
      <c r="AB2731" s="24">
        <v>45580</v>
      </c>
    </row>
    <row r="2732" spans="2:28" x14ac:dyDescent="0.2">
      <c r="B2732" s="23" t="s">
        <v>81</v>
      </c>
      <c r="C2732" s="23">
        <v>1100536238</v>
      </c>
      <c r="H2732" s="24">
        <v>47118</v>
      </c>
      <c r="O2732" s="23">
        <v>0</v>
      </c>
      <c r="P2732" s="23" t="s">
        <v>79</v>
      </c>
    </row>
    <row r="2733" spans="2:28" x14ac:dyDescent="0.2">
      <c r="C2733" s="23">
        <v>1100536246</v>
      </c>
      <c r="E2733" s="23">
        <v>20</v>
      </c>
      <c r="F2733" s="23" t="s">
        <v>192</v>
      </c>
      <c r="G2733" s="23" t="s">
        <v>281</v>
      </c>
      <c r="H2733" s="24">
        <v>47118</v>
      </c>
      <c r="I2733" s="24">
        <v>47118</v>
      </c>
      <c r="J2733" s="23" t="s">
        <v>157</v>
      </c>
      <c r="K2733" s="23" t="s">
        <v>157</v>
      </c>
      <c r="L2733" s="23">
        <v>1</v>
      </c>
      <c r="M2733" s="23" t="s">
        <v>78</v>
      </c>
      <c r="N2733" s="23" t="s">
        <v>78</v>
      </c>
      <c r="O2733" s="23">
        <v>0</v>
      </c>
      <c r="P2733" s="23" t="s">
        <v>79</v>
      </c>
      <c r="Q2733" s="23" t="s">
        <v>83</v>
      </c>
      <c r="R2733" s="23">
        <v>11100008</v>
      </c>
      <c r="S2733" s="24" t="s">
        <v>80</v>
      </c>
      <c r="T2733" s="24">
        <v>45580</v>
      </c>
      <c r="U2733" s="24">
        <v>46387</v>
      </c>
      <c r="X2733" s="24">
        <v>45580</v>
      </c>
      <c r="Y2733" s="23">
        <v>1111</v>
      </c>
      <c r="Z2733" s="23">
        <v>11100042</v>
      </c>
      <c r="AA2733" s="23">
        <v>5053</v>
      </c>
      <c r="AB2733" s="24">
        <v>45580</v>
      </c>
    </row>
    <row r="2734" spans="2:28" x14ac:dyDescent="0.2">
      <c r="B2734" s="23" t="s">
        <v>81</v>
      </c>
      <c r="C2734" s="23">
        <v>1100536246</v>
      </c>
      <c r="H2734" s="24">
        <v>47118</v>
      </c>
      <c r="O2734" s="23">
        <v>0</v>
      </c>
      <c r="P2734" s="23" t="s">
        <v>79</v>
      </c>
    </row>
    <row r="2735" spans="2:28" x14ac:dyDescent="0.2">
      <c r="C2735" s="23">
        <v>1100539374</v>
      </c>
      <c r="E2735" s="23">
        <v>20</v>
      </c>
      <c r="F2735" s="23" t="s">
        <v>192</v>
      </c>
      <c r="G2735" s="23" t="s">
        <v>396</v>
      </c>
      <c r="H2735" s="24">
        <v>47118</v>
      </c>
      <c r="I2735" s="24">
        <v>47118</v>
      </c>
      <c r="J2735" s="23" t="s">
        <v>135</v>
      </c>
      <c r="K2735" s="23" t="s">
        <v>135</v>
      </c>
      <c r="L2735" s="23">
        <v>2</v>
      </c>
      <c r="M2735" s="23" t="s">
        <v>78</v>
      </c>
      <c r="N2735" s="23" t="s">
        <v>78</v>
      </c>
      <c r="O2735" s="23">
        <v>0</v>
      </c>
      <c r="P2735" s="23" t="s">
        <v>79</v>
      </c>
      <c r="Q2735" s="23" t="s">
        <v>83</v>
      </c>
      <c r="R2735" s="23">
        <v>11100008</v>
      </c>
      <c r="S2735" s="24" t="s">
        <v>80</v>
      </c>
      <c r="T2735" s="24">
        <v>45630</v>
      </c>
      <c r="U2735" s="24">
        <v>45637</v>
      </c>
      <c r="X2735" s="24">
        <v>45630</v>
      </c>
      <c r="Y2735" s="23">
        <v>1111</v>
      </c>
      <c r="Z2735" s="23">
        <v>11100042</v>
      </c>
      <c r="AA2735" s="23">
        <v>3353</v>
      </c>
      <c r="AB2735" s="24">
        <v>45630</v>
      </c>
    </row>
    <row r="2736" spans="2:28" x14ac:dyDescent="0.2">
      <c r="B2736" s="23" t="s">
        <v>81</v>
      </c>
      <c r="C2736" s="23">
        <v>1100539374</v>
      </c>
      <c r="H2736" s="24">
        <v>47118</v>
      </c>
      <c r="O2736" s="23">
        <v>0</v>
      </c>
      <c r="P2736" s="23" t="s">
        <v>79</v>
      </c>
    </row>
    <row r="2737" spans="2:28" x14ac:dyDescent="0.2">
      <c r="C2737" s="23">
        <v>1100541888</v>
      </c>
      <c r="E2737" s="23">
        <v>20</v>
      </c>
      <c r="F2737" s="23" t="s">
        <v>192</v>
      </c>
      <c r="G2737" s="23" t="s">
        <v>418</v>
      </c>
      <c r="H2737" s="24">
        <v>47118</v>
      </c>
      <c r="I2737" s="24">
        <v>47118</v>
      </c>
      <c r="J2737" s="23" t="s">
        <v>173</v>
      </c>
      <c r="K2737" s="23" t="s">
        <v>173</v>
      </c>
      <c r="L2737" s="23">
        <v>1</v>
      </c>
      <c r="M2737" s="23" t="s">
        <v>78</v>
      </c>
      <c r="N2737" s="23" t="s">
        <v>78</v>
      </c>
      <c r="O2737" s="23">
        <v>19238</v>
      </c>
      <c r="P2737" s="23" t="s">
        <v>79</v>
      </c>
      <c r="Q2737" s="23" t="s">
        <v>83</v>
      </c>
      <c r="R2737" s="23">
        <v>11100008</v>
      </c>
      <c r="S2737" s="24" t="s">
        <v>80</v>
      </c>
      <c r="T2737" s="24">
        <v>45678</v>
      </c>
      <c r="U2737" s="24">
        <v>46387</v>
      </c>
      <c r="X2737" s="24">
        <v>45678</v>
      </c>
      <c r="Y2737" s="23">
        <v>1111</v>
      </c>
      <c r="Z2737" s="23">
        <v>11100042</v>
      </c>
      <c r="AA2737" s="23">
        <v>5155</v>
      </c>
      <c r="AB2737" s="24">
        <v>45678</v>
      </c>
    </row>
    <row r="2738" spans="2:28" x14ac:dyDescent="0.2">
      <c r="C2738" s="23">
        <v>1100541888</v>
      </c>
      <c r="E2738" s="23">
        <v>30</v>
      </c>
      <c r="F2738" s="23" t="s">
        <v>82</v>
      </c>
      <c r="G2738" s="23" t="s">
        <v>139</v>
      </c>
      <c r="H2738" s="24">
        <v>47118</v>
      </c>
      <c r="I2738" s="24">
        <v>47118</v>
      </c>
      <c r="J2738" s="23" t="s">
        <v>173</v>
      </c>
      <c r="K2738" s="23" t="s">
        <v>173</v>
      </c>
      <c r="L2738" s="23">
        <v>1</v>
      </c>
      <c r="M2738" s="23" t="s">
        <v>78</v>
      </c>
      <c r="N2738" s="23" t="s">
        <v>78</v>
      </c>
      <c r="O2738" s="23">
        <v>0.01</v>
      </c>
      <c r="P2738" s="23" t="s">
        <v>79</v>
      </c>
      <c r="Q2738" s="23" t="s">
        <v>83</v>
      </c>
      <c r="R2738" s="23">
        <v>11100008</v>
      </c>
      <c r="S2738" s="24" t="s">
        <v>80</v>
      </c>
      <c r="T2738" s="24">
        <v>45678</v>
      </c>
      <c r="U2738" s="24">
        <v>46387</v>
      </c>
      <c r="X2738" s="24">
        <v>45678</v>
      </c>
      <c r="Y2738" s="23">
        <v>1111</v>
      </c>
      <c r="Z2738" s="23">
        <v>11100042</v>
      </c>
      <c r="AA2738" s="23">
        <v>5155</v>
      </c>
      <c r="AB2738" s="24">
        <v>45678</v>
      </c>
    </row>
    <row r="2739" spans="2:28" x14ac:dyDescent="0.2">
      <c r="B2739" s="23" t="s">
        <v>81</v>
      </c>
      <c r="C2739" s="23">
        <v>1100541888</v>
      </c>
      <c r="H2739" s="24">
        <v>47118</v>
      </c>
      <c r="O2739" s="23">
        <v>19238.009999999998</v>
      </c>
      <c r="P2739" s="23" t="s">
        <v>79</v>
      </c>
    </row>
    <row r="2740" spans="2:28" x14ac:dyDescent="0.2">
      <c r="C2740" s="23">
        <v>1100541893</v>
      </c>
      <c r="E2740" s="23">
        <v>10</v>
      </c>
      <c r="F2740" s="23" t="s">
        <v>130</v>
      </c>
      <c r="G2740" s="23" t="s">
        <v>419</v>
      </c>
      <c r="H2740" s="24">
        <v>47118</v>
      </c>
      <c r="I2740" s="24">
        <v>47118</v>
      </c>
      <c r="J2740" s="23" t="s">
        <v>215</v>
      </c>
      <c r="K2740" s="23" t="s">
        <v>215</v>
      </c>
      <c r="L2740" s="23">
        <v>1</v>
      </c>
      <c r="M2740" s="23" t="s">
        <v>131</v>
      </c>
      <c r="N2740" s="23" t="s">
        <v>131</v>
      </c>
      <c r="O2740" s="23">
        <v>0</v>
      </c>
      <c r="P2740" s="23" t="s">
        <v>79</v>
      </c>
      <c r="Q2740" s="23" t="s">
        <v>83</v>
      </c>
      <c r="R2740" s="23">
        <v>11100008</v>
      </c>
      <c r="S2740" s="24" t="s">
        <v>80</v>
      </c>
      <c r="T2740" s="24">
        <v>45678</v>
      </c>
      <c r="U2740" s="24">
        <v>47116</v>
      </c>
      <c r="X2740" s="24">
        <v>45678</v>
      </c>
      <c r="Y2740" s="23">
        <v>1111</v>
      </c>
      <c r="Z2740" s="23">
        <v>11400797</v>
      </c>
      <c r="AA2740" s="23">
        <v>5050</v>
      </c>
      <c r="AB2740" s="24">
        <v>45678</v>
      </c>
    </row>
    <row r="2741" spans="2:28" x14ac:dyDescent="0.2">
      <c r="B2741" s="23" t="s">
        <v>81</v>
      </c>
      <c r="C2741" s="23">
        <v>1100541893</v>
      </c>
      <c r="H2741" s="24">
        <v>47118</v>
      </c>
      <c r="O2741" s="23">
        <v>0</v>
      </c>
      <c r="P2741" s="23" t="s">
        <v>79</v>
      </c>
    </row>
    <row r="2742" spans="2:28" x14ac:dyDescent="0.2">
      <c r="C2742" s="23">
        <v>1100541929</v>
      </c>
      <c r="E2742" s="23">
        <v>10</v>
      </c>
      <c r="F2742" s="23" t="s">
        <v>130</v>
      </c>
      <c r="G2742" s="23" t="s">
        <v>420</v>
      </c>
      <c r="H2742" s="24">
        <v>47118</v>
      </c>
      <c r="I2742" s="24">
        <v>47118</v>
      </c>
      <c r="J2742" s="23" t="s">
        <v>1401</v>
      </c>
      <c r="K2742" s="23" t="s">
        <v>1401</v>
      </c>
      <c r="L2742" s="23">
        <v>1</v>
      </c>
      <c r="M2742" s="23" t="s">
        <v>131</v>
      </c>
      <c r="N2742" s="23" t="s">
        <v>131</v>
      </c>
      <c r="O2742" s="23">
        <v>0</v>
      </c>
      <c r="P2742" s="23" t="s">
        <v>79</v>
      </c>
      <c r="Q2742" s="23" t="s">
        <v>83</v>
      </c>
      <c r="R2742" s="23">
        <v>11100008</v>
      </c>
      <c r="S2742" s="24" t="s">
        <v>80</v>
      </c>
      <c r="T2742" s="24">
        <v>45678</v>
      </c>
      <c r="U2742" s="24">
        <v>47116</v>
      </c>
      <c r="X2742" s="24">
        <v>45678</v>
      </c>
      <c r="Y2742" s="23">
        <v>1111</v>
      </c>
      <c r="Z2742" s="23">
        <v>11400797</v>
      </c>
      <c r="AA2742" s="23">
        <v>3312</v>
      </c>
      <c r="AB2742" s="24">
        <v>45678</v>
      </c>
    </row>
    <row r="2743" spans="2:28" x14ac:dyDescent="0.2">
      <c r="B2743" s="23" t="s">
        <v>81</v>
      </c>
      <c r="C2743" s="23">
        <v>1100541929</v>
      </c>
      <c r="H2743" s="24">
        <v>47118</v>
      </c>
      <c r="O2743" s="23">
        <v>0</v>
      </c>
      <c r="P2743" s="23" t="s">
        <v>79</v>
      </c>
    </row>
    <row r="2744" spans="2:28" x14ac:dyDescent="0.2">
      <c r="C2744" s="23">
        <v>1100542718</v>
      </c>
      <c r="E2744" s="23">
        <v>10</v>
      </c>
      <c r="F2744" s="23" t="s">
        <v>130</v>
      </c>
      <c r="G2744" s="23" t="s">
        <v>438</v>
      </c>
      <c r="H2744" s="24">
        <v>47118</v>
      </c>
      <c r="I2744" s="24">
        <v>47118</v>
      </c>
      <c r="J2744" s="23" t="s">
        <v>256</v>
      </c>
      <c r="K2744" s="23" t="s">
        <v>256</v>
      </c>
      <c r="L2744" s="23">
        <v>1</v>
      </c>
      <c r="M2744" s="23" t="s">
        <v>131</v>
      </c>
      <c r="N2744" s="23" t="s">
        <v>131</v>
      </c>
      <c r="O2744" s="23">
        <v>0</v>
      </c>
      <c r="P2744" s="23" t="s">
        <v>79</v>
      </c>
      <c r="Q2744" s="23" t="s">
        <v>83</v>
      </c>
      <c r="R2744" s="23">
        <v>11100008</v>
      </c>
      <c r="S2744" s="24" t="s">
        <v>80</v>
      </c>
      <c r="T2744" s="24">
        <v>45687</v>
      </c>
      <c r="U2744" s="24" t="s">
        <v>80</v>
      </c>
      <c r="X2744" s="24">
        <v>45687</v>
      </c>
      <c r="Y2744" s="23">
        <v>1111</v>
      </c>
      <c r="Z2744" s="23">
        <v>11400797</v>
      </c>
      <c r="AA2744" s="23">
        <v>5061</v>
      </c>
      <c r="AB2744" s="24">
        <v>45687</v>
      </c>
    </row>
    <row r="2745" spans="2:28" x14ac:dyDescent="0.2">
      <c r="B2745" s="23" t="s">
        <v>81</v>
      </c>
      <c r="C2745" s="23">
        <v>1100542718</v>
      </c>
      <c r="H2745" s="24">
        <v>47118</v>
      </c>
      <c r="O2745" s="23">
        <v>0</v>
      </c>
      <c r="P2745" s="23" t="s">
        <v>79</v>
      </c>
    </row>
    <row r="2746" spans="2:28" x14ac:dyDescent="0.2">
      <c r="C2746" s="23">
        <v>1100546081</v>
      </c>
      <c r="E2746" s="23">
        <v>10</v>
      </c>
      <c r="F2746" s="23" t="s">
        <v>130</v>
      </c>
      <c r="G2746" s="23" t="s">
        <v>939</v>
      </c>
      <c r="H2746" s="24">
        <v>47118</v>
      </c>
      <c r="I2746" s="24">
        <v>47118</v>
      </c>
      <c r="J2746" s="23" t="s">
        <v>433</v>
      </c>
      <c r="K2746" s="23" t="s">
        <v>433</v>
      </c>
      <c r="L2746" s="23">
        <v>1</v>
      </c>
      <c r="M2746" s="23" t="s">
        <v>131</v>
      </c>
      <c r="N2746" s="23" t="s">
        <v>131</v>
      </c>
      <c r="O2746" s="23">
        <v>0</v>
      </c>
      <c r="P2746" s="23" t="s">
        <v>79</v>
      </c>
      <c r="Q2746" s="23" t="s">
        <v>83</v>
      </c>
      <c r="R2746" s="23">
        <v>11100008</v>
      </c>
      <c r="S2746" s="24" t="s">
        <v>80</v>
      </c>
      <c r="T2746" s="24">
        <v>45736</v>
      </c>
      <c r="U2746" s="24" t="s">
        <v>80</v>
      </c>
      <c r="X2746" s="24">
        <v>45736</v>
      </c>
      <c r="Y2746" s="23">
        <v>1111</v>
      </c>
      <c r="Z2746" s="23">
        <v>11400797</v>
      </c>
      <c r="AA2746" s="23">
        <v>3951</v>
      </c>
      <c r="AB2746" s="24">
        <v>45736</v>
      </c>
    </row>
    <row r="2747" spans="2:28" x14ac:dyDescent="0.2">
      <c r="B2747" s="23" t="s">
        <v>81</v>
      </c>
      <c r="C2747" s="23">
        <v>1100546081</v>
      </c>
      <c r="H2747" s="24">
        <v>47118</v>
      </c>
      <c r="O2747" s="23">
        <v>0</v>
      </c>
      <c r="P2747" s="23" t="s">
        <v>79</v>
      </c>
    </row>
    <row r="2748" spans="2:28" x14ac:dyDescent="0.2">
      <c r="C2748" s="23">
        <v>1100547732</v>
      </c>
      <c r="E2748" s="23">
        <v>50</v>
      </c>
      <c r="F2748" s="23" t="s">
        <v>82</v>
      </c>
      <c r="G2748" s="23" t="s">
        <v>139</v>
      </c>
      <c r="H2748" s="24">
        <v>47118</v>
      </c>
      <c r="I2748" s="24">
        <v>47118</v>
      </c>
      <c r="J2748" s="23" t="s">
        <v>940</v>
      </c>
      <c r="K2748" s="23" t="s">
        <v>940</v>
      </c>
      <c r="L2748" s="23">
        <v>1</v>
      </c>
      <c r="M2748" s="23" t="s">
        <v>78</v>
      </c>
      <c r="N2748" s="23" t="s">
        <v>78</v>
      </c>
      <c r="O2748" s="23">
        <v>0.01</v>
      </c>
      <c r="P2748" s="23" t="s">
        <v>79</v>
      </c>
      <c r="Q2748" s="23" t="s">
        <v>83</v>
      </c>
      <c r="R2748" s="23">
        <v>11100008</v>
      </c>
      <c r="S2748" s="24" t="s">
        <v>80</v>
      </c>
      <c r="T2748" s="24">
        <v>45757</v>
      </c>
      <c r="U2748" s="24">
        <v>45764</v>
      </c>
      <c r="X2748" s="24">
        <v>45755</v>
      </c>
      <c r="Y2748" s="23">
        <v>1111</v>
      </c>
      <c r="Z2748" s="23">
        <v>11400704</v>
      </c>
      <c r="AA2748" s="23">
        <v>5151</v>
      </c>
      <c r="AB2748" s="24">
        <v>45679</v>
      </c>
    </row>
    <row r="2749" spans="2:28" x14ac:dyDescent="0.2">
      <c r="B2749" s="23" t="s">
        <v>81</v>
      </c>
      <c r="C2749" s="23">
        <v>1100547732</v>
      </c>
      <c r="H2749" s="24">
        <v>47118</v>
      </c>
      <c r="O2749" s="23">
        <v>0.01</v>
      </c>
      <c r="P2749" s="23" t="s">
        <v>79</v>
      </c>
    </row>
    <row r="2750" spans="2:28" x14ac:dyDescent="0.2">
      <c r="C2750" s="23">
        <v>1100547882</v>
      </c>
      <c r="E2750" s="23">
        <v>60</v>
      </c>
      <c r="F2750" s="23" t="s">
        <v>82</v>
      </c>
      <c r="G2750" s="23" t="s">
        <v>139</v>
      </c>
      <c r="H2750" s="24">
        <v>47118</v>
      </c>
      <c r="I2750" s="24">
        <v>47118</v>
      </c>
      <c r="J2750" s="23" t="s">
        <v>941</v>
      </c>
      <c r="K2750" s="23" t="s">
        <v>941</v>
      </c>
      <c r="L2750" s="23">
        <v>1</v>
      </c>
      <c r="M2750" s="23" t="s">
        <v>78</v>
      </c>
      <c r="N2750" s="23" t="s">
        <v>78</v>
      </c>
      <c r="O2750" s="23">
        <v>0.01</v>
      </c>
      <c r="P2750" s="23" t="s">
        <v>79</v>
      </c>
      <c r="Q2750" s="23" t="s">
        <v>83</v>
      </c>
      <c r="R2750" s="23">
        <v>11100008</v>
      </c>
      <c r="S2750" s="24" t="s">
        <v>80</v>
      </c>
      <c r="T2750" s="24">
        <v>45758</v>
      </c>
      <c r="U2750" s="24">
        <v>45769</v>
      </c>
      <c r="X2750" s="24">
        <v>45757</v>
      </c>
      <c r="Y2750" s="23">
        <v>1111</v>
      </c>
      <c r="Z2750" s="23">
        <v>11400745</v>
      </c>
      <c r="AA2750" s="23">
        <v>5051</v>
      </c>
      <c r="AB2750" s="24">
        <v>45755</v>
      </c>
    </row>
    <row r="2751" spans="2:28" x14ac:dyDescent="0.2">
      <c r="B2751" s="23" t="s">
        <v>81</v>
      </c>
      <c r="C2751" s="23">
        <v>1100547882</v>
      </c>
      <c r="H2751" s="24">
        <v>47118</v>
      </c>
      <c r="O2751" s="23">
        <v>0.01</v>
      </c>
      <c r="P2751" s="23" t="s">
        <v>79</v>
      </c>
    </row>
    <row r="2752" spans="2:28" x14ac:dyDescent="0.2">
      <c r="C2752" s="23">
        <v>1100547901</v>
      </c>
      <c r="E2752" s="23">
        <v>20</v>
      </c>
      <c r="F2752" s="23" t="s">
        <v>82</v>
      </c>
      <c r="G2752" s="23" t="s">
        <v>139</v>
      </c>
      <c r="H2752" s="24">
        <v>47118</v>
      </c>
      <c r="I2752" s="24">
        <v>47118</v>
      </c>
      <c r="J2752" s="23" t="s">
        <v>813</v>
      </c>
      <c r="K2752" s="23" t="s">
        <v>813</v>
      </c>
      <c r="L2752" s="23">
        <v>1</v>
      </c>
      <c r="M2752" s="23" t="s">
        <v>78</v>
      </c>
      <c r="N2752" s="23" t="s">
        <v>78</v>
      </c>
      <c r="O2752" s="23">
        <v>0</v>
      </c>
      <c r="P2752" s="23" t="s">
        <v>79</v>
      </c>
      <c r="Q2752" s="23" t="s">
        <v>83</v>
      </c>
      <c r="R2752" s="23">
        <v>11100008</v>
      </c>
      <c r="S2752" s="24" t="s">
        <v>80</v>
      </c>
      <c r="T2752" s="24">
        <v>45758</v>
      </c>
      <c r="U2752" s="24">
        <v>46752</v>
      </c>
      <c r="X2752" s="24">
        <v>45758</v>
      </c>
      <c r="Y2752" s="23">
        <v>1111</v>
      </c>
      <c r="Z2752" s="23">
        <v>11600002</v>
      </c>
      <c r="AA2752" s="23">
        <v>395103</v>
      </c>
      <c r="AB2752" s="24">
        <v>45758</v>
      </c>
    </row>
    <row r="2753" spans="2:28" x14ac:dyDescent="0.2">
      <c r="B2753" s="23" t="s">
        <v>81</v>
      </c>
      <c r="C2753" s="23">
        <v>1100547901</v>
      </c>
      <c r="H2753" s="24">
        <v>47118</v>
      </c>
      <c r="O2753" s="23">
        <v>0</v>
      </c>
      <c r="P2753" s="23" t="s">
        <v>79</v>
      </c>
    </row>
    <row r="2754" spans="2:28" x14ac:dyDescent="0.2">
      <c r="C2754" s="23">
        <v>1100548151</v>
      </c>
      <c r="E2754" s="23">
        <v>30</v>
      </c>
      <c r="F2754" s="23" t="s">
        <v>82</v>
      </c>
      <c r="G2754" s="23" t="s">
        <v>139</v>
      </c>
      <c r="H2754" s="24">
        <v>47118</v>
      </c>
      <c r="I2754" s="24">
        <v>47118</v>
      </c>
      <c r="J2754" s="23" t="s">
        <v>237</v>
      </c>
      <c r="K2754" s="23" t="s">
        <v>237</v>
      </c>
      <c r="L2754" s="23">
        <v>1</v>
      </c>
      <c r="M2754" s="23" t="s">
        <v>78</v>
      </c>
      <c r="N2754" s="23" t="s">
        <v>78</v>
      </c>
      <c r="O2754" s="23">
        <v>0.01</v>
      </c>
      <c r="P2754" s="23" t="s">
        <v>79</v>
      </c>
      <c r="Q2754" s="23" t="s">
        <v>83</v>
      </c>
      <c r="R2754" s="23">
        <v>11100018</v>
      </c>
      <c r="S2754" s="24" t="s">
        <v>80</v>
      </c>
      <c r="T2754" s="24">
        <v>45763</v>
      </c>
      <c r="U2754" s="24">
        <v>45798</v>
      </c>
      <c r="X2754" s="24">
        <v>45762</v>
      </c>
      <c r="Y2754" s="23">
        <v>1111</v>
      </c>
      <c r="Z2754" s="23">
        <v>11400745</v>
      </c>
      <c r="AA2754" s="23">
        <v>3151</v>
      </c>
      <c r="AB2754" s="24">
        <v>45762</v>
      </c>
    </row>
    <row r="2755" spans="2:28" x14ac:dyDescent="0.2">
      <c r="B2755" s="23" t="s">
        <v>81</v>
      </c>
      <c r="C2755" s="23">
        <v>1100548151</v>
      </c>
      <c r="H2755" s="24">
        <v>47118</v>
      </c>
      <c r="O2755" s="23">
        <v>0.01</v>
      </c>
      <c r="P2755" s="23" t="s">
        <v>79</v>
      </c>
    </row>
    <row r="2756" spans="2:28" x14ac:dyDescent="0.2">
      <c r="C2756" s="23">
        <v>1100548269</v>
      </c>
      <c r="E2756" s="23">
        <v>10</v>
      </c>
      <c r="F2756" s="23" t="s">
        <v>692</v>
      </c>
      <c r="G2756" s="23" t="s">
        <v>693</v>
      </c>
      <c r="H2756" s="24">
        <v>47118</v>
      </c>
      <c r="I2756" s="24">
        <v>47118</v>
      </c>
      <c r="J2756" s="23" t="s">
        <v>685</v>
      </c>
      <c r="K2756" s="23" t="s">
        <v>685</v>
      </c>
      <c r="L2756" s="23">
        <v>1</v>
      </c>
      <c r="M2756" s="23" t="s">
        <v>78</v>
      </c>
      <c r="N2756" s="23" t="s">
        <v>78</v>
      </c>
      <c r="O2756" s="23">
        <v>3574</v>
      </c>
      <c r="P2756" s="23" t="s">
        <v>79</v>
      </c>
      <c r="Q2756" s="23" t="s">
        <v>83</v>
      </c>
      <c r="R2756" s="23">
        <v>11100299</v>
      </c>
      <c r="S2756" s="24" t="s">
        <v>80</v>
      </c>
      <c r="T2756" s="24">
        <v>45763</v>
      </c>
      <c r="U2756" s="24" t="s">
        <v>80</v>
      </c>
      <c r="X2756" s="24">
        <v>45763</v>
      </c>
      <c r="Y2756" s="23">
        <v>1111</v>
      </c>
      <c r="Z2756" s="23">
        <v>11600002</v>
      </c>
      <c r="AA2756" s="23">
        <v>505103</v>
      </c>
      <c r="AB2756" s="24">
        <v>45763</v>
      </c>
    </row>
    <row r="2757" spans="2:28" x14ac:dyDescent="0.2">
      <c r="C2757" s="23">
        <v>1100548269</v>
      </c>
      <c r="E2757" s="23">
        <v>20</v>
      </c>
      <c r="F2757" s="23" t="s">
        <v>82</v>
      </c>
      <c r="G2757" s="23" t="s">
        <v>139</v>
      </c>
      <c r="H2757" s="24">
        <v>47118</v>
      </c>
      <c r="I2757" s="24">
        <v>47118</v>
      </c>
      <c r="J2757" s="23" t="s">
        <v>685</v>
      </c>
      <c r="K2757" s="23" t="s">
        <v>685</v>
      </c>
      <c r="L2757" s="23">
        <v>1</v>
      </c>
      <c r="M2757" s="23" t="s">
        <v>78</v>
      </c>
      <c r="N2757" s="23" t="s">
        <v>78</v>
      </c>
      <c r="O2757" s="23">
        <v>0</v>
      </c>
      <c r="P2757" s="23" t="s">
        <v>79</v>
      </c>
      <c r="Q2757" s="23" t="s">
        <v>83</v>
      </c>
      <c r="R2757" s="23">
        <v>11100299</v>
      </c>
      <c r="S2757" s="24" t="s">
        <v>80</v>
      </c>
      <c r="T2757" s="24">
        <v>45763</v>
      </c>
      <c r="U2757" s="24" t="s">
        <v>80</v>
      </c>
      <c r="X2757" s="24">
        <v>45763</v>
      </c>
      <c r="Y2757" s="23">
        <v>1111</v>
      </c>
      <c r="Z2757" s="23">
        <v>11600002</v>
      </c>
      <c r="AA2757" s="23">
        <v>505103</v>
      </c>
      <c r="AB2757" s="24">
        <v>45763</v>
      </c>
    </row>
    <row r="2758" spans="2:28" x14ac:dyDescent="0.2">
      <c r="B2758" s="23" t="s">
        <v>81</v>
      </c>
      <c r="C2758" s="23">
        <v>1100548269</v>
      </c>
      <c r="H2758" s="24">
        <v>47118</v>
      </c>
      <c r="O2758" s="23">
        <v>3574</v>
      </c>
      <c r="P2758" s="23" t="s">
        <v>79</v>
      </c>
    </row>
    <row r="2759" spans="2:28" x14ac:dyDescent="0.2">
      <c r="C2759" s="23">
        <v>1100548981</v>
      </c>
      <c r="E2759" s="23">
        <v>20</v>
      </c>
      <c r="F2759" s="23" t="s">
        <v>82</v>
      </c>
      <c r="G2759" s="23" t="s">
        <v>139</v>
      </c>
      <c r="H2759" s="24">
        <v>47118</v>
      </c>
      <c r="I2759" s="24">
        <v>47118</v>
      </c>
      <c r="J2759" s="23" t="s">
        <v>944</v>
      </c>
      <c r="K2759" s="23" t="s">
        <v>944</v>
      </c>
      <c r="L2759" s="23">
        <v>1</v>
      </c>
      <c r="M2759" s="23" t="s">
        <v>78</v>
      </c>
      <c r="N2759" s="23" t="s">
        <v>78</v>
      </c>
      <c r="O2759" s="23">
        <v>0.01</v>
      </c>
      <c r="P2759" s="23" t="s">
        <v>79</v>
      </c>
      <c r="Q2759" s="23" t="s">
        <v>83</v>
      </c>
      <c r="R2759" s="23">
        <v>11100299</v>
      </c>
      <c r="S2759" s="24" t="s">
        <v>80</v>
      </c>
      <c r="T2759" s="24">
        <v>45771</v>
      </c>
      <c r="U2759" s="24">
        <v>45797</v>
      </c>
      <c r="X2759" s="24">
        <v>45762</v>
      </c>
      <c r="Y2759" s="23">
        <v>1111</v>
      </c>
      <c r="Z2759" s="23">
        <v>11400606</v>
      </c>
      <c r="AA2759" s="23">
        <v>335103</v>
      </c>
      <c r="AB2759" s="24">
        <v>45771</v>
      </c>
    </row>
    <row r="2760" spans="2:28" x14ac:dyDescent="0.2">
      <c r="B2760" s="23" t="s">
        <v>81</v>
      </c>
      <c r="C2760" s="23">
        <v>1100548981</v>
      </c>
      <c r="H2760" s="24">
        <v>47118</v>
      </c>
      <c r="O2760" s="23">
        <v>0.01</v>
      </c>
      <c r="P2760" s="23" t="s">
        <v>79</v>
      </c>
    </row>
    <row r="2761" spans="2:28" x14ac:dyDescent="0.2">
      <c r="C2761" s="23">
        <v>1100549121</v>
      </c>
      <c r="E2761" s="23">
        <v>40</v>
      </c>
      <c r="F2761" s="23" t="s">
        <v>82</v>
      </c>
      <c r="G2761" s="23" t="s">
        <v>139</v>
      </c>
      <c r="H2761" s="24">
        <v>47118</v>
      </c>
      <c r="I2761" s="24">
        <v>47118</v>
      </c>
      <c r="J2761" s="23" t="s">
        <v>283</v>
      </c>
      <c r="K2761" s="23" t="s">
        <v>283</v>
      </c>
      <c r="L2761" s="23">
        <v>1</v>
      </c>
      <c r="M2761" s="23" t="s">
        <v>78</v>
      </c>
      <c r="N2761" s="23" t="s">
        <v>78</v>
      </c>
      <c r="O2761" s="23">
        <v>0.01</v>
      </c>
      <c r="P2761" s="23" t="s">
        <v>79</v>
      </c>
      <c r="Q2761" s="23" t="s">
        <v>83</v>
      </c>
      <c r="R2761" s="23">
        <v>11100299</v>
      </c>
      <c r="S2761" s="24" t="s">
        <v>80</v>
      </c>
      <c r="T2761" s="24">
        <v>45772</v>
      </c>
      <c r="U2761" s="24">
        <v>45785</v>
      </c>
      <c r="X2761" s="24">
        <v>45771</v>
      </c>
      <c r="Y2761" s="23">
        <v>1111</v>
      </c>
      <c r="Z2761" s="23">
        <v>11400742</v>
      </c>
      <c r="AA2761" s="23">
        <v>5151</v>
      </c>
      <c r="AB2761" s="24">
        <v>45771</v>
      </c>
    </row>
    <row r="2762" spans="2:28" x14ac:dyDescent="0.2">
      <c r="B2762" s="23" t="s">
        <v>81</v>
      </c>
      <c r="C2762" s="23">
        <v>1100549121</v>
      </c>
      <c r="H2762" s="24">
        <v>47118</v>
      </c>
      <c r="O2762" s="23">
        <v>0.01</v>
      </c>
      <c r="P2762" s="23" t="s">
        <v>79</v>
      </c>
    </row>
    <row r="2763" spans="2:28" x14ac:dyDescent="0.2">
      <c r="C2763" s="23">
        <v>1100549564</v>
      </c>
      <c r="E2763" s="23">
        <v>20</v>
      </c>
      <c r="F2763" s="23" t="s">
        <v>130</v>
      </c>
      <c r="G2763" s="23" t="s">
        <v>945</v>
      </c>
      <c r="H2763" s="24">
        <v>47118</v>
      </c>
      <c r="I2763" s="24">
        <v>47118</v>
      </c>
      <c r="J2763" s="23" t="s">
        <v>260</v>
      </c>
      <c r="K2763" s="23" t="s">
        <v>260</v>
      </c>
      <c r="L2763" s="23">
        <v>1</v>
      </c>
      <c r="M2763" s="23" t="s">
        <v>131</v>
      </c>
      <c r="N2763" s="23" t="s">
        <v>131</v>
      </c>
      <c r="O2763" s="23">
        <v>0</v>
      </c>
      <c r="P2763" s="23" t="s">
        <v>79</v>
      </c>
      <c r="Q2763" s="23" t="s">
        <v>83</v>
      </c>
      <c r="R2763" s="23">
        <v>11100018</v>
      </c>
      <c r="S2763" s="24" t="s">
        <v>80</v>
      </c>
      <c r="T2763" s="24">
        <v>45777</v>
      </c>
      <c r="U2763" s="24">
        <v>46752</v>
      </c>
      <c r="X2763" s="24">
        <v>45777</v>
      </c>
      <c r="Y2763" s="23">
        <v>1111</v>
      </c>
      <c r="Z2763" s="23">
        <v>11400797</v>
      </c>
      <c r="AA2763" s="23">
        <v>3351</v>
      </c>
      <c r="AB2763" s="24">
        <v>45777</v>
      </c>
    </row>
    <row r="2764" spans="2:28" x14ac:dyDescent="0.2">
      <c r="B2764" s="23" t="s">
        <v>81</v>
      </c>
      <c r="C2764" s="23">
        <v>1100549564</v>
      </c>
      <c r="H2764" s="24">
        <v>47118</v>
      </c>
      <c r="O2764" s="23">
        <v>0</v>
      </c>
      <c r="P2764" s="23" t="s">
        <v>79</v>
      </c>
    </row>
    <row r="2765" spans="2:28" x14ac:dyDescent="0.2">
      <c r="C2765" s="23">
        <v>1100549944</v>
      </c>
      <c r="E2765" s="23">
        <v>30</v>
      </c>
      <c r="F2765" s="23" t="s">
        <v>82</v>
      </c>
      <c r="G2765" s="23" t="s">
        <v>139</v>
      </c>
      <c r="H2765" s="24">
        <v>47118</v>
      </c>
      <c r="I2765" s="24">
        <v>47118</v>
      </c>
      <c r="J2765" s="23" t="s">
        <v>504</v>
      </c>
      <c r="K2765" s="23" t="s">
        <v>504</v>
      </c>
      <c r="L2765" s="23">
        <v>1</v>
      </c>
      <c r="M2765" s="23" t="s">
        <v>78</v>
      </c>
      <c r="N2765" s="23" t="s">
        <v>78</v>
      </c>
      <c r="O2765" s="23">
        <v>0.01</v>
      </c>
      <c r="P2765" s="23" t="s">
        <v>79</v>
      </c>
      <c r="Q2765" s="23" t="s">
        <v>83</v>
      </c>
      <c r="R2765" s="23">
        <v>11100018</v>
      </c>
      <c r="S2765" s="24" t="s">
        <v>80</v>
      </c>
      <c r="T2765" s="24">
        <v>45779</v>
      </c>
      <c r="U2765" s="24">
        <v>45820</v>
      </c>
      <c r="X2765" s="24">
        <v>45775</v>
      </c>
      <c r="Y2765" s="23">
        <v>1111</v>
      </c>
      <c r="Z2765" s="23">
        <v>11400704</v>
      </c>
      <c r="AA2765" s="23">
        <v>3951</v>
      </c>
      <c r="AB2765" s="24">
        <v>45775</v>
      </c>
    </row>
    <row r="2766" spans="2:28" x14ac:dyDescent="0.2">
      <c r="B2766" s="23" t="s">
        <v>81</v>
      </c>
      <c r="C2766" s="23">
        <v>1100549944</v>
      </c>
      <c r="H2766" s="24">
        <v>47118</v>
      </c>
      <c r="O2766" s="23">
        <v>0.01</v>
      </c>
      <c r="P2766" s="23" t="s">
        <v>79</v>
      </c>
    </row>
    <row r="2767" spans="2:28" x14ac:dyDescent="0.2">
      <c r="C2767" s="23">
        <v>1100550259</v>
      </c>
      <c r="E2767" s="23">
        <v>20</v>
      </c>
      <c r="F2767" s="23" t="s">
        <v>82</v>
      </c>
      <c r="G2767" s="23" t="s">
        <v>139</v>
      </c>
      <c r="H2767" s="24">
        <v>47118</v>
      </c>
      <c r="I2767" s="24">
        <v>47118</v>
      </c>
      <c r="J2767" s="23" t="s">
        <v>946</v>
      </c>
      <c r="K2767" s="23" t="s">
        <v>946</v>
      </c>
      <c r="L2767" s="23">
        <v>1</v>
      </c>
      <c r="M2767" s="23" t="s">
        <v>78</v>
      </c>
      <c r="N2767" s="23" t="s">
        <v>78</v>
      </c>
      <c r="O2767" s="23">
        <v>0.01</v>
      </c>
      <c r="P2767" s="23" t="s">
        <v>79</v>
      </c>
      <c r="Q2767" s="23" t="s">
        <v>83</v>
      </c>
      <c r="R2767" s="23">
        <v>11100018</v>
      </c>
      <c r="S2767" s="24" t="s">
        <v>80</v>
      </c>
      <c r="T2767" s="24">
        <v>45784</v>
      </c>
      <c r="U2767" s="24">
        <v>45832</v>
      </c>
      <c r="X2767" s="24">
        <v>45784</v>
      </c>
      <c r="Y2767" s="23">
        <v>1111</v>
      </c>
      <c r="Z2767" s="23">
        <v>11400811</v>
      </c>
      <c r="AA2767" s="23">
        <v>3951</v>
      </c>
      <c r="AB2767" s="24">
        <v>45783</v>
      </c>
    </row>
    <row r="2768" spans="2:28" x14ac:dyDescent="0.2">
      <c r="B2768" s="23" t="s">
        <v>81</v>
      </c>
      <c r="C2768" s="23">
        <v>1100550259</v>
      </c>
      <c r="H2768" s="24">
        <v>47118</v>
      </c>
      <c r="O2768" s="23">
        <v>0.01</v>
      </c>
      <c r="P2768" s="23" t="s">
        <v>79</v>
      </c>
    </row>
    <row r="2769" spans="2:28" x14ac:dyDescent="0.2">
      <c r="C2769" s="23">
        <v>1100550813</v>
      </c>
      <c r="E2769" s="23">
        <v>20</v>
      </c>
      <c r="F2769" s="23" t="s">
        <v>82</v>
      </c>
      <c r="G2769" s="23" t="s">
        <v>139</v>
      </c>
      <c r="H2769" s="24">
        <v>47118</v>
      </c>
      <c r="I2769" s="24">
        <v>47118</v>
      </c>
      <c r="J2769" s="23" t="s">
        <v>415</v>
      </c>
      <c r="K2769" s="23" t="s">
        <v>415</v>
      </c>
      <c r="L2769" s="23">
        <v>1</v>
      </c>
      <c r="M2769" s="23" t="s">
        <v>78</v>
      </c>
      <c r="N2769" s="23" t="s">
        <v>78</v>
      </c>
      <c r="O2769" s="23">
        <v>0.01</v>
      </c>
      <c r="P2769" s="23" t="s">
        <v>79</v>
      </c>
      <c r="Q2769" s="23" t="s">
        <v>83</v>
      </c>
      <c r="R2769" s="23">
        <v>11100008</v>
      </c>
      <c r="S2769" s="24">
        <v>45796</v>
      </c>
      <c r="T2769" s="24">
        <v>45791</v>
      </c>
      <c r="U2769" s="24">
        <v>45819</v>
      </c>
      <c r="X2769" s="24">
        <v>45791</v>
      </c>
      <c r="Y2769" s="23">
        <v>1111</v>
      </c>
      <c r="Z2769" s="23">
        <v>11600002</v>
      </c>
      <c r="AA2769" s="23">
        <v>335103</v>
      </c>
      <c r="AB2769" s="24">
        <v>45791</v>
      </c>
    </row>
    <row r="2770" spans="2:28" x14ac:dyDescent="0.2">
      <c r="B2770" s="23" t="s">
        <v>81</v>
      </c>
      <c r="C2770" s="23">
        <v>1100550813</v>
      </c>
      <c r="H2770" s="24">
        <v>47118</v>
      </c>
      <c r="O2770" s="23">
        <v>0.01</v>
      </c>
      <c r="P2770" s="23" t="s">
        <v>79</v>
      </c>
    </row>
    <row r="2771" spans="2:28" x14ac:dyDescent="0.2">
      <c r="C2771" s="23">
        <v>1100551157</v>
      </c>
      <c r="E2771" s="23">
        <v>20</v>
      </c>
      <c r="F2771" s="23" t="s">
        <v>82</v>
      </c>
      <c r="G2771" s="23" t="s">
        <v>139</v>
      </c>
      <c r="H2771" s="24">
        <v>47118</v>
      </c>
      <c r="I2771" s="24">
        <v>47118</v>
      </c>
      <c r="J2771" s="23" t="s">
        <v>510</v>
      </c>
      <c r="K2771" s="23" t="s">
        <v>510</v>
      </c>
      <c r="L2771" s="23">
        <v>1</v>
      </c>
      <c r="M2771" s="23" t="s">
        <v>78</v>
      </c>
      <c r="N2771" s="23" t="s">
        <v>78</v>
      </c>
      <c r="O2771" s="23">
        <v>0.01</v>
      </c>
      <c r="P2771" s="23" t="s">
        <v>79</v>
      </c>
      <c r="Q2771" s="23" t="s">
        <v>83</v>
      </c>
      <c r="R2771" s="23">
        <v>11100299</v>
      </c>
      <c r="S2771" s="24" t="s">
        <v>80</v>
      </c>
      <c r="T2771" s="24">
        <v>45793</v>
      </c>
      <c r="U2771" s="24">
        <v>45798</v>
      </c>
      <c r="X2771" s="24">
        <v>45793</v>
      </c>
      <c r="Y2771" s="23">
        <v>1111</v>
      </c>
      <c r="Z2771" s="23">
        <v>11400745</v>
      </c>
      <c r="AA2771" s="23">
        <v>3951</v>
      </c>
      <c r="AB2771" s="24">
        <v>45793</v>
      </c>
    </row>
    <row r="2772" spans="2:28" x14ac:dyDescent="0.2">
      <c r="B2772" s="23" t="s">
        <v>81</v>
      </c>
      <c r="C2772" s="23">
        <v>1100551157</v>
      </c>
      <c r="H2772" s="24">
        <v>47118</v>
      </c>
      <c r="O2772" s="23">
        <v>0.01</v>
      </c>
      <c r="P2772" s="23" t="s">
        <v>79</v>
      </c>
    </row>
    <row r="2773" spans="2:28" x14ac:dyDescent="0.2">
      <c r="C2773" s="23">
        <v>1100551171</v>
      </c>
      <c r="E2773" s="23">
        <v>30</v>
      </c>
      <c r="F2773" s="23" t="s">
        <v>82</v>
      </c>
      <c r="G2773" s="23" t="s">
        <v>548</v>
      </c>
      <c r="H2773" s="24">
        <v>47118</v>
      </c>
      <c r="I2773" s="24">
        <v>47118</v>
      </c>
      <c r="J2773" s="23" t="s">
        <v>822</v>
      </c>
      <c r="K2773" s="23" t="s">
        <v>822</v>
      </c>
      <c r="L2773" s="23">
        <v>1</v>
      </c>
      <c r="M2773" s="23" t="s">
        <v>78</v>
      </c>
      <c r="N2773" s="23" t="s">
        <v>78</v>
      </c>
      <c r="O2773" s="23">
        <v>0</v>
      </c>
      <c r="P2773" s="23" t="s">
        <v>79</v>
      </c>
      <c r="Q2773" s="23" t="s">
        <v>83</v>
      </c>
      <c r="R2773" s="23">
        <v>11100008</v>
      </c>
      <c r="S2773" s="24" t="s">
        <v>80</v>
      </c>
      <c r="T2773" s="24">
        <v>45794</v>
      </c>
      <c r="U2773" s="24">
        <v>45925</v>
      </c>
      <c r="X2773" s="24">
        <v>45775</v>
      </c>
      <c r="Y2773" s="23">
        <v>1111</v>
      </c>
      <c r="Z2773" s="23">
        <v>11600009</v>
      </c>
      <c r="AA2773" s="23">
        <v>335103</v>
      </c>
      <c r="AB2773" s="24">
        <v>45794</v>
      </c>
    </row>
    <row r="2774" spans="2:28" x14ac:dyDescent="0.2">
      <c r="B2774" s="23" t="s">
        <v>81</v>
      </c>
      <c r="C2774" s="23">
        <v>1100551171</v>
      </c>
      <c r="H2774" s="24">
        <v>47118</v>
      </c>
      <c r="O2774" s="23">
        <v>0</v>
      </c>
      <c r="P2774" s="23" t="s">
        <v>79</v>
      </c>
    </row>
    <row r="2775" spans="2:28" x14ac:dyDescent="0.2">
      <c r="C2775" s="23">
        <v>1100551985</v>
      </c>
      <c r="E2775" s="23">
        <v>20</v>
      </c>
      <c r="F2775" s="23" t="s">
        <v>82</v>
      </c>
      <c r="G2775" s="23" t="s">
        <v>139</v>
      </c>
      <c r="H2775" s="24">
        <v>47118</v>
      </c>
      <c r="I2775" s="24">
        <v>47118</v>
      </c>
      <c r="J2775" s="23" t="s">
        <v>102</v>
      </c>
      <c r="K2775" s="23" t="s">
        <v>102</v>
      </c>
      <c r="L2775" s="23">
        <v>1</v>
      </c>
      <c r="M2775" s="23" t="s">
        <v>78</v>
      </c>
      <c r="N2775" s="23" t="s">
        <v>78</v>
      </c>
      <c r="O2775" s="23">
        <v>0.01</v>
      </c>
      <c r="P2775" s="23" t="s">
        <v>79</v>
      </c>
      <c r="Q2775" s="23" t="s">
        <v>83</v>
      </c>
      <c r="R2775" s="23">
        <v>11100299</v>
      </c>
      <c r="S2775" s="24" t="s">
        <v>80</v>
      </c>
      <c r="T2775" s="24">
        <v>45804</v>
      </c>
      <c r="U2775" s="24">
        <v>45861</v>
      </c>
      <c r="X2775" s="24">
        <v>45800</v>
      </c>
      <c r="Y2775" s="23">
        <v>1111</v>
      </c>
      <c r="Z2775" s="23">
        <v>11400745</v>
      </c>
      <c r="AA2775" s="23">
        <v>5151</v>
      </c>
      <c r="AB2775" s="24">
        <v>45800</v>
      </c>
    </row>
    <row r="2776" spans="2:28" x14ac:dyDescent="0.2">
      <c r="B2776" s="23" t="s">
        <v>81</v>
      </c>
      <c r="C2776" s="23">
        <v>1100551985</v>
      </c>
      <c r="H2776" s="24">
        <v>47118</v>
      </c>
      <c r="O2776" s="23">
        <v>0.01</v>
      </c>
      <c r="P2776" s="23" t="s">
        <v>79</v>
      </c>
    </row>
    <row r="2777" spans="2:28" x14ac:dyDescent="0.2">
      <c r="C2777" s="23">
        <v>1100552222</v>
      </c>
      <c r="E2777" s="23">
        <v>20</v>
      </c>
      <c r="F2777" s="23" t="s">
        <v>209</v>
      </c>
      <c r="G2777" s="23" t="s">
        <v>210</v>
      </c>
      <c r="H2777" s="24">
        <v>47118</v>
      </c>
      <c r="I2777" s="24">
        <v>47118</v>
      </c>
      <c r="J2777" s="23" t="s">
        <v>947</v>
      </c>
      <c r="K2777" s="23" t="s">
        <v>947</v>
      </c>
      <c r="L2777" s="23">
        <v>1</v>
      </c>
      <c r="M2777" s="23" t="s">
        <v>78</v>
      </c>
      <c r="N2777" s="23" t="s">
        <v>78</v>
      </c>
      <c r="O2777" s="23">
        <v>0.01</v>
      </c>
      <c r="P2777" s="23" t="s">
        <v>79</v>
      </c>
      <c r="Q2777" s="23" t="s">
        <v>83</v>
      </c>
      <c r="R2777" s="23">
        <v>11100008</v>
      </c>
      <c r="S2777" s="24" t="s">
        <v>80</v>
      </c>
      <c r="T2777" s="24">
        <v>45806</v>
      </c>
      <c r="U2777" s="24">
        <v>45821</v>
      </c>
      <c r="X2777" s="24">
        <v>45805</v>
      </c>
      <c r="Y2777" s="23">
        <v>1111</v>
      </c>
      <c r="Z2777" s="23">
        <v>11400742</v>
      </c>
      <c r="AA2777" s="23">
        <v>3951</v>
      </c>
      <c r="AB2777" s="24">
        <v>45800</v>
      </c>
    </row>
    <row r="2778" spans="2:28" x14ac:dyDescent="0.2">
      <c r="B2778" s="23" t="s">
        <v>81</v>
      </c>
      <c r="C2778" s="23">
        <v>1100552222</v>
      </c>
      <c r="H2778" s="24">
        <v>47118</v>
      </c>
      <c r="O2778" s="23">
        <v>0.01</v>
      </c>
      <c r="P2778" s="23" t="s">
        <v>79</v>
      </c>
    </row>
    <row r="2779" spans="2:28" x14ac:dyDescent="0.2">
      <c r="C2779" s="23">
        <v>1100552574</v>
      </c>
      <c r="E2779" s="23">
        <v>70</v>
      </c>
      <c r="F2779" s="23" t="s">
        <v>82</v>
      </c>
      <c r="G2779" s="23" t="s">
        <v>139</v>
      </c>
      <c r="H2779" s="24">
        <v>47118</v>
      </c>
      <c r="I2779" s="24">
        <v>47118</v>
      </c>
      <c r="J2779" s="23" t="s">
        <v>810</v>
      </c>
      <c r="K2779" s="23" t="s">
        <v>810</v>
      </c>
      <c r="L2779" s="23">
        <v>1</v>
      </c>
      <c r="M2779" s="23" t="s">
        <v>78</v>
      </c>
      <c r="N2779" s="23" t="s">
        <v>78</v>
      </c>
      <c r="O2779" s="23">
        <v>0.01</v>
      </c>
      <c r="P2779" s="23" t="s">
        <v>79</v>
      </c>
      <c r="Q2779" s="23" t="s">
        <v>83</v>
      </c>
      <c r="R2779" s="23">
        <v>11100018</v>
      </c>
      <c r="S2779" s="24">
        <v>45849</v>
      </c>
      <c r="T2779" s="24">
        <v>45810</v>
      </c>
      <c r="U2779" s="24">
        <v>45824</v>
      </c>
      <c r="X2779" s="24">
        <v>45810</v>
      </c>
      <c r="Y2779" s="23">
        <v>1111</v>
      </c>
      <c r="Z2779" s="23">
        <v>11600003</v>
      </c>
      <c r="AA2779" s="23">
        <v>335103</v>
      </c>
      <c r="AB2779" s="24">
        <v>45810</v>
      </c>
    </row>
    <row r="2780" spans="2:28" x14ac:dyDescent="0.2">
      <c r="B2780" s="23" t="s">
        <v>81</v>
      </c>
      <c r="C2780" s="23">
        <v>1100552574</v>
      </c>
      <c r="H2780" s="24">
        <v>47118</v>
      </c>
      <c r="O2780" s="23">
        <v>0.01</v>
      </c>
      <c r="P2780" s="23" t="s">
        <v>79</v>
      </c>
    </row>
    <row r="2781" spans="2:28" x14ac:dyDescent="0.2">
      <c r="C2781" s="23">
        <v>1100552866</v>
      </c>
      <c r="E2781" s="23">
        <v>20</v>
      </c>
      <c r="F2781" s="23" t="s">
        <v>82</v>
      </c>
      <c r="G2781" s="23" t="s">
        <v>139</v>
      </c>
      <c r="H2781" s="24">
        <v>47118</v>
      </c>
      <c r="I2781" s="24">
        <v>47118</v>
      </c>
      <c r="J2781" s="23" t="s">
        <v>218</v>
      </c>
      <c r="K2781" s="23" t="s">
        <v>218</v>
      </c>
      <c r="L2781" s="23">
        <v>1</v>
      </c>
      <c r="M2781" s="23" t="s">
        <v>78</v>
      </c>
      <c r="N2781" s="23" t="s">
        <v>78</v>
      </c>
      <c r="O2781" s="23">
        <v>0.01</v>
      </c>
      <c r="P2781" s="23" t="s">
        <v>79</v>
      </c>
      <c r="Q2781" s="23" t="s">
        <v>83</v>
      </c>
      <c r="R2781" s="23">
        <v>11100008</v>
      </c>
      <c r="S2781" s="24" t="s">
        <v>80</v>
      </c>
      <c r="T2781" s="24">
        <v>45812</v>
      </c>
      <c r="U2781" s="24">
        <v>45819</v>
      </c>
      <c r="X2781" s="24">
        <v>45811</v>
      </c>
      <c r="Y2781" s="23">
        <v>1111</v>
      </c>
      <c r="Z2781" s="23">
        <v>11400704</v>
      </c>
      <c r="AA2781" s="23">
        <v>3351</v>
      </c>
      <c r="AB2781" s="24">
        <v>45811</v>
      </c>
    </row>
    <row r="2782" spans="2:28" x14ac:dyDescent="0.2">
      <c r="B2782" s="23" t="s">
        <v>81</v>
      </c>
      <c r="C2782" s="23">
        <v>1100552866</v>
      </c>
      <c r="H2782" s="24">
        <v>47118</v>
      </c>
      <c r="O2782" s="23">
        <v>0.01</v>
      </c>
      <c r="P2782" s="23" t="s">
        <v>79</v>
      </c>
    </row>
    <row r="2783" spans="2:28" x14ac:dyDescent="0.2">
      <c r="C2783" s="23">
        <v>1100553861</v>
      </c>
      <c r="E2783" s="23">
        <v>20</v>
      </c>
      <c r="F2783" s="23" t="s">
        <v>82</v>
      </c>
      <c r="G2783" s="23" t="s">
        <v>139</v>
      </c>
      <c r="H2783" s="24">
        <v>47118</v>
      </c>
      <c r="I2783" s="24">
        <v>47118</v>
      </c>
      <c r="J2783" s="23" t="s">
        <v>490</v>
      </c>
      <c r="K2783" s="23" t="s">
        <v>490</v>
      </c>
      <c r="L2783" s="23">
        <v>1</v>
      </c>
      <c r="M2783" s="23" t="s">
        <v>78</v>
      </c>
      <c r="N2783" s="23" t="s">
        <v>78</v>
      </c>
      <c r="O2783" s="23">
        <v>0.01</v>
      </c>
      <c r="P2783" s="23" t="s">
        <v>79</v>
      </c>
      <c r="Q2783" s="23" t="s">
        <v>83</v>
      </c>
      <c r="R2783" s="23">
        <v>11100018</v>
      </c>
      <c r="S2783" s="24" t="s">
        <v>80</v>
      </c>
      <c r="T2783" s="24">
        <v>45824</v>
      </c>
      <c r="U2783" s="24">
        <v>45831</v>
      </c>
      <c r="X2783" s="24">
        <v>45823</v>
      </c>
      <c r="Y2783" s="23">
        <v>1111</v>
      </c>
      <c r="Z2783" s="23">
        <v>11400745</v>
      </c>
      <c r="AA2783" s="23">
        <v>5051</v>
      </c>
      <c r="AB2783" s="24">
        <v>45823</v>
      </c>
    </row>
    <row r="2784" spans="2:28" x14ac:dyDescent="0.2">
      <c r="B2784" s="23" t="s">
        <v>81</v>
      </c>
      <c r="C2784" s="23">
        <v>1100553861</v>
      </c>
      <c r="H2784" s="24">
        <v>47118</v>
      </c>
      <c r="O2784" s="23">
        <v>0.01</v>
      </c>
      <c r="P2784" s="23" t="s">
        <v>79</v>
      </c>
    </row>
    <row r="2785" spans="2:28" x14ac:dyDescent="0.2">
      <c r="C2785" s="23">
        <v>1100553988</v>
      </c>
      <c r="E2785" s="23">
        <v>30</v>
      </c>
      <c r="F2785" s="23" t="s">
        <v>82</v>
      </c>
      <c r="G2785" s="23" t="s">
        <v>139</v>
      </c>
      <c r="H2785" s="24">
        <v>47118</v>
      </c>
      <c r="I2785" s="24">
        <v>47118</v>
      </c>
      <c r="J2785" s="23" t="s">
        <v>2206</v>
      </c>
      <c r="K2785" s="23" t="s">
        <v>2206</v>
      </c>
      <c r="L2785" s="23">
        <v>1</v>
      </c>
      <c r="M2785" s="23" t="s">
        <v>78</v>
      </c>
      <c r="N2785" s="23" t="s">
        <v>78</v>
      </c>
      <c r="O2785" s="23">
        <v>0.01</v>
      </c>
      <c r="P2785" s="23" t="s">
        <v>79</v>
      </c>
      <c r="Q2785" s="23" t="s">
        <v>83</v>
      </c>
      <c r="R2785" s="23">
        <v>11100008</v>
      </c>
      <c r="S2785" s="24" t="s">
        <v>80</v>
      </c>
      <c r="T2785" s="24">
        <v>45825</v>
      </c>
      <c r="U2785" s="24">
        <v>45979</v>
      </c>
      <c r="X2785" s="24">
        <v>45824</v>
      </c>
      <c r="Y2785" s="23">
        <v>1111</v>
      </c>
      <c r="Z2785" s="23">
        <v>11400742</v>
      </c>
      <c r="AA2785" s="23">
        <v>3951</v>
      </c>
      <c r="AB2785" s="24">
        <v>45722</v>
      </c>
    </row>
    <row r="2786" spans="2:28" x14ac:dyDescent="0.2">
      <c r="B2786" s="23" t="s">
        <v>81</v>
      </c>
      <c r="C2786" s="23">
        <v>1100553988</v>
      </c>
      <c r="H2786" s="24">
        <v>47118</v>
      </c>
      <c r="O2786" s="23">
        <v>0.01</v>
      </c>
      <c r="P2786" s="23" t="s">
        <v>79</v>
      </c>
    </row>
    <row r="2787" spans="2:28" x14ac:dyDescent="0.2">
      <c r="C2787" s="23">
        <v>1100554944</v>
      </c>
      <c r="E2787" s="23">
        <v>20</v>
      </c>
      <c r="F2787" s="23" t="s">
        <v>82</v>
      </c>
      <c r="G2787" s="23" t="s">
        <v>139</v>
      </c>
      <c r="H2787" s="24">
        <v>47118</v>
      </c>
      <c r="I2787" s="24">
        <v>47118</v>
      </c>
      <c r="J2787" s="23" t="s">
        <v>157</v>
      </c>
      <c r="K2787" s="23" t="s">
        <v>157</v>
      </c>
      <c r="L2787" s="23">
        <v>1</v>
      </c>
      <c r="M2787" s="23" t="s">
        <v>78</v>
      </c>
      <c r="N2787" s="23" t="s">
        <v>78</v>
      </c>
      <c r="O2787" s="23">
        <v>0.01</v>
      </c>
      <c r="P2787" s="23" t="s">
        <v>79</v>
      </c>
      <c r="Q2787" s="23" t="s">
        <v>83</v>
      </c>
      <c r="R2787" s="23">
        <v>11100008</v>
      </c>
      <c r="S2787" s="24" t="s">
        <v>80</v>
      </c>
      <c r="T2787" s="24">
        <v>45835</v>
      </c>
      <c r="U2787" s="24">
        <v>45841</v>
      </c>
      <c r="X2787" s="24">
        <v>45833</v>
      </c>
      <c r="Y2787" s="23">
        <v>1111</v>
      </c>
      <c r="Z2787" s="23">
        <v>11100137</v>
      </c>
      <c r="AA2787" s="23">
        <v>3351</v>
      </c>
      <c r="AB2787" s="24">
        <v>45833</v>
      </c>
    </row>
    <row r="2788" spans="2:28" x14ac:dyDescent="0.2">
      <c r="B2788" s="23" t="s">
        <v>81</v>
      </c>
      <c r="C2788" s="23">
        <v>1100554944</v>
      </c>
      <c r="H2788" s="24">
        <v>47118</v>
      </c>
      <c r="O2788" s="23">
        <v>0.01</v>
      </c>
      <c r="P2788" s="23" t="s">
        <v>79</v>
      </c>
    </row>
    <row r="2789" spans="2:28" x14ac:dyDescent="0.2">
      <c r="C2789" s="23">
        <v>1100555711</v>
      </c>
      <c r="E2789" s="23">
        <v>20</v>
      </c>
      <c r="F2789" s="23" t="s">
        <v>1153</v>
      </c>
      <c r="G2789" s="23" t="s">
        <v>1154</v>
      </c>
      <c r="H2789" s="24">
        <v>47118</v>
      </c>
      <c r="I2789" s="24">
        <v>47118</v>
      </c>
      <c r="J2789" s="23" t="s">
        <v>386</v>
      </c>
      <c r="K2789" s="23" t="s">
        <v>386</v>
      </c>
      <c r="L2789" s="23">
        <v>1</v>
      </c>
      <c r="M2789" s="23" t="s">
        <v>78</v>
      </c>
      <c r="N2789" s="23" t="s">
        <v>78</v>
      </c>
      <c r="O2789" s="23">
        <v>4100</v>
      </c>
      <c r="P2789" s="23" t="s">
        <v>79</v>
      </c>
      <c r="Q2789" s="23" t="s">
        <v>83</v>
      </c>
      <c r="R2789" s="23">
        <v>11100008</v>
      </c>
      <c r="S2789" s="24" t="s">
        <v>80</v>
      </c>
      <c r="T2789" s="24">
        <v>45846</v>
      </c>
      <c r="U2789" s="24">
        <v>45853</v>
      </c>
      <c r="V2789" s="23">
        <v>3</v>
      </c>
      <c r="X2789" s="24">
        <v>45846</v>
      </c>
      <c r="Y2789" s="23">
        <v>1111</v>
      </c>
      <c r="Z2789" s="23">
        <v>11100042</v>
      </c>
      <c r="AA2789" s="23">
        <v>5153</v>
      </c>
      <c r="AB2789" s="24">
        <v>45846</v>
      </c>
    </row>
    <row r="2790" spans="2:28" x14ac:dyDescent="0.2">
      <c r="C2790" s="23">
        <v>1100555711</v>
      </c>
      <c r="E2790" s="23">
        <v>30</v>
      </c>
      <c r="F2790" s="23" t="s">
        <v>1155</v>
      </c>
      <c r="G2790" s="23" t="s">
        <v>1156</v>
      </c>
      <c r="H2790" s="24">
        <v>47118</v>
      </c>
      <c r="I2790" s="24">
        <v>47118</v>
      </c>
      <c r="J2790" s="23" t="s">
        <v>386</v>
      </c>
      <c r="K2790" s="23" t="s">
        <v>386</v>
      </c>
      <c r="L2790" s="23">
        <v>1</v>
      </c>
      <c r="M2790" s="23" t="s">
        <v>78</v>
      </c>
      <c r="N2790" s="23" t="s">
        <v>78</v>
      </c>
      <c r="O2790" s="23">
        <v>0.01</v>
      </c>
      <c r="P2790" s="23" t="s">
        <v>79</v>
      </c>
      <c r="Q2790" s="23" t="s">
        <v>83</v>
      </c>
      <c r="R2790" s="23">
        <v>11100008</v>
      </c>
      <c r="S2790" s="24" t="s">
        <v>80</v>
      </c>
      <c r="T2790" s="24">
        <v>45846</v>
      </c>
      <c r="U2790" s="24">
        <v>45848</v>
      </c>
      <c r="V2790" s="23">
        <v>3</v>
      </c>
      <c r="X2790" s="24">
        <v>45846</v>
      </c>
      <c r="Y2790" s="23">
        <v>1111</v>
      </c>
      <c r="Z2790" s="23">
        <v>11100042</v>
      </c>
      <c r="AA2790" s="23">
        <v>5153</v>
      </c>
      <c r="AB2790" s="24">
        <v>45846</v>
      </c>
    </row>
    <row r="2791" spans="2:28" x14ac:dyDescent="0.2">
      <c r="B2791" s="23" t="s">
        <v>81</v>
      </c>
      <c r="C2791" s="23">
        <v>1100555711</v>
      </c>
      <c r="H2791" s="24">
        <v>47118</v>
      </c>
      <c r="O2791" s="23">
        <v>4100.01</v>
      </c>
      <c r="P2791" s="23" t="s">
        <v>79</v>
      </c>
    </row>
    <row r="2792" spans="2:28" x14ac:dyDescent="0.2">
      <c r="C2792" s="23">
        <v>1100556252</v>
      </c>
      <c r="E2792" s="23">
        <v>20</v>
      </c>
      <c r="F2792" s="23" t="s">
        <v>82</v>
      </c>
      <c r="G2792" s="23" t="s">
        <v>139</v>
      </c>
      <c r="H2792" s="24">
        <v>47118</v>
      </c>
      <c r="I2792" s="24">
        <v>47118</v>
      </c>
      <c r="J2792" s="23" t="s">
        <v>1176</v>
      </c>
      <c r="K2792" s="23" t="s">
        <v>1176</v>
      </c>
      <c r="L2792" s="23">
        <v>1</v>
      </c>
      <c r="M2792" s="23" t="s">
        <v>78</v>
      </c>
      <c r="N2792" s="23" t="s">
        <v>78</v>
      </c>
      <c r="O2792" s="23">
        <v>0.01</v>
      </c>
      <c r="P2792" s="23" t="s">
        <v>79</v>
      </c>
      <c r="Q2792" s="23" t="s">
        <v>83</v>
      </c>
      <c r="R2792" s="23">
        <v>11100008</v>
      </c>
      <c r="S2792" s="24" t="s">
        <v>80</v>
      </c>
      <c r="T2792" s="24">
        <v>45850</v>
      </c>
      <c r="U2792" s="24">
        <v>45854</v>
      </c>
      <c r="X2792" s="24">
        <v>45841</v>
      </c>
      <c r="Y2792" s="23">
        <v>1111</v>
      </c>
      <c r="Z2792" s="23">
        <v>11400606</v>
      </c>
      <c r="AA2792" s="23">
        <v>3351</v>
      </c>
      <c r="AB2792" s="24">
        <v>45840</v>
      </c>
    </row>
    <row r="2793" spans="2:28" x14ac:dyDescent="0.2">
      <c r="B2793" s="23" t="s">
        <v>81</v>
      </c>
      <c r="C2793" s="23">
        <v>1100556252</v>
      </c>
      <c r="H2793" s="24">
        <v>47118</v>
      </c>
      <c r="O2793" s="23">
        <v>0.01</v>
      </c>
      <c r="P2793" s="23" t="s">
        <v>79</v>
      </c>
    </row>
    <row r="2794" spans="2:28" x14ac:dyDescent="0.2">
      <c r="C2794" s="23">
        <v>1100556300</v>
      </c>
      <c r="E2794" s="23">
        <v>140</v>
      </c>
      <c r="F2794" s="23" t="s">
        <v>82</v>
      </c>
      <c r="G2794" s="23" t="s">
        <v>139</v>
      </c>
      <c r="H2794" s="24">
        <v>47118</v>
      </c>
      <c r="I2794" s="24">
        <v>47118</v>
      </c>
      <c r="J2794" s="23" t="s">
        <v>678</v>
      </c>
      <c r="K2794" s="23" t="s">
        <v>678</v>
      </c>
      <c r="L2794" s="23">
        <v>1</v>
      </c>
      <c r="M2794" s="23" t="s">
        <v>78</v>
      </c>
      <c r="N2794" s="23" t="s">
        <v>78</v>
      </c>
      <c r="O2794" s="23">
        <v>0.01</v>
      </c>
      <c r="P2794" s="23" t="s">
        <v>79</v>
      </c>
      <c r="Q2794" s="23" t="s">
        <v>83</v>
      </c>
      <c r="R2794" s="23">
        <v>11100008</v>
      </c>
      <c r="S2794" s="24">
        <v>45856</v>
      </c>
      <c r="T2794" s="24">
        <v>45852</v>
      </c>
      <c r="U2794" s="24">
        <v>45856</v>
      </c>
      <c r="X2794" s="24">
        <v>45845</v>
      </c>
      <c r="Y2794" s="23">
        <v>1111</v>
      </c>
      <c r="Z2794" s="23">
        <v>11600003</v>
      </c>
      <c r="AA2794" s="23">
        <v>335103</v>
      </c>
      <c r="AB2794" s="24">
        <v>45849</v>
      </c>
    </row>
    <row r="2795" spans="2:28" x14ac:dyDescent="0.2">
      <c r="B2795" s="23" t="s">
        <v>81</v>
      </c>
      <c r="C2795" s="23">
        <v>1100556300</v>
      </c>
      <c r="H2795" s="24">
        <v>47118</v>
      </c>
      <c r="O2795" s="23">
        <v>0.01</v>
      </c>
      <c r="P2795" s="23" t="s">
        <v>79</v>
      </c>
    </row>
    <row r="2796" spans="2:28" x14ac:dyDescent="0.2">
      <c r="C2796" s="23">
        <v>1100556382</v>
      </c>
      <c r="E2796" s="23">
        <v>30</v>
      </c>
      <c r="F2796" s="23" t="s">
        <v>82</v>
      </c>
      <c r="G2796" s="23" t="s">
        <v>139</v>
      </c>
      <c r="H2796" s="24">
        <v>47118</v>
      </c>
      <c r="I2796" s="24">
        <v>47118</v>
      </c>
      <c r="J2796" s="23" t="s">
        <v>1177</v>
      </c>
      <c r="K2796" s="23" t="s">
        <v>1177</v>
      </c>
      <c r="L2796" s="23">
        <v>1</v>
      </c>
      <c r="M2796" s="23" t="s">
        <v>78</v>
      </c>
      <c r="N2796" s="23" t="s">
        <v>78</v>
      </c>
      <c r="O2796" s="23">
        <v>0.01</v>
      </c>
      <c r="P2796" s="23" t="s">
        <v>79</v>
      </c>
      <c r="Q2796" s="23" t="s">
        <v>83</v>
      </c>
      <c r="R2796" s="23">
        <v>11100299</v>
      </c>
      <c r="S2796" s="24" t="s">
        <v>80</v>
      </c>
      <c r="T2796" s="24">
        <v>45852</v>
      </c>
      <c r="U2796" s="24">
        <v>45883</v>
      </c>
      <c r="X2796" s="24">
        <v>45840</v>
      </c>
      <c r="Y2796" s="23">
        <v>1111</v>
      </c>
      <c r="Z2796" s="23">
        <v>11400797</v>
      </c>
      <c r="AA2796" s="23">
        <v>5151</v>
      </c>
      <c r="AB2796" s="24">
        <v>45835</v>
      </c>
    </row>
    <row r="2797" spans="2:28" x14ac:dyDescent="0.2">
      <c r="B2797" s="23" t="s">
        <v>81</v>
      </c>
      <c r="C2797" s="23">
        <v>1100556382</v>
      </c>
      <c r="H2797" s="24">
        <v>47118</v>
      </c>
      <c r="O2797" s="23">
        <v>0.01</v>
      </c>
      <c r="P2797" s="23" t="s">
        <v>79</v>
      </c>
    </row>
    <row r="2798" spans="2:28" x14ac:dyDescent="0.2">
      <c r="C2798" s="23">
        <v>1100556652</v>
      </c>
      <c r="E2798" s="23">
        <v>20</v>
      </c>
      <c r="F2798" s="23" t="s">
        <v>82</v>
      </c>
      <c r="G2798" s="23" t="s">
        <v>139</v>
      </c>
      <c r="H2798" s="24">
        <v>47118</v>
      </c>
      <c r="I2798" s="24">
        <v>47118</v>
      </c>
      <c r="J2798" s="23" t="s">
        <v>810</v>
      </c>
      <c r="K2798" s="23" t="s">
        <v>810</v>
      </c>
      <c r="L2798" s="23">
        <v>1</v>
      </c>
      <c r="M2798" s="23" t="s">
        <v>78</v>
      </c>
      <c r="N2798" s="23" t="s">
        <v>78</v>
      </c>
      <c r="O2798" s="23">
        <v>0.01</v>
      </c>
      <c r="P2798" s="23" t="s">
        <v>79</v>
      </c>
      <c r="Q2798" s="23" t="s">
        <v>83</v>
      </c>
      <c r="R2798" s="23">
        <v>11100299</v>
      </c>
      <c r="S2798" s="24">
        <v>45898</v>
      </c>
      <c r="T2798" s="24">
        <v>45855</v>
      </c>
      <c r="U2798" s="24">
        <v>45898</v>
      </c>
      <c r="X2798" s="24">
        <v>45840</v>
      </c>
      <c r="Y2798" s="23">
        <v>1111</v>
      </c>
      <c r="Z2798" s="23">
        <v>11600003</v>
      </c>
      <c r="AA2798" s="23">
        <v>335103</v>
      </c>
      <c r="AB2798" s="24">
        <v>45852</v>
      </c>
    </row>
    <row r="2799" spans="2:28" x14ac:dyDescent="0.2">
      <c r="B2799" s="23" t="s">
        <v>81</v>
      </c>
      <c r="C2799" s="23">
        <v>1100556652</v>
      </c>
      <c r="H2799" s="24">
        <v>47118</v>
      </c>
      <c r="O2799" s="23">
        <v>0.01</v>
      </c>
      <c r="P2799" s="23" t="s">
        <v>79</v>
      </c>
    </row>
    <row r="2800" spans="2:28" x14ac:dyDescent="0.2">
      <c r="C2800" s="23">
        <v>1100556867</v>
      </c>
      <c r="E2800" s="23">
        <v>20</v>
      </c>
      <c r="F2800" s="23" t="s">
        <v>82</v>
      </c>
      <c r="G2800" s="23" t="s">
        <v>139</v>
      </c>
      <c r="H2800" s="24">
        <v>47118</v>
      </c>
      <c r="I2800" s="24">
        <v>47118</v>
      </c>
      <c r="J2800" s="23" t="s">
        <v>715</v>
      </c>
      <c r="K2800" s="23" t="s">
        <v>715</v>
      </c>
      <c r="L2800" s="23">
        <v>1</v>
      </c>
      <c r="M2800" s="23" t="s">
        <v>78</v>
      </c>
      <c r="N2800" s="23" t="s">
        <v>78</v>
      </c>
      <c r="O2800" s="23">
        <v>0.01</v>
      </c>
      <c r="P2800" s="23" t="s">
        <v>79</v>
      </c>
      <c r="Q2800" s="23" t="s">
        <v>83</v>
      </c>
      <c r="R2800" s="23">
        <v>11100018</v>
      </c>
      <c r="S2800" s="24" t="s">
        <v>80</v>
      </c>
      <c r="T2800" s="24">
        <v>45856</v>
      </c>
      <c r="U2800" s="24">
        <v>45897</v>
      </c>
      <c r="X2800" s="24">
        <v>45854</v>
      </c>
      <c r="Y2800" s="23">
        <v>1111</v>
      </c>
      <c r="Z2800" s="23">
        <v>11400811</v>
      </c>
      <c r="AA2800" s="23">
        <v>3351</v>
      </c>
      <c r="AB2800" s="24">
        <v>45854</v>
      </c>
    </row>
    <row r="2801" spans="2:28" x14ac:dyDescent="0.2">
      <c r="B2801" s="23" t="s">
        <v>81</v>
      </c>
      <c r="C2801" s="23">
        <v>1100556867</v>
      </c>
      <c r="H2801" s="24">
        <v>47118</v>
      </c>
      <c r="O2801" s="23">
        <v>0.01</v>
      </c>
      <c r="P2801" s="23" t="s">
        <v>79</v>
      </c>
    </row>
    <row r="2802" spans="2:28" x14ac:dyDescent="0.2">
      <c r="C2802" s="23">
        <v>1100557673</v>
      </c>
      <c r="E2802" s="23">
        <v>20</v>
      </c>
      <c r="F2802" s="23" t="s">
        <v>82</v>
      </c>
      <c r="G2802" s="23" t="s">
        <v>139</v>
      </c>
      <c r="H2802" s="24">
        <v>47118</v>
      </c>
      <c r="I2802" s="24">
        <v>47118</v>
      </c>
      <c r="J2802" s="23" t="s">
        <v>946</v>
      </c>
      <c r="K2802" s="23" t="s">
        <v>946</v>
      </c>
      <c r="L2802" s="23">
        <v>1</v>
      </c>
      <c r="M2802" s="23" t="s">
        <v>78</v>
      </c>
      <c r="N2802" s="23" t="s">
        <v>78</v>
      </c>
      <c r="O2802" s="23">
        <v>0.01</v>
      </c>
      <c r="P2802" s="23" t="s">
        <v>79</v>
      </c>
      <c r="Q2802" s="23" t="s">
        <v>83</v>
      </c>
      <c r="R2802" s="23">
        <v>11100189</v>
      </c>
      <c r="S2802" s="24" t="s">
        <v>80</v>
      </c>
      <c r="T2802" s="24">
        <v>45863</v>
      </c>
      <c r="U2802" s="24">
        <v>45894</v>
      </c>
      <c r="X2802" s="24">
        <v>45860</v>
      </c>
      <c r="Y2802" s="23">
        <v>1111</v>
      </c>
      <c r="Z2802" s="23">
        <v>11400742</v>
      </c>
      <c r="AA2802" s="23">
        <v>3951</v>
      </c>
      <c r="AB2802" s="24">
        <v>45856</v>
      </c>
    </row>
    <row r="2803" spans="2:28" x14ac:dyDescent="0.2">
      <c r="B2803" s="23" t="s">
        <v>81</v>
      </c>
      <c r="C2803" s="23">
        <v>1100557673</v>
      </c>
      <c r="H2803" s="24">
        <v>47118</v>
      </c>
      <c r="O2803" s="23">
        <v>0.01</v>
      </c>
      <c r="P2803" s="23" t="s">
        <v>79</v>
      </c>
    </row>
    <row r="2804" spans="2:28" x14ac:dyDescent="0.2">
      <c r="C2804" s="23">
        <v>1100558416</v>
      </c>
      <c r="E2804" s="23">
        <v>20</v>
      </c>
      <c r="F2804" s="23" t="s">
        <v>192</v>
      </c>
      <c r="G2804" s="23" t="s">
        <v>1180</v>
      </c>
      <c r="H2804" s="24">
        <v>47118</v>
      </c>
      <c r="I2804" s="24">
        <v>47118</v>
      </c>
      <c r="J2804" s="23" t="s">
        <v>1181</v>
      </c>
      <c r="K2804" s="23" t="s">
        <v>1181</v>
      </c>
      <c r="L2804" s="23">
        <v>1</v>
      </c>
      <c r="M2804" s="23" t="s">
        <v>78</v>
      </c>
      <c r="N2804" s="23" t="s">
        <v>78</v>
      </c>
      <c r="O2804" s="23">
        <v>43316</v>
      </c>
      <c r="P2804" s="23" t="s">
        <v>79</v>
      </c>
      <c r="Q2804" s="23" t="s">
        <v>83</v>
      </c>
      <c r="R2804" s="23">
        <v>11100008</v>
      </c>
      <c r="S2804" s="24" t="s">
        <v>80</v>
      </c>
      <c r="T2804" s="24">
        <v>45870</v>
      </c>
      <c r="U2804" s="24">
        <v>46752</v>
      </c>
      <c r="X2804" s="24">
        <v>45870</v>
      </c>
      <c r="Y2804" s="23">
        <v>1111</v>
      </c>
      <c r="Z2804" s="23">
        <v>11100172</v>
      </c>
      <c r="AA2804" s="23">
        <v>3955</v>
      </c>
      <c r="AB2804" s="24">
        <v>45870</v>
      </c>
    </row>
    <row r="2805" spans="2:28" x14ac:dyDescent="0.2">
      <c r="B2805" s="23" t="s">
        <v>81</v>
      </c>
      <c r="C2805" s="23">
        <v>1100558416</v>
      </c>
      <c r="H2805" s="24">
        <v>47118</v>
      </c>
      <c r="O2805" s="23">
        <v>43316</v>
      </c>
      <c r="P2805" s="23" t="s">
        <v>79</v>
      </c>
    </row>
    <row r="2806" spans="2:28" x14ac:dyDescent="0.2">
      <c r="C2806" s="23">
        <v>1100558481</v>
      </c>
      <c r="E2806" s="23">
        <v>20</v>
      </c>
      <c r="F2806" s="23" t="s">
        <v>82</v>
      </c>
      <c r="G2806" s="23" t="s">
        <v>139</v>
      </c>
      <c r="H2806" s="24">
        <v>47118</v>
      </c>
      <c r="I2806" s="24">
        <v>47118</v>
      </c>
      <c r="J2806" s="23" t="s">
        <v>91</v>
      </c>
      <c r="K2806" s="23" t="s">
        <v>91</v>
      </c>
      <c r="L2806" s="23">
        <v>1</v>
      </c>
      <c r="M2806" s="23" t="s">
        <v>78</v>
      </c>
      <c r="N2806" s="23" t="s">
        <v>78</v>
      </c>
      <c r="O2806" s="23">
        <v>0.01</v>
      </c>
      <c r="P2806" s="23" t="s">
        <v>79</v>
      </c>
      <c r="Q2806" s="23" t="s">
        <v>83</v>
      </c>
      <c r="R2806" s="23">
        <v>11100018</v>
      </c>
      <c r="S2806" s="24" t="s">
        <v>80</v>
      </c>
      <c r="T2806" s="24">
        <v>45870</v>
      </c>
      <c r="U2806" s="24">
        <v>45880</v>
      </c>
      <c r="X2806" s="24">
        <v>45868</v>
      </c>
      <c r="Y2806" s="23">
        <v>1111</v>
      </c>
      <c r="Z2806" s="23">
        <v>11100320</v>
      </c>
      <c r="AA2806" s="23">
        <v>3951</v>
      </c>
      <c r="AB2806" s="24">
        <v>45855</v>
      </c>
    </row>
    <row r="2807" spans="2:28" x14ac:dyDescent="0.2">
      <c r="B2807" s="23" t="s">
        <v>81</v>
      </c>
      <c r="C2807" s="23">
        <v>1100558481</v>
      </c>
      <c r="H2807" s="24">
        <v>47118</v>
      </c>
      <c r="O2807" s="23">
        <v>0.01</v>
      </c>
      <c r="P2807" s="23" t="s">
        <v>79</v>
      </c>
    </row>
    <row r="2808" spans="2:28" x14ac:dyDescent="0.2">
      <c r="C2808" s="23">
        <v>1100558483</v>
      </c>
      <c r="E2808" s="23">
        <v>30</v>
      </c>
      <c r="F2808" s="23" t="s">
        <v>82</v>
      </c>
      <c r="G2808" s="23" t="s">
        <v>139</v>
      </c>
      <c r="H2808" s="24">
        <v>47118</v>
      </c>
      <c r="I2808" s="24">
        <v>47118</v>
      </c>
      <c r="J2808" s="23" t="s">
        <v>1096</v>
      </c>
      <c r="K2808" s="23" t="s">
        <v>1096</v>
      </c>
      <c r="L2808" s="23">
        <v>1</v>
      </c>
      <c r="M2808" s="23" t="s">
        <v>78</v>
      </c>
      <c r="N2808" s="23" t="s">
        <v>78</v>
      </c>
      <c r="O2808" s="23">
        <v>0.01</v>
      </c>
      <c r="P2808" s="23" t="s">
        <v>79</v>
      </c>
      <c r="Q2808" s="23" t="s">
        <v>83</v>
      </c>
      <c r="R2808" s="23">
        <v>11100018</v>
      </c>
      <c r="S2808" s="24" t="s">
        <v>80</v>
      </c>
      <c r="T2808" s="24">
        <v>45870</v>
      </c>
      <c r="U2808" s="24">
        <v>45875</v>
      </c>
      <c r="X2808" s="24">
        <v>45870</v>
      </c>
      <c r="Y2808" s="23">
        <v>1111</v>
      </c>
      <c r="Z2808" s="23">
        <v>11400745</v>
      </c>
      <c r="AA2808" s="23">
        <v>395103</v>
      </c>
      <c r="AB2808" s="24">
        <v>45870</v>
      </c>
    </row>
    <row r="2809" spans="2:28" x14ac:dyDescent="0.2">
      <c r="B2809" s="23" t="s">
        <v>81</v>
      </c>
      <c r="C2809" s="23">
        <v>1100558483</v>
      </c>
      <c r="H2809" s="24">
        <v>47118</v>
      </c>
      <c r="O2809" s="23">
        <v>0.01</v>
      </c>
      <c r="P2809" s="23" t="s">
        <v>79</v>
      </c>
    </row>
    <row r="2810" spans="2:28" x14ac:dyDescent="0.2">
      <c r="C2810" s="23">
        <v>1100558702</v>
      </c>
      <c r="E2810" s="23">
        <v>30</v>
      </c>
      <c r="F2810" s="23" t="s">
        <v>82</v>
      </c>
      <c r="G2810" s="23" t="s">
        <v>139</v>
      </c>
      <c r="H2810" s="24">
        <v>47118</v>
      </c>
      <c r="I2810" s="24">
        <v>47118</v>
      </c>
      <c r="J2810" s="23" t="s">
        <v>734</v>
      </c>
      <c r="K2810" s="23" t="s">
        <v>734</v>
      </c>
      <c r="L2810" s="23">
        <v>1</v>
      </c>
      <c r="M2810" s="23" t="s">
        <v>78</v>
      </c>
      <c r="N2810" s="23" t="s">
        <v>78</v>
      </c>
      <c r="O2810" s="23">
        <v>0.01</v>
      </c>
      <c r="P2810" s="23" t="s">
        <v>79</v>
      </c>
      <c r="Q2810" s="23" t="s">
        <v>83</v>
      </c>
      <c r="R2810" s="23">
        <v>11100018</v>
      </c>
      <c r="S2810" s="24" t="s">
        <v>80</v>
      </c>
      <c r="T2810" s="24">
        <v>45874</v>
      </c>
      <c r="U2810" s="24">
        <v>45882</v>
      </c>
      <c r="X2810" s="24">
        <v>45859</v>
      </c>
      <c r="Y2810" s="23">
        <v>1111</v>
      </c>
      <c r="Z2810" s="23">
        <v>11400606</v>
      </c>
      <c r="AA2810" s="23">
        <v>335103</v>
      </c>
      <c r="AB2810" s="24">
        <v>45868</v>
      </c>
    </row>
    <row r="2811" spans="2:28" x14ac:dyDescent="0.2">
      <c r="B2811" s="23" t="s">
        <v>81</v>
      </c>
      <c r="C2811" s="23">
        <v>1100558702</v>
      </c>
      <c r="H2811" s="24">
        <v>47118</v>
      </c>
      <c r="O2811" s="23">
        <v>0.01</v>
      </c>
      <c r="P2811" s="23" t="s">
        <v>79</v>
      </c>
    </row>
    <row r="2812" spans="2:28" x14ac:dyDescent="0.2">
      <c r="C2812" s="23">
        <v>1100559722</v>
      </c>
      <c r="E2812" s="23">
        <v>20</v>
      </c>
      <c r="F2812" s="23" t="s">
        <v>82</v>
      </c>
      <c r="G2812" s="23" t="s">
        <v>139</v>
      </c>
      <c r="H2812" s="24">
        <v>47118</v>
      </c>
      <c r="I2812" s="24">
        <v>47118</v>
      </c>
      <c r="J2812" s="23" t="s">
        <v>1212</v>
      </c>
      <c r="K2812" s="23" t="s">
        <v>1212</v>
      </c>
      <c r="L2812" s="23">
        <v>1</v>
      </c>
      <c r="M2812" s="23" t="s">
        <v>78</v>
      </c>
      <c r="N2812" s="23" t="s">
        <v>78</v>
      </c>
      <c r="O2812" s="23">
        <v>0.01</v>
      </c>
      <c r="P2812" s="23" t="s">
        <v>79</v>
      </c>
      <c r="Q2812" s="23" t="s">
        <v>83</v>
      </c>
      <c r="R2812" s="23">
        <v>11100018</v>
      </c>
      <c r="S2812" s="24" t="s">
        <v>80</v>
      </c>
      <c r="T2812" s="24">
        <v>45884</v>
      </c>
      <c r="U2812" s="24">
        <v>45897</v>
      </c>
      <c r="X2812" s="24">
        <v>45882</v>
      </c>
      <c r="Y2812" s="23">
        <v>1111</v>
      </c>
      <c r="Z2812" s="23">
        <v>11400895</v>
      </c>
      <c r="AA2812" s="23">
        <v>515103</v>
      </c>
      <c r="AB2812" s="24">
        <v>45882</v>
      </c>
    </row>
    <row r="2813" spans="2:28" x14ac:dyDescent="0.2">
      <c r="B2813" s="23" t="s">
        <v>81</v>
      </c>
      <c r="C2813" s="23">
        <v>1100559722</v>
      </c>
      <c r="H2813" s="24">
        <v>47118</v>
      </c>
      <c r="O2813" s="23">
        <v>0.01</v>
      </c>
      <c r="P2813" s="23" t="s">
        <v>79</v>
      </c>
    </row>
    <row r="2814" spans="2:28" x14ac:dyDescent="0.2">
      <c r="C2814" s="23">
        <v>1100560386</v>
      </c>
      <c r="E2814" s="23">
        <v>30</v>
      </c>
      <c r="F2814" s="23" t="s">
        <v>82</v>
      </c>
      <c r="G2814" s="23" t="s">
        <v>139</v>
      </c>
      <c r="H2814" s="24">
        <v>47118</v>
      </c>
      <c r="I2814" s="24">
        <v>47118</v>
      </c>
      <c r="J2814" s="23" t="s">
        <v>168</v>
      </c>
      <c r="K2814" s="23" t="s">
        <v>168</v>
      </c>
      <c r="L2814" s="23">
        <v>1</v>
      </c>
      <c r="M2814" s="23" t="s">
        <v>78</v>
      </c>
      <c r="N2814" s="23" t="s">
        <v>78</v>
      </c>
      <c r="O2814" s="23">
        <v>0.01</v>
      </c>
      <c r="P2814" s="23" t="s">
        <v>79</v>
      </c>
      <c r="Q2814" s="23" t="s">
        <v>83</v>
      </c>
      <c r="R2814" s="23">
        <v>11100299</v>
      </c>
      <c r="S2814" s="24">
        <v>45890</v>
      </c>
      <c r="T2814" s="24">
        <v>45890</v>
      </c>
      <c r="U2814" s="24">
        <v>45894</v>
      </c>
      <c r="X2814" s="24">
        <v>45890</v>
      </c>
      <c r="Y2814" s="23">
        <v>1111</v>
      </c>
      <c r="Z2814" s="23">
        <v>11400745</v>
      </c>
      <c r="AA2814" s="23">
        <v>5151</v>
      </c>
      <c r="AB2814" s="24">
        <v>45890</v>
      </c>
    </row>
    <row r="2815" spans="2:28" x14ac:dyDescent="0.2">
      <c r="B2815" s="23" t="s">
        <v>81</v>
      </c>
      <c r="C2815" s="23">
        <v>1100560386</v>
      </c>
      <c r="H2815" s="24">
        <v>47118</v>
      </c>
      <c r="O2815" s="23">
        <v>0.01</v>
      </c>
      <c r="P2815" s="23" t="s">
        <v>79</v>
      </c>
    </row>
    <row r="2816" spans="2:28" x14ac:dyDescent="0.2">
      <c r="C2816" s="23">
        <v>1100560719</v>
      </c>
      <c r="E2816" s="23">
        <v>30</v>
      </c>
      <c r="F2816" s="23" t="s">
        <v>82</v>
      </c>
      <c r="G2816" s="23" t="s">
        <v>139</v>
      </c>
      <c r="H2816" s="24">
        <v>47118</v>
      </c>
      <c r="I2816" s="24">
        <v>47118</v>
      </c>
      <c r="J2816" s="23" t="s">
        <v>682</v>
      </c>
      <c r="K2816" s="23" t="s">
        <v>682</v>
      </c>
      <c r="L2816" s="23">
        <v>1</v>
      </c>
      <c r="M2816" s="23" t="s">
        <v>78</v>
      </c>
      <c r="N2816" s="23" t="s">
        <v>78</v>
      </c>
      <c r="O2816" s="23">
        <v>0.01</v>
      </c>
      <c r="P2816" s="23" t="s">
        <v>79</v>
      </c>
      <c r="Q2816" s="23" t="s">
        <v>83</v>
      </c>
      <c r="R2816" s="23">
        <v>11100008</v>
      </c>
      <c r="S2816" s="24" t="s">
        <v>80</v>
      </c>
      <c r="T2816" s="24">
        <v>45894</v>
      </c>
      <c r="U2816" s="24">
        <v>46752</v>
      </c>
      <c r="X2816" s="24">
        <v>45894</v>
      </c>
      <c r="Y2816" s="23">
        <v>1111</v>
      </c>
      <c r="Z2816" s="23">
        <v>11100172</v>
      </c>
      <c r="AA2816" s="23">
        <v>3355</v>
      </c>
      <c r="AB2816" s="24">
        <v>45894</v>
      </c>
    </row>
    <row r="2817" spans="2:28" x14ac:dyDescent="0.2">
      <c r="B2817" s="23" t="s">
        <v>81</v>
      </c>
      <c r="C2817" s="23">
        <v>1100560719</v>
      </c>
      <c r="H2817" s="24">
        <v>47118</v>
      </c>
      <c r="O2817" s="23">
        <v>0.01</v>
      </c>
      <c r="P2817" s="23" t="s">
        <v>79</v>
      </c>
    </row>
    <row r="2818" spans="2:28" x14ac:dyDescent="0.2">
      <c r="C2818" s="23">
        <v>1100561053</v>
      </c>
      <c r="E2818" s="23">
        <v>30</v>
      </c>
      <c r="F2818" s="23" t="s">
        <v>82</v>
      </c>
      <c r="G2818" s="23" t="s">
        <v>139</v>
      </c>
      <c r="H2818" s="24">
        <v>47118</v>
      </c>
      <c r="I2818" s="24">
        <v>47118</v>
      </c>
      <c r="J2818" s="23" t="s">
        <v>2207</v>
      </c>
      <c r="K2818" s="23" t="s">
        <v>2207</v>
      </c>
      <c r="L2818" s="23">
        <v>1</v>
      </c>
      <c r="M2818" s="23" t="s">
        <v>78</v>
      </c>
      <c r="N2818" s="23" t="s">
        <v>78</v>
      </c>
      <c r="O2818" s="23">
        <v>0.01</v>
      </c>
      <c r="P2818" s="23" t="s">
        <v>79</v>
      </c>
      <c r="Q2818" s="23" t="s">
        <v>83</v>
      </c>
      <c r="R2818" s="23">
        <v>11100008</v>
      </c>
      <c r="S2818" s="24" t="s">
        <v>80</v>
      </c>
      <c r="T2818" s="24">
        <v>45896</v>
      </c>
      <c r="U2818" s="24">
        <v>46752</v>
      </c>
      <c r="X2818" s="24">
        <v>45896</v>
      </c>
      <c r="Y2818" s="23">
        <v>1111</v>
      </c>
      <c r="Z2818" s="23">
        <v>11100172</v>
      </c>
      <c r="AA2818" s="23">
        <v>3555</v>
      </c>
      <c r="AB2818" s="24">
        <v>45896</v>
      </c>
    </row>
    <row r="2819" spans="2:28" x14ac:dyDescent="0.2">
      <c r="B2819" s="23" t="s">
        <v>81</v>
      </c>
      <c r="C2819" s="23">
        <v>1100561053</v>
      </c>
      <c r="H2819" s="24">
        <v>47118</v>
      </c>
      <c r="O2819" s="23">
        <v>0.01</v>
      </c>
      <c r="P2819" s="23" t="s">
        <v>79</v>
      </c>
    </row>
    <row r="2820" spans="2:28" x14ac:dyDescent="0.2">
      <c r="C2820" s="23">
        <v>1100561261</v>
      </c>
      <c r="E2820" s="23">
        <v>70</v>
      </c>
      <c r="F2820" s="23" t="s">
        <v>82</v>
      </c>
      <c r="G2820" s="23" t="s">
        <v>139</v>
      </c>
      <c r="H2820" s="24">
        <v>47118</v>
      </c>
      <c r="I2820" s="24">
        <v>47118</v>
      </c>
      <c r="J2820" s="23" t="s">
        <v>1389</v>
      </c>
      <c r="K2820" s="23" t="s">
        <v>1389</v>
      </c>
      <c r="L2820" s="23">
        <v>1</v>
      </c>
      <c r="M2820" s="23" t="s">
        <v>78</v>
      </c>
      <c r="N2820" s="23" t="s">
        <v>78</v>
      </c>
      <c r="O2820" s="23">
        <v>0.01</v>
      </c>
      <c r="P2820" s="23" t="s">
        <v>79</v>
      </c>
      <c r="Q2820" s="23" t="s">
        <v>83</v>
      </c>
      <c r="R2820" s="23">
        <v>11100008</v>
      </c>
      <c r="S2820" s="24" t="s">
        <v>80</v>
      </c>
      <c r="T2820" s="24">
        <v>45898</v>
      </c>
      <c r="U2820" s="24">
        <v>46752</v>
      </c>
      <c r="X2820" s="24">
        <v>45898</v>
      </c>
      <c r="Y2820" s="23">
        <v>1111</v>
      </c>
      <c r="Z2820" s="23">
        <v>11100172</v>
      </c>
      <c r="AA2820" s="23">
        <v>3355</v>
      </c>
      <c r="AB2820" s="24">
        <v>45898</v>
      </c>
    </row>
    <row r="2821" spans="2:28" x14ac:dyDescent="0.2">
      <c r="B2821" s="23" t="s">
        <v>81</v>
      </c>
      <c r="C2821" s="23">
        <v>1100561261</v>
      </c>
      <c r="H2821" s="24">
        <v>47118</v>
      </c>
      <c r="O2821" s="23">
        <v>0.01</v>
      </c>
      <c r="P2821" s="23" t="s">
        <v>79</v>
      </c>
    </row>
    <row r="2822" spans="2:28" x14ac:dyDescent="0.2">
      <c r="C2822" s="23">
        <v>1100561308</v>
      </c>
      <c r="E2822" s="23">
        <v>20</v>
      </c>
      <c r="F2822" s="23" t="s">
        <v>82</v>
      </c>
      <c r="G2822" s="23" t="s">
        <v>139</v>
      </c>
      <c r="H2822" s="24">
        <v>47118</v>
      </c>
      <c r="I2822" s="24">
        <v>47118</v>
      </c>
      <c r="J2822" s="23" t="s">
        <v>682</v>
      </c>
      <c r="K2822" s="23" t="s">
        <v>682</v>
      </c>
      <c r="L2822" s="23">
        <v>1</v>
      </c>
      <c r="M2822" s="23" t="s">
        <v>78</v>
      </c>
      <c r="N2822" s="23" t="s">
        <v>78</v>
      </c>
      <c r="O2822" s="23">
        <v>0.01</v>
      </c>
      <c r="P2822" s="23" t="s">
        <v>79</v>
      </c>
      <c r="Q2822" s="23" t="s">
        <v>83</v>
      </c>
      <c r="R2822" s="23">
        <v>11100189</v>
      </c>
      <c r="S2822" s="24" t="s">
        <v>80</v>
      </c>
      <c r="T2822" s="24">
        <v>45898</v>
      </c>
      <c r="U2822" s="24">
        <v>45924</v>
      </c>
      <c r="X2822" s="24">
        <v>45821</v>
      </c>
      <c r="Y2822" s="23">
        <v>1111</v>
      </c>
      <c r="Z2822" s="23">
        <v>11400704</v>
      </c>
      <c r="AA2822" s="23">
        <v>335103</v>
      </c>
      <c r="AB2822" s="24">
        <v>45896</v>
      </c>
    </row>
    <row r="2823" spans="2:28" x14ac:dyDescent="0.2">
      <c r="B2823" s="23" t="s">
        <v>81</v>
      </c>
      <c r="C2823" s="23">
        <v>1100561308</v>
      </c>
      <c r="H2823" s="24">
        <v>47118</v>
      </c>
      <c r="O2823" s="23">
        <v>0.01</v>
      </c>
      <c r="P2823" s="23" t="s">
        <v>79</v>
      </c>
    </row>
    <row r="2824" spans="2:28" x14ac:dyDescent="0.2">
      <c r="C2824" s="23">
        <v>1100561381</v>
      </c>
      <c r="E2824" s="23">
        <v>40</v>
      </c>
      <c r="F2824" s="23" t="s">
        <v>82</v>
      </c>
      <c r="G2824" s="23" t="s">
        <v>139</v>
      </c>
      <c r="H2824" s="24">
        <v>47118</v>
      </c>
      <c r="I2824" s="24">
        <v>47118</v>
      </c>
      <c r="J2824" s="23" t="s">
        <v>2030</v>
      </c>
      <c r="K2824" s="23" t="s">
        <v>2030</v>
      </c>
      <c r="L2824" s="23">
        <v>1</v>
      </c>
      <c r="M2824" s="23" t="s">
        <v>78</v>
      </c>
      <c r="N2824" s="23" t="s">
        <v>78</v>
      </c>
      <c r="O2824" s="23">
        <v>0.01</v>
      </c>
      <c r="P2824" s="23" t="s">
        <v>79</v>
      </c>
      <c r="Q2824" s="23" t="s">
        <v>83</v>
      </c>
      <c r="R2824" s="23">
        <v>11100018</v>
      </c>
      <c r="S2824" s="24" t="s">
        <v>80</v>
      </c>
      <c r="T2824" s="24">
        <v>45898</v>
      </c>
      <c r="U2824" s="24">
        <v>45947</v>
      </c>
      <c r="X2824" s="24">
        <v>45896</v>
      </c>
      <c r="Y2824" s="23">
        <v>1111</v>
      </c>
      <c r="Z2824" s="23">
        <v>11100137</v>
      </c>
      <c r="AA2824" s="23">
        <v>335103</v>
      </c>
      <c r="AB2824" s="24">
        <v>45891</v>
      </c>
    </row>
    <row r="2825" spans="2:28" x14ac:dyDescent="0.2">
      <c r="B2825" s="23" t="s">
        <v>81</v>
      </c>
      <c r="C2825" s="23">
        <v>1100561381</v>
      </c>
      <c r="H2825" s="24">
        <v>47118</v>
      </c>
      <c r="O2825" s="23">
        <v>0.01</v>
      </c>
      <c r="P2825" s="23" t="s">
        <v>79</v>
      </c>
    </row>
    <row r="2826" spans="2:28" x14ac:dyDescent="0.2">
      <c r="C2826" s="23">
        <v>1100561521</v>
      </c>
      <c r="E2826" s="23">
        <v>50</v>
      </c>
      <c r="F2826" s="23" t="s">
        <v>82</v>
      </c>
      <c r="G2826" s="23" t="s">
        <v>139</v>
      </c>
      <c r="H2826" s="24">
        <v>47118</v>
      </c>
      <c r="I2826" s="24">
        <v>47118</v>
      </c>
      <c r="J2826" s="23" t="s">
        <v>983</v>
      </c>
      <c r="K2826" s="23" t="s">
        <v>983</v>
      </c>
      <c r="L2826" s="23">
        <v>1</v>
      </c>
      <c r="M2826" s="23" t="s">
        <v>78</v>
      </c>
      <c r="N2826" s="23" t="s">
        <v>78</v>
      </c>
      <c r="O2826" s="23">
        <v>0.01</v>
      </c>
      <c r="P2826" s="23" t="s">
        <v>79</v>
      </c>
      <c r="Q2826" s="23" t="s">
        <v>83</v>
      </c>
      <c r="R2826" s="23">
        <v>11100008</v>
      </c>
      <c r="S2826" s="24" t="s">
        <v>80</v>
      </c>
      <c r="T2826" s="24">
        <v>45902</v>
      </c>
      <c r="U2826" s="24">
        <v>46752</v>
      </c>
      <c r="X2826" s="24">
        <v>45902</v>
      </c>
      <c r="Y2826" s="23">
        <v>1111</v>
      </c>
      <c r="Z2826" s="23">
        <v>11100172</v>
      </c>
      <c r="AA2826" s="23">
        <v>3355</v>
      </c>
      <c r="AB2826" s="24">
        <v>45902</v>
      </c>
    </row>
    <row r="2827" spans="2:28" x14ac:dyDescent="0.2">
      <c r="B2827" s="23" t="s">
        <v>81</v>
      </c>
      <c r="C2827" s="23">
        <v>1100561521</v>
      </c>
      <c r="H2827" s="24">
        <v>47118</v>
      </c>
      <c r="O2827" s="23">
        <v>0.01</v>
      </c>
      <c r="P2827" s="23" t="s">
        <v>79</v>
      </c>
    </row>
    <row r="2828" spans="2:28" x14ac:dyDescent="0.2">
      <c r="C2828" s="23">
        <v>1100561527</v>
      </c>
      <c r="E2828" s="23">
        <v>30</v>
      </c>
      <c r="F2828" s="23" t="s">
        <v>82</v>
      </c>
      <c r="G2828" s="23" t="s">
        <v>139</v>
      </c>
      <c r="H2828" s="24">
        <v>47118</v>
      </c>
      <c r="I2828" s="24">
        <v>47118</v>
      </c>
      <c r="J2828" s="23" t="s">
        <v>1777</v>
      </c>
      <c r="K2828" s="23" t="s">
        <v>1777</v>
      </c>
      <c r="L2828" s="23">
        <v>1</v>
      </c>
      <c r="M2828" s="23" t="s">
        <v>78</v>
      </c>
      <c r="N2828" s="23" t="s">
        <v>78</v>
      </c>
      <c r="O2828" s="23">
        <v>0.01</v>
      </c>
      <c r="P2828" s="23" t="s">
        <v>79</v>
      </c>
      <c r="Q2828" s="23" t="s">
        <v>83</v>
      </c>
      <c r="R2828" s="23">
        <v>11100008</v>
      </c>
      <c r="S2828" s="24" t="s">
        <v>80</v>
      </c>
      <c r="T2828" s="24">
        <v>45902</v>
      </c>
      <c r="U2828" s="24">
        <v>46752</v>
      </c>
      <c r="X2828" s="24">
        <v>45902</v>
      </c>
      <c r="Y2828" s="23">
        <v>1111</v>
      </c>
      <c r="Z2828" s="23">
        <v>11100172</v>
      </c>
      <c r="AA2828" s="23">
        <v>3355</v>
      </c>
      <c r="AB2828" s="24">
        <v>45902</v>
      </c>
    </row>
    <row r="2829" spans="2:28" x14ac:dyDescent="0.2">
      <c r="B2829" s="23" t="s">
        <v>81</v>
      </c>
      <c r="C2829" s="23">
        <v>1100561527</v>
      </c>
      <c r="H2829" s="24">
        <v>47118</v>
      </c>
      <c r="O2829" s="23">
        <v>0.01</v>
      </c>
      <c r="P2829" s="23" t="s">
        <v>79</v>
      </c>
    </row>
    <row r="2830" spans="2:28" x14ac:dyDescent="0.2">
      <c r="C2830" s="23">
        <v>1100561534</v>
      </c>
      <c r="E2830" s="23">
        <v>50</v>
      </c>
      <c r="F2830" s="23" t="s">
        <v>82</v>
      </c>
      <c r="G2830" s="23" t="s">
        <v>139</v>
      </c>
      <c r="H2830" s="24">
        <v>47118</v>
      </c>
      <c r="I2830" s="24">
        <v>47118</v>
      </c>
      <c r="J2830" s="23" t="s">
        <v>1894</v>
      </c>
      <c r="K2830" s="23" t="s">
        <v>1894</v>
      </c>
      <c r="L2830" s="23">
        <v>1</v>
      </c>
      <c r="M2830" s="23" t="s">
        <v>78</v>
      </c>
      <c r="N2830" s="23" t="s">
        <v>78</v>
      </c>
      <c r="O2830" s="23">
        <v>0.01</v>
      </c>
      <c r="P2830" s="23" t="s">
        <v>79</v>
      </c>
      <c r="Q2830" s="23" t="s">
        <v>83</v>
      </c>
      <c r="R2830" s="23">
        <v>11100008</v>
      </c>
      <c r="S2830" s="24" t="s">
        <v>80</v>
      </c>
      <c r="T2830" s="24">
        <v>45902</v>
      </c>
      <c r="U2830" s="24">
        <v>46752</v>
      </c>
      <c r="X2830" s="24">
        <v>45902</v>
      </c>
      <c r="Y2830" s="23">
        <v>1111</v>
      </c>
      <c r="Z2830" s="23">
        <v>11100172</v>
      </c>
      <c r="AA2830" s="23">
        <v>3555</v>
      </c>
      <c r="AB2830" s="24">
        <v>45902</v>
      </c>
    </row>
    <row r="2831" spans="2:28" x14ac:dyDescent="0.2">
      <c r="B2831" s="23" t="s">
        <v>81</v>
      </c>
      <c r="C2831" s="23">
        <v>1100561534</v>
      </c>
      <c r="H2831" s="24">
        <v>47118</v>
      </c>
      <c r="O2831" s="23">
        <v>0.01</v>
      </c>
      <c r="P2831" s="23" t="s">
        <v>79</v>
      </c>
    </row>
    <row r="2832" spans="2:28" x14ac:dyDescent="0.2">
      <c r="C2832" s="23">
        <v>1100561629</v>
      </c>
      <c r="E2832" s="23">
        <v>30</v>
      </c>
      <c r="F2832" s="23" t="s">
        <v>82</v>
      </c>
      <c r="G2832" s="23" t="s">
        <v>139</v>
      </c>
      <c r="H2832" s="24">
        <v>47118</v>
      </c>
      <c r="I2832" s="24">
        <v>47118</v>
      </c>
      <c r="J2832" s="23" t="s">
        <v>295</v>
      </c>
      <c r="K2832" s="23" t="s">
        <v>295</v>
      </c>
      <c r="L2832" s="23">
        <v>1</v>
      </c>
      <c r="M2832" s="23" t="s">
        <v>78</v>
      </c>
      <c r="N2832" s="23" t="s">
        <v>78</v>
      </c>
      <c r="O2832" s="23">
        <v>0.01</v>
      </c>
      <c r="P2832" s="23" t="s">
        <v>79</v>
      </c>
      <c r="Q2832" s="23" t="s">
        <v>83</v>
      </c>
      <c r="R2832" s="23">
        <v>11100008</v>
      </c>
      <c r="S2832" s="24" t="s">
        <v>80</v>
      </c>
      <c r="T2832" s="24">
        <v>45903</v>
      </c>
      <c r="U2832" s="24">
        <v>46752</v>
      </c>
      <c r="X2832" s="24">
        <v>45903</v>
      </c>
      <c r="Y2832" s="23">
        <v>1111</v>
      </c>
      <c r="Z2832" s="23">
        <v>11100172</v>
      </c>
      <c r="AA2832" s="23">
        <v>3155</v>
      </c>
      <c r="AB2832" s="24">
        <v>45903</v>
      </c>
    </row>
    <row r="2833" spans="2:28" x14ac:dyDescent="0.2">
      <c r="B2833" s="23" t="s">
        <v>81</v>
      </c>
      <c r="C2833" s="23">
        <v>1100561629</v>
      </c>
      <c r="H2833" s="24">
        <v>47118</v>
      </c>
      <c r="O2833" s="23">
        <v>0.01</v>
      </c>
      <c r="P2833" s="23" t="s">
        <v>79</v>
      </c>
    </row>
    <row r="2834" spans="2:28" x14ac:dyDescent="0.2">
      <c r="C2834" s="23">
        <v>1100561648</v>
      </c>
      <c r="E2834" s="23">
        <v>70</v>
      </c>
      <c r="F2834" s="23" t="s">
        <v>82</v>
      </c>
      <c r="G2834" s="23" t="s">
        <v>139</v>
      </c>
      <c r="H2834" s="24">
        <v>47118</v>
      </c>
      <c r="I2834" s="24">
        <v>47118</v>
      </c>
      <c r="J2834" s="23" t="s">
        <v>295</v>
      </c>
      <c r="K2834" s="23" t="s">
        <v>295</v>
      </c>
      <c r="L2834" s="23">
        <v>1</v>
      </c>
      <c r="M2834" s="23" t="s">
        <v>78</v>
      </c>
      <c r="N2834" s="23" t="s">
        <v>78</v>
      </c>
      <c r="O2834" s="23">
        <v>0.01</v>
      </c>
      <c r="P2834" s="23" t="s">
        <v>79</v>
      </c>
      <c r="Q2834" s="23" t="s">
        <v>83</v>
      </c>
      <c r="R2834" s="23">
        <v>11100008</v>
      </c>
      <c r="S2834" s="24" t="s">
        <v>80</v>
      </c>
      <c r="T2834" s="24">
        <v>45903</v>
      </c>
      <c r="U2834" s="24">
        <v>46752</v>
      </c>
      <c r="X2834" s="24">
        <v>45903</v>
      </c>
      <c r="Y2834" s="23">
        <v>1111</v>
      </c>
      <c r="Z2834" s="23">
        <v>11100172</v>
      </c>
      <c r="AA2834" s="23">
        <v>3155</v>
      </c>
      <c r="AB2834" s="24">
        <v>45903</v>
      </c>
    </row>
    <row r="2835" spans="2:28" x14ac:dyDescent="0.2">
      <c r="B2835" s="23" t="s">
        <v>81</v>
      </c>
      <c r="C2835" s="23">
        <v>1100561648</v>
      </c>
      <c r="H2835" s="24">
        <v>47118</v>
      </c>
      <c r="O2835" s="23">
        <v>0.01</v>
      </c>
      <c r="P2835" s="23" t="s">
        <v>79</v>
      </c>
    </row>
    <row r="2836" spans="2:28" x14ac:dyDescent="0.2">
      <c r="C2836" s="23">
        <v>1100561696</v>
      </c>
      <c r="E2836" s="23">
        <v>30</v>
      </c>
      <c r="F2836" s="23" t="s">
        <v>82</v>
      </c>
      <c r="G2836" s="23" t="s">
        <v>139</v>
      </c>
      <c r="H2836" s="24">
        <v>47118</v>
      </c>
      <c r="I2836" s="24">
        <v>47118</v>
      </c>
      <c r="J2836" s="23" t="s">
        <v>820</v>
      </c>
      <c r="K2836" s="23" t="s">
        <v>820</v>
      </c>
      <c r="L2836" s="23">
        <v>1</v>
      </c>
      <c r="M2836" s="23" t="s">
        <v>78</v>
      </c>
      <c r="N2836" s="23" t="s">
        <v>78</v>
      </c>
      <c r="O2836" s="23">
        <v>0.01</v>
      </c>
      <c r="P2836" s="23" t="s">
        <v>79</v>
      </c>
      <c r="Q2836" s="23" t="s">
        <v>83</v>
      </c>
      <c r="R2836" s="23">
        <v>11100008</v>
      </c>
      <c r="S2836" s="24" t="s">
        <v>80</v>
      </c>
      <c r="T2836" s="24">
        <v>45904</v>
      </c>
      <c r="U2836" s="24">
        <v>46752</v>
      </c>
      <c r="X2836" s="24">
        <v>45904</v>
      </c>
      <c r="Y2836" s="23">
        <v>1111</v>
      </c>
      <c r="Z2836" s="23">
        <v>11100172</v>
      </c>
      <c r="AA2836" s="23">
        <v>3355</v>
      </c>
      <c r="AB2836" s="24">
        <v>45904</v>
      </c>
    </row>
    <row r="2837" spans="2:28" x14ac:dyDescent="0.2">
      <c r="B2837" s="23" t="s">
        <v>81</v>
      </c>
      <c r="C2837" s="23">
        <v>1100561696</v>
      </c>
      <c r="H2837" s="24">
        <v>47118</v>
      </c>
      <c r="O2837" s="23">
        <v>0.01</v>
      </c>
      <c r="P2837" s="23" t="s">
        <v>79</v>
      </c>
    </row>
    <row r="2838" spans="2:28" x14ac:dyDescent="0.2">
      <c r="C2838" s="23">
        <v>1100561698</v>
      </c>
      <c r="E2838" s="23">
        <v>30</v>
      </c>
      <c r="F2838" s="23" t="s">
        <v>82</v>
      </c>
      <c r="G2838" s="23" t="s">
        <v>139</v>
      </c>
      <c r="H2838" s="24">
        <v>47118</v>
      </c>
      <c r="I2838" s="24">
        <v>47118</v>
      </c>
      <c r="J2838" s="23" t="s">
        <v>682</v>
      </c>
      <c r="K2838" s="23" t="s">
        <v>682</v>
      </c>
      <c r="L2838" s="23">
        <v>1</v>
      </c>
      <c r="M2838" s="23" t="s">
        <v>78</v>
      </c>
      <c r="N2838" s="23" t="s">
        <v>78</v>
      </c>
      <c r="O2838" s="23">
        <v>0.01</v>
      </c>
      <c r="P2838" s="23" t="s">
        <v>79</v>
      </c>
      <c r="Q2838" s="23" t="s">
        <v>83</v>
      </c>
      <c r="R2838" s="23">
        <v>11100008</v>
      </c>
      <c r="S2838" s="24" t="s">
        <v>80</v>
      </c>
      <c r="T2838" s="24">
        <v>45904</v>
      </c>
      <c r="U2838" s="24">
        <v>46752</v>
      </c>
      <c r="X2838" s="24">
        <v>45904</v>
      </c>
      <c r="Y2838" s="23">
        <v>1111</v>
      </c>
      <c r="Z2838" s="23">
        <v>11100172</v>
      </c>
      <c r="AA2838" s="23">
        <v>3355</v>
      </c>
      <c r="AB2838" s="24">
        <v>45904</v>
      </c>
    </row>
    <row r="2839" spans="2:28" x14ac:dyDescent="0.2">
      <c r="B2839" s="23" t="s">
        <v>81</v>
      </c>
      <c r="C2839" s="23">
        <v>1100561698</v>
      </c>
      <c r="H2839" s="24">
        <v>47118</v>
      </c>
      <c r="O2839" s="23">
        <v>0.01</v>
      </c>
      <c r="P2839" s="23" t="s">
        <v>79</v>
      </c>
    </row>
    <row r="2840" spans="2:28" x14ac:dyDescent="0.2">
      <c r="C2840" s="23">
        <v>1100561703</v>
      </c>
      <c r="E2840" s="23">
        <v>30</v>
      </c>
      <c r="F2840" s="23" t="s">
        <v>82</v>
      </c>
      <c r="G2840" s="23" t="s">
        <v>139</v>
      </c>
      <c r="H2840" s="24">
        <v>47118</v>
      </c>
      <c r="I2840" s="24">
        <v>47118</v>
      </c>
      <c r="J2840" s="23" t="s">
        <v>268</v>
      </c>
      <c r="K2840" s="23" t="s">
        <v>268</v>
      </c>
      <c r="L2840" s="23">
        <v>1</v>
      </c>
      <c r="M2840" s="23" t="s">
        <v>78</v>
      </c>
      <c r="N2840" s="23" t="s">
        <v>78</v>
      </c>
      <c r="O2840" s="23">
        <v>0.01</v>
      </c>
      <c r="P2840" s="23" t="s">
        <v>79</v>
      </c>
      <c r="Q2840" s="23" t="s">
        <v>83</v>
      </c>
      <c r="R2840" s="23">
        <v>11100008</v>
      </c>
      <c r="S2840" s="24" t="s">
        <v>80</v>
      </c>
      <c r="T2840" s="24">
        <v>45904</v>
      </c>
      <c r="U2840" s="24">
        <v>46752</v>
      </c>
      <c r="X2840" s="24">
        <v>45904</v>
      </c>
      <c r="Y2840" s="23">
        <v>1111</v>
      </c>
      <c r="Z2840" s="23">
        <v>11100172</v>
      </c>
      <c r="AA2840" s="23">
        <v>5055</v>
      </c>
      <c r="AB2840" s="24">
        <v>45904</v>
      </c>
    </row>
    <row r="2841" spans="2:28" x14ac:dyDescent="0.2">
      <c r="B2841" s="23" t="s">
        <v>81</v>
      </c>
      <c r="C2841" s="23">
        <v>1100561703</v>
      </c>
      <c r="H2841" s="24">
        <v>47118</v>
      </c>
      <c r="O2841" s="23">
        <v>0.01</v>
      </c>
      <c r="P2841" s="23" t="s">
        <v>79</v>
      </c>
    </row>
    <row r="2842" spans="2:28" x14ac:dyDescent="0.2">
      <c r="C2842" s="23">
        <v>1100561707</v>
      </c>
      <c r="E2842" s="23">
        <v>30</v>
      </c>
      <c r="F2842" s="23" t="s">
        <v>82</v>
      </c>
      <c r="G2842" s="23" t="s">
        <v>139</v>
      </c>
      <c r="H2842" s="24">
        <v>47118</v>
      </c>
      <c r="I2842" s="24">
        <v>47118</v>
      </c>
      <c r="J2842" s="23" t="s">
        <v>1777</v>
      </c>
      <c r="K2842" s="23" t="s">
        <v>1777</v>
      </c>
      <c r="L2842" s="23">
        <v>1</v>
      </c>
      <c r="M2842" s="23" t="s">
        <v>78</v>
      </c>
      <c r="N2842" s="23" t="s">
        <v>78</v>
      </c>
      <c r="O2842" s="23">
        <v>0.01</v>
      </c>
      <c r="P2842" s="23" t="s">
        <v>79</v>
      </c>
      <c r="Q2842" s="23" t="s">
        <v>83</v>
      </c>
      <c r="R2842" s="23">
        <v>11100008</v>
      </c>
      <c r="S2842" s="24" t="s">
        <v>80</v>
      </c>
      <c r="T2842" s="24">
        <v>45904</v>
      </c>
      <c r="U2842" s="24">
        <v>46752</v>
      </c>
      <c r="X2842" s="24">
        <v>45904</v>
      </c>
      <c r="Y2842" s="23">
        <v>1111</v>
      </c>
      <c r="Z2842" s="23">
        <v>11100042</v>
      </c>
      <c r="AA2842" s="23">
        <v>335503</v>
      </c>
      <c r="AB2842" s="24">
        <v>45904</v>
      </c>
    </row>
    <row r="2843" spans="2:28" x14ac:dyDescent="0.2">
      <c r="B2843" s="23" t="s">
        <v>81</v>
      </c>
      <c r="C2843" s="23">
        <v>1100561707</v>
      </c>
      <c r="H2843" s="24">
        <v>47118</v>
      </c>
      <c r="O2843" s="23">
        <v>0.01</v>
      </c>
      <c r="P2843" s="23" t="s">
        <v>79</v>
      </c>
    </row>
    <row r="2844" spans="2:28" x14ac:dyDescent="0.2">
      <c r="C2844" s="23">
        <v>1100561738</v>
      </c>
      <c r="E2844" s="23">
        <v>20</v>
      </c>
      <c r="F2844" s="23" t="s">
        <v>192</v>
      </c>
      <c r="G2844" s="23" t="s">
        <v>2208</v>
      </c>
      <c r="H2844" s="24">
        <v>47118</v>
      </c>
      <c r="I2844" s="24">
        <v>47118</v>
      </c>
      <c r="J2844" s="23" t="s">
        <v>2209</v>
      </c>
      <c r="K2844" s="23" t="s">
        <v>2209</v>
      </c>
      <c r="L2844" s="23">
        <v>1</v>
      </c>
      <c r="M2844" s="23" t="s">
        <v>78</v>
      </c>
      <c r="N2844" s="23" t="s">
        <v>78</v>
      </c>
      <c r="O2844" s="23">
        <v>8131</v>
      </c>
      <c r="P2844" s="23" t="s">
        <v>79</v>
      </c>
      <c r="Q2844" s="23" t="s">
        <v>83</v>
      </c>
      <c r="R2844" s="23">
        <v>11100008</v>
      </c>
      <c r="S2844" s="24" t="s">
        <v>80</v>
      </c>
      <c r="T2844" s="24">
        <v>45904</v>
      </c>
      <c r="U2844" s="24">
        <v>46752</v>
      </c>
      <c r="X2844" s="24">
        <v>45904</v>
      </c>
      <c r="Y2844" s="23">
        <v>1111</v>
      </c>
      <c r="Z2844" s="23">
        <v>11100172</v>
      </c>
      <c r="AA2844" s="23">
        <v>3955</v>
      </c>
      <c r="AB2844" s="24">
        <v>45904</v>
      </c>
    </row>
    <row r="2845" spans="2:28" x14ac:dyDescent="0.2">
      <c r="C2845" s="23">
        <v>1100561738</v>
      </c>
      <c r="E2845" s="23">
        <v>30</v>
      </c>
      <c r="F2845" s="23" t="s">
        <v>82</v>
      </c>
      <c r="G2845" s="23" t="s">
        <v>139</v>
      </c>
      <c r="H2845" s="24">
        <v>47118</v>
      </c>
      <c r="I2845" s="24">
        <v>47118</v>
      </c>
      <c r="J2845" s="23" t="s">
        <v>2209</v>
      </c>
      <c r="K2845" s="23" t="s">
        <v>2209</v>
      </c>
      <c r="L2845" s="23">
        <v>1</v>
      </c>
      <c r="M2845" s="23" t="s">
        <v>78</v>
      </c>
      <c r="N2845" s="23" t="s">
        <v>78</v>
      </c>
      <c r="O2845" s="23">
        <v>0.01</v>
      </c>
      <c r="P2845" s="23" t="s">
        <v>79</v>
      </c>
      <c r="Q2845" s="23" t="s">
        <v>83</v>
      </c>
      <c r="R2845" s="23">
        <v>11100008</v>
      </c>
      <c r="S2845" s="24" t="s">
        <v>80</v>
      </c>
      <c r="T2845" s="24">
        <v>45904</v>
      </c>
      <c r="U2845" s="24">
        <v>46752</v>
      </c>
      <c r="X2845" s="24">
        <v>45904</v>
      </c>
      <c r="Y2845" s="23">
        <v>1111</v>
      </c>
      <c r="Z2845" s="23">
        <v>11100172</v>
      </c>
      <c r="AA2845" s="23">
        <v>3955</v>
      </c>
      <c r="AB2845" s="24">
        <v>45904</v>
      </c>
    </row>
    <row r="2846" spans="2:28" x14ac:dyDescent="0.2">
      <c r="B2846" s="23" t="s">
        <v>81</v>
      </c>
      <c r="C2846" s="23">
        <v>1100561738</v>
      </c>
      <c r="H2846" s="24">
        <v>47118</v>
      </c>
      <c r="O2846" s="23">
        <v>8131.01</v>
      </c>
      <c r="P2846" s="23" t="s">
        <v>79</v>
      </c>
    </row>
    <row r="2847" spans="2:28" x14ac:dyDescent="0.2">
      <c r="C2847" s="23">
        <v>1100562052</v>
      </c>
      <c r="E2847" s="23">
        <v>50</v>
      </c>
      <c r="F2847" s="23" t="s">
        <v>82</v>
      </c>
      <c r="G2847" s="23" t="s">
        <v>139</v>
      </c>
      <c r="H2847" s="24">
        <v>47118</v>
      </c>
      <c r="I2847" s="24">
        <v>47118</v>
      </c>
      <c r="J2847" s="23" t="s">
        <v>2210</v>
      </c>
      <c r="K2847" s="23" t="s">
        <v>2210</v>
      </c>
      <c r="L2847" s="23">
        <v>1</v>
      </c>
      <c r="M2847" s="23" t="s">
        <v>78</v>
      </c>
      <c r="N2847" s="23" t="s">
        <v>78</v>
      </c>
      <c r="O2847" s="23">
        <v>0.01</v>
      </c>
      <c r="P2847" s="23" t="s">
        <v>79</v>
      </c>
      <c r="Q2847" s="23" t="s">
        <v>83</v>
      </c>
      <c r="R2847" s="23">
        <v>11100008</v>
      </c>
      <c r="S2847" s="24" t="s">
        <v>80</v>
      </c>
      <c r="T2847" s="24">
        <v>45908</v>
      </c>
      <c r="U2847" s="24">
        <v>46752</v>
      </c>
      <c r="X2847" s="24">
        <v>45908</v>
      </c>
      <c r="Y2847" s="23">
        <v>1111</v>
      </c>
      <c r="Z2847" s="23">
        <v>11100172</v>
      </c>
      <c r="AA2847" s="23">
        <v>3355</v>
      </c>
      <c r="AB2847" s="24">
        <v>45908</v>
      </c>
    </row>
    <row r="2848" spans="2:28" x14ac:dyDescent="0.2">
      <c r="B2848" s="23" t="s">
        <v>81</v>
      </c>
      <c r="C2848" s="23">
        <v>1100562052</v>
      </c>
      <c r="H2848" s="24">
        <v>47118</v>
      </c>
      <c r="O2848" s="23">
        <v>0.01</v>
      </c>
      <c r="P2848" s="23" t="s">
        <v>79</v>
      </c>
    </row>
    <row r="2849" spans="2:28" x14ac:dyDescent="0.2">
      <c r="C2849" s="23">
        <v>1100562280</v>
      </c>
      <c r="E2849" s="23">
        <v>30</v>
      </c>
      <c r="F2849" s="23" t="s">
        <v>82</v>
      </c>
      <c r="G2849" s="23" t="s">
        <v>139</v>
      </c>
      <c r="H2849" s="24">
        <v>47118</v>
      </c>
      <c r="I2849" s="24">
        <v>47118</v>
      </c>
      <c r="J2849" s="23" t="s">
        <v>256</v>
      </c>
      <c r="K2849" s="23" t="s">
        <v>256</v>
      </c>
      <c r="L2849" s="23">
        <v>1</v>
      </c>
      <c r="M2849" s="23" t="s">
        <v>78</v>
      </c>
      <c r="N2849" s="23" t="s">
        <v>78</v>
      </c>
      <c r="O2849" s="23">
        <v>0.01</v>
      </c>
      <c r="P2849" s="23" t="s">
        <v>79</v>
      </c>
      <c r="Q2849" s="23" t="s">
        <v>83</v>
      </c>
      <c r="R2849" s="23">
        <v>11100008</v>
      </c>
      <c r="S2849" s="24" t="s">
        <v>80</v>
      </c>
      <c r="T2849" s="24">
        <v>45910</v>
      </c>
      <c r="U2849" s="24">
        <v>46752</v>
      </c>
      <c r="X2849" s="24">
        <v>45910</v>
      </c>
      <c r="Y2849" s="23">
        <v>1111</v>
      </c>
      <c r="Z2849" s="23">
        <v>11100172</v>
      </c>
      <c r="AA2849" s="23">
        <v>5155</v>
      </c>
      <c r="AB2849" s="24">
        <v>45910</v>
      </c>
    </row>
    <row r="2850" spans="2:28" x14ac:dyDescent="0.2">
      <c r="B2850" s="23" t="s">
        <v>81</v>
      </c>
      <c r="C2850" s="23">
        <v>1100562280</v>
      </c>
      <c r="H2850" s="24">
        <v>47118</v>
      </c>
      <c r="O2850" s="23">
        <v>0.01</v>
      </c>
      <c r="P2850" s="23" t="s">
        <v>79</v>
      </c>
    </row>
    <row r="2851" spans="2:28" x14ac:dyDescent="0.2">
      <c r="C2851" s="23">
        <v>1100562449</v>
      </c>
      <c r="E2851" s="23">
        <v>30</v>
      </c>
      <c r="F2851" s="23" t="s">
        <v>82</v>
      </c>
      <c r="G2851" s="23" t="s">
        <v>139</v>
      </c>
      <c r="H2851" s="24">
        <v>47118</v>
      </c>
      <c r="I2851" s="24">
        <v>47118</v>
      </c>
      <c r="J2851" s="23" t="s">
        <v>1045</v>
      </c>
      <c r="K2851" s="23" t="s">
        <v>1045</v>
      </c>
      <c r="L2851" s="23">
        <v>1</v>
      </c>
      <c r="M2851" s="23" t="s">
        <v>78</v>
      </c>
      <c r="N2851" s="23" t="s">
        <v>78</v>
      </c>
      <c r="O2851" s="23">
        <v>0.01</v>
      </c>
      <c r="P2851" s="23" t="s">
        <v>79</v>
      </c>
      <c r="Q2851" s="23" t="s">
        <v>83</v>
      </c>
      <c r="R2851" s="23">
        <v>11100008</v>
      </c>
      <c r="S2851" s="24" t="s">
        <v>80</v>
      </c>
      <c r="T2851" s="24">
        <v>45911</v>
      </c>
      <c r="U2851" s="24">
        <v>46752</v>
      </c>
      <c r="X2851" s="24">
        <v>45911</v>
      </c>
      <c r="Y2851" s="23">
        <v>1111</v>
      </c>
      <c r="Z2851" s="23">
        <v>11100172</v>
      </c>
      <c r="AA2851" s="23">
        <v>3355</v>
      </c>
      <c r="AB2851" s="24">
        <v>45911</v>
      </c>
    </row>
    <row r="2852" spans="2:28" x14ac:dyDescent="0.2">
      <c r="B2852" s="23" t="s">
        <v>81</v>
      </c>
      <c r="C2852" s="23">
        <v>1100562449</v>
      </c>
      <c r="H2852" s="24">
        <v>47118</v>
      </c>
      <c r="O2852" s="23">
        <v>0.01</v>
      </c>
      <c r="P2852" s="23" t="s">
        <v>79</v>
      </c>
    </row>
    <row r="2853" spans="2:28" x14ac:dyDescent="0.2">
      <c r="C2853" s="23">
        <v>1100562791</v>
      </c>
      <c r="E2853" s="23">
        <v>20</v>
      </c>
      <c r="F2853" s="23" t="s">
        <v>2202</v>
      </c>
      <c r="G2853" s="23" t="s">
        <v>2211</v>
      </c>
      <c r="H2853" s="24">
        <v>47118</v>
      </c>
      <c r="I2853" s="24">
        <v>47118</v>
      </c>
      <c r="J2853" s="23" t="s">
        <v>2030</v>
      </c>
      <c r="K2853" s="23" t="s">
        <v>2030</v>
      </c>
      <c r="L2853" s="23">
        <v>1</v>
      </c>
      <c r="M2853" s="23" t="s">
        <v>78</v>
      </c>
      <c r="N2853" s="23" t="s">
        <v>78</v>
      </c>
      <c r="O2853" s="23">
        <v>0.01</v>
      </c>
      <c r="P2853" s="23" t="s">
        <v>79</v>
      </c>
      <c r="Q2853" s="23" t="s">
        <v>83</v>
      </c>
      <c r="R2853" s="23">
        <v>11100008</v>
      </c>
      <c r="S2853" s="24" t="s">
        <v>80</v>
      </c>
      <c r="T2853" s="24">
        <v>45915</v>
      </c>
      <c r="U2853" s="24">
        <v>46752</v>
      </c>
      <c r="X2853" s="24">
        <v>45915</v>
      </c>
      <c r="Y2853" s="23">
        <v>1111</v>
      </c>
      <c r="Z2853" s="23">
        <v>11100042</v>
      </c>
      <c r="AA2853" s="23">
        <v>3355</v>
      </c>
      <c r="AB2853" s="24">
        <v>45915</v>
      </c>
    </row>
    <row r="2854" spans="2:28" x14ac:dyDescent="0.2">
      <c r="C2854" s="23">
        <v>1100562791</v>
      </c>
      <c r="E2854" s="23">
        <v>40</v>
      </c>
      <c r="F2854" s="23" t="s">
        <v>2202</v>
      </c>
      <c r="G2854" s="23" t="s">
        <v>2212</v>
      </c>
      <c r="H2854" s="24">
        <v>47118</v>
      </c>
      <c r="I2854" s="24">
        <v>47118</v>
      </c>
      <c r="J2854" s="23" t="s">
        <v>2030</v>
      </c>
      <c r="K2854" s="23" t="s">
        <v>2030</v>
      </c>
      <c r="L2854" s="23">
        <v>1</v>
      </c>
      <c r="M2854" s="23" t="s">
        <v>78</v>
      </c>
      <c r="N2854" s="23" t="s">
        <v>78</v>
      </c>
      <c r="O2854" s="23">
        <v>249</v>
      </c>
      <c r="P2854" s="23" t="s">
        <v>79</v>
      </c>
      <c r="Q2854" s="23" t="s">
        <v>83</v>
      </c>
      <c r="R2854" s="23">
        <v>11100008</v>
      </c>
      <c r="S2854" s="24" t="s">
        <v>80</v>
      </c>
      <c r="T2854" s="24">
        <v>45915</v>
      </c>
      <c r="U2854" s="24">
        <v>45945</v>
      </c>
      <c r="X2854" s="24">
        <v>45915</v>
      </c>
      <c r="Y2854" s="23">
        <v>1111</v>
      </c>
      <c r="Z2854" s="23">
        <v>11100042</v>
      </c>
      <c r="AA2854" s="23">
        <v>3355</v>
      </c>
      <c r="AB2854" s="24">
        <v>45915</v>
      </c>
    </row>
    <row r="2855" spans="2:28" x14ac:dyDescent="0.2">
      <c r="C2855" s="23">
        <v>1100562791</v>
      </c>
      <c r="E2855" s="23">
        <v>60</v>
      </c>
      <c r="F2855" s="23" t="s">
        <v>2202</v>
      </c>
      <c r="G2855" s="23" t="s">
        <v>2212</v>
      </c>
      <c r="H2855" s="24">
        <v>47118</v>
      </c>
      <c r="I2855" s="24">
        <v>47118</v>
      </c>
      <c r="J2855" s="23" t="s">
        <v>2030</v>
      </c>
      <c r="K2855" s="23" t="s">
        <v>2030</v>
      </c>
      <c r="L2855" s="23">
        <v>1</v>
      </c>
      <c r="M2855" s="23" t="s">
        <v>78</v>
      </c>
      <c r="N2855" s="23" t="s">
        <v>78</v>
      </c>
      <c r="O2855" s="23">
        <v>249</v>
      </c>
      <c r="P2855" s="23" t="s">
        <v>79</v>
      </c>
      <c r="Q2855" s="23" t="s">
        <v>83</v>
      </c>
      <c r="R2855" s="23">
        <v>11100008</v>
      </c>
      <c r="S2855" s="24" t="s">
        <v>80</v>
      </c>
      <c r="T2855" s="24">
        <v>45915</v>
      </c>
      <c r="U2855" s="24">
        <v>45945</v>
      </c>
      <c r="X2855" s="24">
        <v>45915</v>
      </c>
      <c r="Y2855" s="23">
        <v>1111</v>
      </c>
      <c r="Z2855" s="23">
        <v>11100042</v>
      </c>
      <c r="AA2855" s="23">
        <v>3355</v>
      </c>
      <c r="AB2855" s="24">
        <v>45915</v>
      </c>
    </row>
    <row r="2856" spans="2:28" x14ac:dyDescent="0.2">
      <c r="C2856" s="23">
        <v>1100562791</v>
      </c>
      <c r="E2856" s="23">
        <v>80</v>
      </c>
      <c r="F2856" s="23" t="s">
        <v>2202</v>
      </c>
      <c r="G2856" s="23" t="s">
        <v>2212</v>
      </c>
      <c r="H2856" s="24">
        <v>47118</v>
      </c>
      <c r="I2856" s="24">
        <v>47118</v>
      </c>
      <c r="J2856" s="23" t="s">
        <v>2030</v>
      </c>
      <c r="K2856" s="23" t="s">
        <v>2030</v>
      </c>
      <c r="L2856" s="23">
        <v>1</v>
      </c>
      <c r="M2856" s="23" t="s">
        <v>78</v>
      </c>
      <c r="N2856" s="23" t="s">
        <v>78</v>
      </c>
      <c r="O2856" s="23">
        <v>918</v>
      </c>
      <c r="P2856" s="23" t="s">
        <v>79</v>
      </c>
      <c r="Q2856" s="23" t="s">
        <v>83</v>
      </c>
      <c r="R2856" s="23">
        <v>11100008</v>
      </c>
      <c r="S2856" s="24" t="s">
        <v>80</v>
      </c>
      <c r="T2856" s="24">
        <v>45915</v>
      </c>
      <c r="U2856" s="24">
        <v>45945</v>
      </c>
      <c r="X2856" s="24">
        <v>45915</v>
      </c>
      <c r="Y2856" s="23">
        <v>1111</v>
      </c>
      <c r="Z2856" s="23">
        <v>11100042</v>
      </c>
      <c r="AA2856" s="23">
        <v>3355</v>
      </c>
      <c r="AB2856" s="24">
        <v>45915</v>
      </c>
    </row>
    <row r="2857" spans="2:28" x14ac:dyDescent="0.2">
      <c r="C2857" s="23">
        <v>1100562791</v>
      </c>
      <c r="E2857" s="23">
        <v>100</v>
      </c>
      <c r="F2857" s="23" t="s">
        <v>2202</v>
      </c>
      <c r="G2857" s="23" t="s">
        <v>2212</v>
      </c>
      <c r="H2857" s="24">
        <v>47118</v>
      </c>
      <c r="I2857" s="24">
        <v>47118</v>
      </c>
      <c r="J2857" s="23" t="s">
        <v>2030</v>
      </c>
      <c r="K2857" s="23" t="s">
        <v>2030</v>
      </c>
      <c r="L2857" s="23">
        <v>1</v>
      </c>
      <c r="M2857" s="23" t="s">
        <v>78</v>
      </c>
      <c r="N2857" s="23" t="s">
        <v>78</v>
      </c>
      <c r="O2857" s="23">
        <v>1244</v>
      </c>
      <c r="P2857" s="23" t="s">
        <v>79</v>
      </c>
      <c r="Q2857" s="23" t="s">
        <v>83</v>
      </c>
      <c r="R2857" s="23">
        <v>11100008</v>
      </c>
      <c r="S2857" s="24" t="s">
        <v>80</v>
      </c>
      <c r="T2857" s="24">
        <v>45915</v>
      </c>
      <c r="U2857" s="24">
        <v>45945</v>
      </c>
      <c r="X2857" s="24">
        <v>45915</v>
      </c>
      <c r="Y2857" s="23">
        <v>1111</v>
      </c>
      <c r="Z2857" s="23">
        <v>11100042</v>
      </c>
      <c r="AA2857" s="23">
        <v>3355</v>
      </c>
      <c r="AB2857" s="24">
        <v>45915</v>
      </c>
    </row>
    <row r="2858" spans="2:28" x14ac:dyDescent="0.2">
      <c r="C2858" s="23">
        <v>1100562791</v>
      </c>
      <c r="E2858" s="23">
        <v>120</v>
      </c>
      <c r="F2858" s="23" t="s">
        <v>2202</v>
      </c>
      <c r="G2858" s="23" t="s">
        <v>2212</v>
      </c>
      <c r="H2858" s="24">
        <v>47118</v>
      </c>
      <c r="I2858" s="24">
        <v>47118</v>
      </c>
      <c r="J2858" s="23" t="s">
        <v>2030</v>
      </c>
      <c r="K2858" s="23" t="s">
        <v>2030</v>
      </c>
      <c r="L2858" s="23">
        <v>1</v>
      </c>
      <c r="M2858" s="23" t="s">
        <v>78</v>
      </c>
      <c r="N2858" s="23" t="s">
        <v>78</v>
      </c>
      <c r="O2858" s="23">
        <v>938</v>
      </c>
      <c r="P2858" s="23" t="s">
        <v>79</v>
      </c>
      <c r="Q2858" s="23" t="s">
        <v>83</v>
      </c>
      <c r="R2858" s="23">
        <v>11100008</v>
      </c>
      <c r="S2858" s="24" t="s">
        <v>80</v>
      </c>
      <c r="T2858" s="24">
        <v>45915</v>
      </c>
      <c r="U2858" s="24">
        <v>45945</v>
      </c>
      <c r="X2858" s="24">
        <v>45915</v>
      </c>
      <c r="Y2858" s="23">
        <v>1111</v>
      </c>
      <c r="Z2858" s="23">
        <v>11100042</v>
      </c>
      <c r="AA2858" s="23">
        <v>3355</v>
      </c>
      <c r="AB2858" s="24">
        <v>45915</v>
      </c>
    </row>
    <row r="2859" spans="2:28" x14ac:dyDescent="0.2">
      <c r="C2859" s="23">
        <v>1100562791</v>
      </c>
      <c r="E2859" s="23">
        <v>140</v>
      </c>
      <c r="F2859" s="23" t="s">
        <v>2202</v>
      </c>
      <c r="G2859" s="23" t="s">
        <v>2212</v>
      </c>
      <c r="H2859" s="24">
        <v>47118</v>
      </c>
      <c r="I2859" s="24">
        <v>47118</v>
      </c>
      <c r="J2859" s="23" t="s">
        <v>2030</v>
      </c>
      <c r="K2859" s="23" t="s">
        <v>2030</v>
      </c>
      <c r="L2859" s="23">
        <v>1</v>
      </c>
      <c r="M2859" s="23" t="s">
        <v>78</v>
      </c>
      <c r="N2859" s="23" t="s">
        <v>78</v>
      </c>
      <c r="O2859" s="23">
        <v>918</v>
      </c>
      <c r="P2859" s="23" t="s">
        <v>79</v>
      </c>
      <c r="Q2859" s="23" t="s">
        <v>83</v>
      </c>
      <c r="R2859" s="23">
        <v>11100008</v>
      </c>
      <c r="S2859" s="24" t="s">
        <v>80</v>
      </c>
      <c r="T2859" s="24">
        <v>45915</v>
      </c>
      <c r="U2859" s="24">
        <v>45945</v>
      </c>
      <c r="X2859" s="24">
        <v>45915</v>
      </c>
      <c r="Y2859" s="23">
        <v>1111</v>
      </c>
      <c r="Z2859" s="23">
        <v>11100042</v>
      </c>
      <c r="AA2859" s="23">
        <v>3355</v>
      </c>
      <c r="AB2859" s="24">
        <v>45915</v>
      </c>
    </row>
    <row r="2860" spans="2:28" x14ac:dyDescent="0.2">
      <c r="C2860" s="23">
        <v>1100562791</v>
      </c>
      <c r="E2860" s="23">
        <v>160</v>
      </c>
      <c r="F2860" s="23" t="s">
        <v>2202</v>
      </c>
      <c r="G2860" s="23" t="s">
        <v>2212</v>
      </c>
      <c r="H2860" s="24">
        <v>47118</v>
      </c>
      <c r="I2860" s="24">
        <v>47118</v>
      </c>
      <c r="J2860" s="23" t="s">
        <v>2030</v>
      </c>
      <c r="K2860" s="23" t="s">
        <v>2030</v>
      </c>
      <c r="L2860" s="23">
        <v>1</v>
      </c>
      <c r="M2860" s="23" t="s">
        <v>78</v>
      </c>
      <c r="N2860" s="23" t="s">
        <v>78</v>
      </c>
      <c r="O2860" s="23">
        <v>1224</v>
      </c>
      <c r="P2860" s="23" t="s">
        <v>79</v>
      </c>
      <c r="Q2860" s="23" t="s">
        <v>83</v>
      </c>
      <c r="R2860" s="23">
        <v>11100008</v>
      </c>
      <c r="S2860" s="24" t="s">
        <v>80</v>
      </c>
      <c r="T2860" s="24">
        <v>45915</v>
      </c>
      <c r="U2860" s="24">
        <v>45945</v>
      </c>
      <c r="X2860" s="24">
        <v>45915</v>
      </c>
      <c r="Y2860" s="23">
        <v>1111</v>
      </c>
      <c r="Z2860" s="23">
        <v>11100042</v>
      </c>
      <c r="AA2860" s="23">
        <v>3355</v>
      </c>
      <c r="AB2860" s="24">
        <v>45915</v>
      </c>
    </row>
    <row r="2861" spans="2:28" x14ac:dyDescent="0.2">
      <c r="C2861" s="23">
        <v>1100562791</v>
      </c>
      <c r="E2861" s="23">
        <v>180</v>
      </c>
      <c r="F2861" s="23" t="s">
        <v>2202</v>
      </c>
      <c r="G2861" s="23" t="s">
        <v>2213</v>
      </c>
      <c r="H2861" s="24">
        <v>47118</v>
      </c>
      <c r="I2861" s="24">
        <v>47118</v>
      </c>
      <c r="J2861" s="23" t="s">
        <v>2030</v>
      </c>
      <c r="K2861" s="23" t="s">
        <v>2030</v>
      </c>
      <c r="L2861" s="23">
        <v>1</v>
      </c>
      <c r="M2861" s="23" t="s">
        <v>78</v>
      </c>
      <c r="N2861" s="23" t="s">
        <v>78</v>
      </c>
      <c r="O2861" s="23">
        <v>1173</v>
      </c>
      <c r="P2861" s="23" t="s">
        <v>79</v>
      </c>
      <c r="Q2861" s="23" t="s">
        <v>83</v>
      </c>
      <c r="R2861" s="23">
        <v>11100008</v>
      </c>
      <c r="S2861" s="24" t="s">
        <v>80</v>
      </c>
      <c r="T2861" s="24">
        <v>45915</v>
      </c>
      <c r="U2861" s="24">
        <v>45946</v>
      </c>
      <c r="X2861" s="24">
        <v>45915</v>
      </c>
      <c r="Y2861" s="23">
        <v>1111</v>
      </c>
      <c r="Z2861" s="23">
        <v>11100042</v>
      </c>
      <c r="AA2861" s="23">
        <v>3355</v>
      </c>
      <c r="AB2861" s="24">
        <v>45915</v>
      </c>
    </row>
    <row r="2862" spans="2:28" x14ac:dyDescent="0.2">
      <c r="C2862" s="23">
        <v>1100562791</v>
      </c>
      <c r="E2862" s="23">
        <v>200</v>
      </c>
      <c r="F2862" s="23" t="s">
        <v>2202</v>
      </c>
      <c r="G2862" s="23" t="s">
        <v>2213</v>
      </c>
      <c r="H2862" s="24">
        <v>47118</v>
      </c>
      <c r="I2862" s="24">
        <v>47118</v>
      </c>
      <c r="J2862" s="23" t="s">
        <v>2030</v>
      </c>
      <c r="K2862" s="23" t="s">
        <v>2030</v>
      </c>
      <c r="L2862" s="23">
        <v>1</v>
      </c>
      <c r="M2862" s="23" t="s">
        <v>78</v>
      </c>
      <c r="N2862" s="23" t="s">
        <v>78</v>
      </c>
      <c r="O2862" s="23">
        <v>612</v>
      </c>
      <c r="P2862" s="23" t="s">
        <v>79</v>
      </c>
      <c r="Q2862" s="23" t="s">
        <v>83</v>
      </c>
      <c r="R2862" s="23">
        <v>11100008</v>
      </c>
      <c r="S2862" s="24" t="s">
        <v>80</v>
      </c>
      <c r="T2862" s="24">
        <v>45915</v>
      </c>
      <c r="U2862" s="24">
        <v>45946</v>
      </c>
      <c r="X2862" s="24">
        <v>45915</v>
      </c>
      <c r="Y2862" s="23">
        <v>1111</v>
      </c>
      <c r="Z2862" s="23">
        <v>11100042</v>
      </c>
      <c r="AA2862" s="23">
        <v>3355</v>
      </c>
      <c r="AB2862" s="24">
        <v>45915</v>
      </c>
    </row>
    <row r="2863" spans="2:28" x14ac:dyDescent="0.2">
      <c r="B2863" s="23" t="s">
        <v>81</v>
      </c>
      <c r="C2863" s="23">
        <v>1100562791</v>
      </c>
      <c r="H2863" s="24">
        <v>47118</v>
      </c>
      <c r="O2863" s="23">
        <v>7525.01</v>
      </c>
      <c r="P2863" s="23" t="s">
        <v>79</v>
      </c>
    </row>
    <row r="2864" spans="2:28" x14ac:dyDescent="0.2">
      <c r="C2864" s="23">
        <v>1100562807</v>
      </c>
      <c r="E2864" s="23">
        <v>30</v>
      </c>
      <c r="F2864" s="23" t="s">
        <v>82</v>
      </c>
      <c r="G2864" s="23" t="s">
        <v>139</v>
      </c>
      <c r="H2864" s="24">
        <v>47118</v>
      </c>
      <c r="I2864" s="24">
        <v>47118</v>
      </c>
      <c r="J2864" s="23" t="s">
        <v>2214</v>
      </c>
      <c r="K2864" s="23" t="s">
        <v>2214</v>
      </c>
      <c r="L2864" s="23">
        <v>1</v>
      </c>
      <c r="M2864" s="23" t="s">
        <v>78</v>
      </c>
      <c r="N2864" s="23" t="s">
        <v>78</v>
      </c>
      <c r="O2864" s="23">
        <v>0.01</v>
      </c>
      <c r="P2864" s="23" t="s">
        <v>79</v>
      </c>
      <c r="Q2864" s="23" t="s">
        <v>83</v>
      </c>
      <c r="R2864" s="23">
        <v>11100008</v>
      </c>
      <c r="S2864" s="24" t="s">
        <v>80</v>
      </c>
      <c r="T2864" s="24">
        <v>45915</v>
      </c>
      <c r="U2864" s="24">
        <v>46752</v>
      </c>
      <c r="X2864" s="24">
        <v>45915</v>
      </c>
      <c r="Y2864" s="23">
        <v>1111</v>
      </c>
      <c r="Z2864" s="23">
        <v>11100172</v>
      </c>
      <c r="AA2864" s="23">
        <v>3955</v>
      </c>
      <c r="AB2864" s="24">
        <v>45915</v>
      </c>
    </row>
    <row r="2865" spans="2:28" x14ac:dyDescent="0.2">
      <c r="B2865" s="23" t="s">
        <v>81</v>
      </c>
      <c r="C2865" s="23">
        <v>1100562807</v>
      </c>
      <c r="H2865" s="24">
        <v>47118</v>
      </c>
      <c r="O2865" s="23">
        <v>0.01</v>
      </c>
      <c r="P2865" s="23" t="s">
        <v>79</v>
      </c>
    </row>
    <row r="2866" spans="2:28" x14ac:dyDescent="0.2">
      <c r="C2866" s="23">
        <v>1100563783</v>
      </c>
      <c r="E2866" s="23">
        <v>20</v>
      </c>
      <c r="F2866" s="23" t="s">
        <v>192</v>
      </c>
      <c r="G2866" s="23" t="s">
        <v>2215</v>
      </c>
      <c r="H2866" s="24">
        <v>47118</v>
      </c>
      <c r="I2866" s="24">
        <v>47118</v>
      </c>
      <c r="J2866" s="23" t="s">
        <v>157</v>
      </c>
      <c r="K2866" s="23" t="s">
        <v>157</v>
      </c>
      <c r="L2866" s="23">
        <v>1</v>
      </c>
      <c r="M2866" s="23" t="s">
        <v>78</v>
      </c>
      <c r="N2866" s="23" t="s">
        <v>78</v>
      </c>
      <c r="O2866" s="23">
        <v>0</v>
      </c>
      <c r="P2866" s="23" t="s">
        <v>79</v>
      </c>
      <c r="Q2866" s="23" t="s">
        <v>83</v>
      </c>
      <c r="R2866" s="23">
        <v>11100008</v>
      </c>
      <c r="S2866" s="24" t="s">
        <v>80</v>
      </c>
      <c r="T2866" s="24">
        <v>45922</v>
      </c>
      <c r="U2866" s="24">
        <v>46752</v>
      </c>
      <c r="X2866" s="24">
        <v>45922</v>
      </c>
      <c r="Y2866" s="23">
        <v>1111</v>
      </c>
      <c r="Z2866" s="23">
        <v>11100042</v>
      </c>
      <c r="AA2866" s="23">
        <v>5055</v>
      </c>
      <c r="AB2866" s="24">
        <v>45922</v>
      </c>
    </row>
    <row r="2867" spans="2:28" x14ac:dyDescent="0.2">
      <c r="B2867" s="23" t="s">
        <v>81</v>
      </c>
      <c r="C2867" s="23">
        <v>1100563783</v>
      </c>
      <c r="H2867" s="24">
        <v>47118</v>
      </c>
      <c r="O2867" s="23">
        <v>0</v>
      </c>
      <c r="P2867" s="23" t="s">
        <v>79</v>
      </c>
    </row>
    <row r="2868" spans="2:28" x14ac:dyDescent="0.2">
      <c r="C2868" s="23">
        <v>1100564019</v>
      </c>
      <c r="E2868" s="23">
        <v>30</v>
      </c>
      <c r="F2868" s="23" t="s">
        <v>82</v>
      </c>
      <c r="G2868" s="23" t="s">
        <v>139</v>
      </c>
      <c r="H2868" s="24">
        <v>47118</v>
      </c>
      <c r="I2868" s="24">
        <v>47118</v>
      </c>
      <c r="J2868" s="23" t="s">
        <v>1172</v>
      </c>
      <c r="K2868" s="23" t="s">
        <v>1172</v>
      </c>
      <c r="L2868" s="23">
        <v>1</v>
      </c>
      <c r="M2868" s="23" t="s">
        <v>78</v>
      </c>
      <c r="N2868" s="23" t="s">
        <v>78</v>
      </c>
      <c r="O2868" s="23">
        <v>0.01</v>
      </c>
      <c r="P2868" s="23" t="s">
        <v>79</v>
      </c>
      <c r="Q2868" s="23" t="s">
        <v>83</v>
      </c>
      <c r="R2868" s="23">
        <v>11100008</v>
      </c>
      <c r="S2868" s="24" t="s">
        <v>80</v>
      </c>
      <c r="T2868" s="24">
        <v>45923</v>
      </c>
      <c r="U2868" s="24">
        <v>46752</v>
      </c>
      <c r="X2868" s="24">
        <v>45923</v>
      </c>
      <c r="Y2868" s="23">
        <v>1111</v>
      </c>
      <c r="Z2868" s="23">
        <v>11100172</v>
      </c>
      <c r="AA2868" s="23">
        <v>3955</v>
      </c>
      <c r="AB2868" s="24">
        <v>45923</v>
      </c>
    </row>
    <row r="2869" spans="2:28" x14ac:dyDescent="0.2">
      <c r="B2869" s="23" t="s">
        <v>81</v>
      </c>
      <c r="C2869" s="23">
        <v>1100564019</v>
      </c>
      <c r="H2869" s="24">
        <v>47118</v>
      </c>
      <c r="O2869" s="23">
        <v>0.01</v>
      </c>
      <c r="P2869" s="23" t="s">
        <v>79</v>
      </c>
    </row>
    <row r="2870" spans="2:28" x14ac:dyDescent="0.2">
      <c r="C2870" s="23">
        <v>1100564054</v>
      </c>
      <c r="E2870" s="23">
        <v>30</v>
      </c>
      <c r="F2870" s="23" t="s">
        <v>2021</v>
      </c>
      <c r="G2870" s="23" t="s">
        <v>2022</v>
      </c>
      <c r="H2870" s="24">
        <v>47118</v>
      </c>
      <c r="I2870" s="24">
        <v>47118</v>
      </c>
      <c r="J2870" s="23" t="s">
        <v>1433</v>
      </c>
      <c r="K2870" s="23" t="s">
        <v>1433</v>
      </c>
      <c r="L2870" s="23">
        <v>1</v>
      </c>
      <c r="M2870" s="23" t="s">
        <v>78</v>
      </c>
      <c r="N2870" s="23" t="s">
        <v>78</v>
      </c>
      <c r="O2870" s="23">
        <v>1921.68</v>
      </c>
      <c r="P2870" s="23" t="s">
        <v>79</v>
      </c>
      <c r="Q2870" s="23" t="s">
        <v>83</v>
      </c>
      <c r="R2870" s="23">
        <v>11100018</v>
      </c>
      <c r="S2870" s="24">
        <v>45926</v>
      </c>
      <c r="T2870" s="24">
        <v>45923</v>
      </c>
      <c r="U2870" s="24">
        <v>46752</v>
      </c>
      <c r="X2870" s="24">
        <v>45855</v>
      </c>
      <c r="Y2870" s="23">
        <v>1111</v>
      </c>
      <c r="Z2870" s="23">
        <v>11400937</v>
      </c>
      <c r="AA2870" s="23">
        <v>335103</v>
      </c>
      <c r="AB2870" s="24">
        <v>45887</v>
      </c>
    </row>
    <row r="2871" spans="2:28" x14ac:dyDescent="0.2">
      <c r="B2871" s="23" t="s">
        <v>81</v>
      </c>
      <c r="C2871" s="23">
        <v>1100564054</v>
      </c>
      <c r="H2871" s="24">
        <v>47118</v>
      </c>
      <c r="O2871" s="23">
        <v>1921.68</v>
      </c>
      <c r="P2871" s="23" t="s">
        <v>79</v>
      </c>
    </row>
    <row r="2872" spans="2:28" x14ac:dyDescent="0.2">
      <c r="C2872" s="23">
        <v>1100564112</v>
      </c>
      <c r="E2872" s="23">
        <v>30</v>
      </c>
      <c r="F2872" s="23" t="s">
        <v>82</v>
      </c>
      <c r="G2872" s="23" t="s">
        <v>139</v>
      </c>
      <c r="H2872" s="24">
        <v>47118</v>
      </c>
      <c r="I2872" s="24">
        <v>47118</v>
      </c>
      <c r="J2872" s="23" t="s">
        <v>2216</v>
      </c>
      <c r="K2872" s="23" t="s">
        <v>2216</v>
      </c>
      <c r="L2872" s="23">
        <v>1</v>
      </c>
      <c r="M2872" s="23" t="s">
        <v>78</v>
      </c>
      <c r="N2872" s="23" t="s">
        <v>78</v>
      </c>
      <c r="O2872" s="23">
        <v>0.01</v>
      </c>
      <c r="P2872" s="23" t="s">
        <v>79</v>
      </c>
      <c r="Q2872" s="23" t="s">
        <v>83</v>
      </c>
      <c r="R2872" s="23">
        <v>11100008</v>
      </c>
      <c r="S2872" s="24" t="s">
        <v>80</v>
      </c>
      <c r="T2872" s="24">
        <v>45924</v>
      </c>
      <c r="U2872" s="24">
        <v>46752</v>
      </c>
      <c r="X2872" s="24">
        <v>45924</v>
      </c>
      <c r="Y2872" s="23">
        <v>1111</v>
      </c>
      <c r="Z2872" s="23">
        <v>11100172</v>
      </c>
      <c r="AA2872" s="23">
        <v>3755</v>
      </c>
      <c r="AB2872" s="24">
        <v>45924</v>
      </c>
    </row>
    <row r="2873" spans="2:28" x14ac:dyDescent="0.2">
      <c r="B2873" s="23" t="s">
        <v>81</v>
      </c>
      <c r="C2873" s="23">
        <v>1100564112</v>
      </c>
      <c r="H2873" s="24">
        <v>47118</v>
      </c>
      <c r="O2873" s="23">
        <v>0.01</v>
      </c>
      <c r="P2873" s="23" t="s">
        <v>79</v>
      </c>
    </row>
    <row r="2874" spans="2:28" x14ac:dyDescent="0.2">
      <c r="C2874" s="23">
        <v>1100564322</v>
      </c>
      <c r="E2874" s="23">
        <v>10</v>
      </c>
      <c r="F2874" s="23" t="s">
        <v>2021</v>
      </c>
      <c r="G2874" s="23" t="s">
        <v>2022</v>
      </c>
      <c r="H2874" s="24">
        <v>47118</v>
      </c>
      <c r="I2874" s="24">
        <v>47118</v>
      </c>
      <c r="J2874" s="23" t="s">
        <v>1433</v>
      </c>
      <c r="K2874" s="23" t="s">
        <v>1433</v>
      </c>
      <c r="L2874" s="23">
        <v>2</v>
      </c>
      <c r="M2874" s="23" t="s">
        <v>78</v>
      </c>
      <c r="N2874" s="23" t="s">
        <v>78</v>
      </c>
      <c r="O2874" s="23">
        <v>3843.36</v>
      </c>
      <c r="P2874" s="23" t="s">
        <v>79</v>
      </c>
      <c r="Q2874" s="23" t="s">
        <v>83</v>
      </c>
      <c r="R2874" s="23">
        <v>11100008</v>
      </c>
      <c r="S2874" s="24">
        <v>45968</v>
      </c>
      <c r="T2874" s="24">
        <v>45925</v>
      </c>
      <c r="U2874" s="24" t="s">
        <v>80</v>
      </c>
      <c r="X2874" s="24">
        <v>45925</v>
      </c>
      <c r="Y2874" s="23">
        <v>1111</v>
      </c>
      <c r="Z2874" s="23">
        <v>11600003</v>
      </c>
      <c r="AA2874" s="23">
        <v>335103</v>
      </c>
      <c r="AB2874" s="24">
        <v>45925</v>
      </c>
    </row>
    <row r="2875" spans="2:28" x14ac:dyDescent="0.2">
      <c r="C2875" s="23">
        <v>1100564322</v>
      </c>
      <c r="E2875" s="23">
        <v>20</v>
      </c>
      <c r="F2875" s="23" t="s">
        <v>82</v>
      </c>
      <c r="G2875" s="23" t="s">
        <v>139</v>
      </c>
      <c r="H2875" s="24">
        <v>47118</v>
      </c>
      <c r="I2875" s="24">
        <v>47118</v>
      </c>
      <c r="J2875" s="23" t="s">
        <v>1433</v>
      </c>
      <c r="K2875" s="23" t="s">
        <v>1433</v>
      </c>
      <c r="L2875" s="23">
        <v>1</v>
      </c>
      <c r="M2875" s="23" t="s">
        <v>78</v>
      </c>
      <c r="N2875" s="23" t="s">
        <v>78</v>
      </c>
      <c r="O2875" s="23">
        <v>0.01</v>
      </c>
      <c r="P2875" s="23" t="s">
        <v>79</v>
      </c>
      <c r="Q2875" s="23" t="s">
        <v>83</v>
      </c>
      <c r="R2875" s="23">
        <v>11100008</v>
      </c>
      <c r="S2875" s="24">
        <v>45968</v>
      </c>
      <c r="T2875" s="24">
        <v>45925</v>
      </c>
      <c r="U2875" s="24" t="s">
        <v>80</v>
      </c>
      <c r="X2875" s="24">
        <v>45925</v>
      </c>
      <c r="Y2875" s="23">
        <v>1111</v>
      </c>
      <c r="Z2875" s="23">
        <v>11600003</v>
      </c>
      <c r="AA2875" s="23">
        <v>335103</v>
      </c>
      <c r="AB2875" s="24">
        <v>45925</v>
      </c>
    </row>
    <row r="2876" spans="2:28" x14ac:dyDescent="0.2">
      <c r="B2876" s="23" t="s">
        <v>81</v>
      </c>
      <c r="C2876" s="23">
        <v>1100564322</v>
      </c>
      <c r="H2876" s="24">
        <v>47118</v>
      </c>
      <c r="O2876" s="23">
        <v>3843.37</v>
      </c>
      <c r="P2876" s="23" t="s">
        <v>79</v>
      </c>
    </row>
    <row r="2877" spans="2:28" x14ac:dyDescent="0.2">
      <c r="C2877" s="23">
        <v>1100564685</v>
      </c>
      <c r="E2877" s="23">
        <v>30</v>
      </c>
      <c r="F2877" s="23" t="s">
        <v>767</v>
      </c>
      <c r="G2877" s="23" t="s">
        <v>768</v>
      </c>
      <c r="H2877" s="24">
        <v>47118</v>
      </c>
      <c r="I2877" s="24">
        <v>47118</v>
      </c>
      <c r="J2877" s="23" t="s">
        <v>168</v>
      </c>
      <c r="K2877" s="23" t="s">
        <v>168</v>
      </c>
      <c r="L2877" s="23">
        <v>1</v>
      </c>
      <c r="M2877" s="23" t="s">
        <v>78</v>
      </c>
      <c r="N2877" s="23" t="s">
        <v>78</v>
      </c>
      <c r="O2877" s="23">
        <v>103.63</v>
      </c>
      <c r="P2877" s="23" t="s">
        <v>79</v>
      </c>
      <c r="Q2877" s="23" t="s">
        <v>83</v>
      </c>
      <c r="R2877" s="23">
        <v>11100018</v>
      </c>
      <c r="S2877" s="24">
        <v>46041</v>
      </c>
      <c r="T2877" s="24">
        <v>45930</v>
      </c>
      <c r="U2877" s="24">
        <v>47116</v>
      </c>
      <c r="X2877" s="24">
        <v>45930</v>
      </c>
      <c r="Y2877" s="23">
        <v>1111</v>
      </c>
      <c r="Z2877" s="23">
        <v>11400811</v>
      </c>
      <c r="AA2877" s="23">
        <v>515103</v>
      </c>
      <c r="AB2877" s="24">
        <v>45929</v>
      </c>
    </row>
    <row r="2878" spans="2:28" x14ac:dyDescent="0.2">
      <c r="B2878" s="23" t="s">
        <v>81</v>
      </c>
      <c r="C2878" s="23">
        <v>1100564685</v>
      </c>
      <c r="H2878" s="24">
        <v>47118</v>
      </c>
      <c r="O2878" s="23">
        <v>103.63</v>
      </c>
      <c r="P2878" s="23" t="s">
        <v>79</v>
      </c>
    </row>
    <row r="2879" spans="2:28" x14ac:dyDescent="0.2">
      <c r="C2879" s="23">
        <v>1100564931</v>
      </c>
      <c r="E2879" s="23">
        <v>30</v>
      </c>
      <c r="F2879" s="23" t="s">
        <v>82</v>
      </c>
      <c r="G2879" s="23" t="s">
        <v>139</v>
      </c>
      <c r="H2879" s="24">
        <v>47118</v>
      </c>
      <c r="I2879" s="24">
        <v>47118</v>
      </c>
      <c r="J2879" s="23" t="s">
        <v>1427</v>
      </c>
      <c r="K2879" s="23" t="s">
        <v>1427</v>
      </c>
      <c r="L2879" s="23">
        <v>1</v>
      </c>
      <c r="M2879" s="23" t="s">
        <v>78</v>
      </c>
      <c r="N2879" s="23" t="s">
        <v>78</v>
      </c>
      <c r="O2879" s="23">
        <v>0.01</v>
      </c>
      <c r="P2879" s="23" t="s">
        <v>79</v>
      </c>
      <c r="Q2879" s="23" t="s">
        <v>83</v>
      </c>
      <c r="R2879" s="23">
        <v>11100008</v>
      </c>
      <c r="S2879" s="24" t="s">
        <v>80</v>
      </c>
      <c r="T2879" s="24">
        <v>45931</v>
      </c>
      <c r="U2879" s="24">
        <v>46752</v>
      </c>
      <c r="X2879" s="24">
        <v>45931</v>
      </c>
      <c r="Y2879" s="23">
        <v>1111</v>
      </c>
      <c r="Z2879" s="23">
        <v>11100172</v>
      </c>
      <c r="AA2879" s="23">
        <v>5055</v>
      </c>
      <c r="AB2879" s="24">
        <v>45931</v>
      </c>
    </row>
    <row r="2880" spans="2:28" x14ac:dyDescent="0.2">
      <c r="B2880" s="23" t="s">
        <v>81</v>
      </c>
      <c r="C2880" s="23">
        <v>1100564931</v>
      </c>
      <c r="H2880" s="24">
        <v>47118</v>
      </c>
      <c r="O2880" s="23">
        <v>0.01</v>
      </c>
      <c r="P2880" s="23" t="s">
        <v>79</v>
      </c>
    </row>
    <row r="2881" spans="2:28" x14ac:dyDescent="0.2">
      <c r="C2881" s="23">
        <v>1100565027</v>
      </c>
      <c r="E2881" s="23">
        <v>30</v>
      </c>
      <c r="F2881" s="23" t="s">
        <v>82</v>
      </c>
      <c r="G2881" s="23" t="s">
        <v>139</v>
      </c>
      <c r="H2881" s="24">
        <v>47118</v>
      </c>
      <c r="I2881" s="24">
        <v>47118</v>
      </c>
      <c r="J2881" s="23" t="s">
        <v>2217</v>
      </c>
      <c r="K2881" s="23" t="s">
        <v>2217</v>
      </c>
      <c r="L2881" s="23">
        <v>1</v>
      </c>
      <c r="M2881" s="23" t="s">
        <v>78</v>
      </c>
      <c r="N2881" s="23" t="s">
        <v>78</v>
      </c>
      <c r="O2881" s="23">
        <v>0.01</v>
      </c>
      <c r="P2881" s="23" t="s">
        <v>79</v>
      </c>
      <c r="Q2881" s="23" t="s">
        <v>83</v>
      </c>
      <c r="R2881" s="23">
        <v>11100008</v>
      </c>
      <c r="S2881" s="24" t="s">
        <v>80</v>
      </c>
      <c r="T2881" s="24">
        <v>45932</v>
      </c>
      <c r="U2881" s="24">
        <v>46752</v>
      </c>
      <c r="X2881" s="24">
        <v>45932</v>
      </c>
      <c r="Y2881" s="23">
        <v>1111</v>
      </c>
      <c r="Z2881" s="23">
        <v>11100172</v>
      </c>
      <c r="AA2881" s="23">
        <v>3355</v>
      </c>
      <c r="AB2881" s="24">
        <v>45932</v>
      </c>
    </row>
    <row r="2882" spans="2:28" x14ac:dyDescent="0.2">
      <c r="B2882" s="23" t="s">
        <v>81</v>
      </c>
      <c r="C2882" s="23">
        <v>1100565027</v>
      </c>
      <c r="H2882" s="24">
        <v>47118</v>
      </c>
      <c r="O2882" s="23">
        <v>0.01</v>
      </c>
      <c r="P2882" s="23" t="s">
        <v>79</v>
      </c>
    </row>
    <row r="2883" spans="2:28" x14ac:dyDescent="0.2">
      <c r="C2883" s="23">
        <v>1100565567</v>
      </c>
      <c r="E2883" s="23">
        <v>20</v>
      </c>
      <c r="F2883" s="23" t="s">
        <v>82</v>
      </c>
      <c r="G2883" s="23" t="s">
        <v>139</v>
      </c>
      <c r="H2883" s="24">
        <v>47118</v>
      </c>
      <c r="I2883" s="24">
        <v>47118</v>
      </c>
      <c r="J2883" s="23" t="s">
        <v>854</v>
      </c>
      <c r="K2883" s="23" t="s">
        <v>854</v>
      </c>
      <c r="L2883" s="23">
        <v>1</v>
      </c>
      <c r="M2883" s="23" t="s">
        <v>78</v>
      </c>
      <c r="N2883" s="23" t="s">
        <v>78</v>
      </c>
      <c r="O2883" s="23">
        <v>0.01</v>
      </c>
      <c r="P2883" s="23" t="s">
        <v>79</v>
      </c>
      <c r="Q2883" s="23" t="s">
        <v>83</v>
      </c>
      <c r="R2883" s="23">
        <v>11100299</v>
      </c>
      <c r="S2883" s="24" t="s">
        <v>80</v>
      </c>
      <c r="T2883" s="24">
        <v>45938</v>
      </c>
      <c r="U2883" s="24">
        <v>45945</v>
      </c>
      <c r="X2883" s="24">
        <v>45938</v>
      </c>
      <c r="Y2883" s="23">
        <v>1111</v>
      </c>
      <c r="Z2883" s="23">
        <v>11400606</v>
      </c>
      <c r="AA2883" s="23">
        <v>395103</v>
      </c>
      <c r="AB2883" s="24">
        <v>45938</v>
      </c>
    </row>
    <row r="2884" spans="2:28" x14ac:dyDescent="0.2">
      <c r="B2884" s="23" t="s">
        <v>81</v>
      </c>
      <c r="C2884" s="23">
        <v>1100565567</v>
      </c>
      <c r="H2884" s="24">
        <v>47118</v>
      </c>
      <c r="O2884" s="23">
        <v>0.01</v>
      </c>
      <c r="P2884" s="23" t="s">
        <v>79</v>
      </c>
    </row>
    <row r="2885" spans="2:28" x14ac:dyDescent="0.2">
      <c r="C2885" s="23">
        <v>1100565698</v>
      </c>
      <c r="E2885" s="23">
        <v>50</v>
      </c>
      <c r="F2885" s="23" t="s">
        <v>82</v>
      </c>
      <c r="G2885" s="23" t="s">
        <v>139</v>
      </c>
      <c r="H2885" s="24">
        <v>47118</v>
      </c>
      <c r="I2885" s="24">
        <v>47118</v>
      </c>
      <c r="J2885" s="23" t="s">
        <v>2218</v>
      </c>
      <c r="K2885" s="23" t="s">
        <v>2218</v>
      </c>
      <c r="L2885" s="23">
        <v>1</v>
      </c>
      <c r="M2885" s="23" t="s">
        <v>78</v>
      </c>
      <c r="N2885" s="23" t="s">
        <v>78</v>
      </c>
      <c r="O2885" s="23">
        <v>0.01</v>
      </c>
      <c r="P2885" s="23" t="s">
        <v>79</v>
      </c>
      <c r="Q2885" s="23" t="s">
        <v>83</v>
      </c>
      <c r="R2885" s="23">
        <v>11100008</v>
      </c>
      <c r="S2885" s="24" t="s">
        <v>80</v>
      </c>
      <c r="T2885" s="24">
        <v>45940</v>
      </c>
      <c r="U2885" s="24">
        <v>46752</v>
      </c>
      <c r="X2885" s="24">
        <v>45940</v>
      </c>
      <c r="Y2885" s="23">
        <v>1111</v>
      </c>
      <c r="Z2885" s="23">
        <v>11100172</v>
      </c>
      <c r="AA2885" s="23">
        <v>3355</v>
      </c>
      <c r="AB2885" s="24">
        <v>45940</v>
      </c>
    </row>
    <row r="2886" spans="2:28" x14ac:dyDescent="0.2">
      <c r="B2886" s="23" t="s">
        <v>81</v>
      </c>
      <c r="C2886" s="23">
        <v>1100565698</v>
      </c>
      <c r="H2886" s="24">
        <v>47118</v>
      </c>
      <c r="O2886" s="23">
        <v>0.01</v>
      </c>
      <c r="P2886" s="23" t="s">
        <v>79</v>
      </c>
    </row>
    <row r="2887" spans="2:28" x14ac:dyDescent="0.2">
      <c r="C2887" s="23">
        <v>1100565881</v>
      </c>
      <c r="E2887" s="23">
        <v>20</v>
      </c>
      <c r="F2887" s="23" t="s">
        <v>82</v>
      </c>
      <c r="G2887" s="23" t="s">
        <v>139</v>
      </c>
      <c r="H2887" s="24">
        <v>47118</v>
      </c>
      <c r="I2887" s="24">
        <v>47118</v>
      </c>
      <c r="J2887" s="23" t="s">
        <v>2219</v>
      </c>
      <c r="K2887" s="23" t="s">
        <v>2219</v>
      </c>
      <c r="L2887" s="23">
        <v>1</v>
      </c>
      <c r="M2887" s="23" t="s">
        <v>78</v>
      </c>
      <c r="N2887" s="23" t="s">
        <v>78</v>
      </c>
      <c r="O2887" s="23">
        <v>0.01</v>
      </c>
      <c r="P2887" s="23" t="s">
        <v>79</v>
      </c>
      <c r="Q2887" s="23" t="s">
        <v>83</v>
      </c>
      <c r="R2887" s="23">
        <v>11100008</v>
      </c>
      <c r="S2887" s="24" t="s">
        <v>80</v>
      </c>
      <c r="T2887" s="24">
        <v>45943</v>
      </c>
      <c r="U2887" s="24" t="s">
        <v>80</v>
      </c>
      <c r="X2887" s="24">
        <v>45939</v>
      </c>
      <c r="Y2887" s="23">
        <v>1111</v>
      </c>
      <c r="Z2887" s="23">
        <v>11400895</v>
      </c>
      <c r="AA2887" s="23">
        <v>335103</v>
      </c>
      <c r="AB2887" s="24">
        <v>45940</v>
      </c>
    </row>
    <row r="2888" spans="2:28" x14ac:dyDescent="0.2">
      <c r="B2888" s="23" t="s">
        <v>81</v>
      </c>
      <c r="C2888" s="23">
        <v>1100565881</v>
      </c>
      <c r="H2888" s="24">
        <v>47118</v>
      </c>
      <c r="O2888" s="23">
        <v>0.01</v>
      </c>
      <c r="P2888" s="23" t="s">
        <v>79</v>
      </c>
    </row>
    <row r="2889" spans="2:28" x14ac:dyDescent="0.2">
      <c r="C2889" s="23">
        <v>1100566118</v>
      </c>
      <c r="E2889" s="23">
        <v>10</v>
      </c>
      <c r="F2889" s="23" t="s">
        <v>638</v>
      </c>
      <c r="G2889" s="23" t="s">
        <v>639</v>
      </c>
      <c r="H2889" s="24">
        <v>47118</v>
      </c>
      <c r="I2889" s="24">
        <v>47118</v>
      </c>
      <c r="J2889" s="23" t="s">
        <v>685</v>
      </c>
      <c r="K2889" s="23" t="s">
        <v>685</v>
      </c>
      <c r="L2889" s="23">
        <v>2</v>
      </c>
      <c r="M2889" s="23" t="s">
        <v>78</v>
      </c>
      <c r="N2889" s="23" t="s">
        <v>78</v>
      </c>
      <c r="O2889" s="23">
        <v>830.28</v>
      </c>
      <c r="P2889" s="23" t="s">
        <v>79</v>
      </c>
      <c r="Q2889" s="23" t="s">
        <v>83</v>
      </c>
      <c r="R2889" s="23">
        <v>11100008</v>
      </c>
      <c r="S2889" s="24" t="s">
        <v>80</v>
      </c>
      <c r="T2889" s="24">
        <v>45945</v>
      </c>
      <c r="U2889" s="24">
        <v>46752</v>
      </c>
      <c r="X2889" s="24">
        <v>45944</v>
      </c>
      <c r="Y2889" s="23">
        <v>1111</v>
      </c>
      <c r="Z2889" s="23">
        <v>11600007</v>
      </c>
      <c r="AA2889" s="23">
        <v>505103</v>
      </c>
      <c r="AB2889" s="24">
        <v>45944</v>
      </c>
    </row>
    <row r="2890" spans="2:28" x14ac:dyDescent="0.2">
      <c r="B2890" s="23" t="s">
        <v>81</v>
      </c>
      <c r="C2890" s="23">
        <v>1100566118</v>
      </c>
      <c r="H2890" s="24">
        <v>47118</v>
      </c>
      <c r="O2890" s="23">
        <v>830.28</v>
      </c>
      <c r="P2890" s="23" t="s">
        <v>79</v>
      </c>
    </row>
    <row r="2891" spans="2:28" x14ac:dyDescent="0.2">
      <c r="C2891" s="23">
        <v>1100566332</v>
      </c>
      <c r="E2891" s="23">
        <v>30</v>
      </c>
      <c r="F2891" s="23" t="s">
        <v>82</v>
      </c>
      <c r="G2891" s="23" t="s">
        <v>139</v>
      </c>
      <c r="H2891" s="24">
        <v>47118</v>
      </c>
      <c r="I2891" s="24">
        <v>47118</v>
      </c>
      <c r="J2891" s="23" t="s">
        <v>1078</v>
      </c>
      <c r="K2891" s="23" t="s">
        <v>1078</v>
      </c>
      <c r="L2891" s="23">
        <v>1</v>
      </c>
      <c r="M2891" s="23" t="s">
        <v>78</v>
      </c>
      <c r="N2891" s="23" t="s">
        <v>78</v>
      </c>
      <c r="O2891" s="23">
        <v>0.01</v>
      </c>
      <c r="P2891" s="23" t="s">
        <v>79</v>
      </c>
      <c r="Q2891" s="23" t="s">
        <v>83</v>
      </c>
      <c r="R2891" s="23">
        <v>11100299</v>
      </c>
      <c r="S2891" s="24" t="s">
        <v>80</v>
      </c>
      <c r="T2891" s="24">
        <v>45947</v>
      </c>
      <c r="U2891" s="24">
        <v>46752</v>
      </c>
      <c r="X2891" s="24">
        <v>45947</v>
      </c>
      <c r="Y2891" s="23">
        <v>1111</v>
      </c>
      <c r="Z2891" s="23">
        <v>11100137</v>
      </c>
      <c r="AA2891" s="23">
        <v>5051</v>
      </c>
      <c r="AB2891" s="24">
        <v>45946</v>
      </c>
    </row>
    <row r="2892" spans="2:28" x14ac:dyDescent="0.2">
      <c r="B2892" s="23" t="s">
        <v>81</v>
      </c>
      <c r="C2892" s="23">
        <v>1100566332</v>
      </c>
      <c r="H2892" s="24">
        <v>47118</v>
      </c>
      <c r="O2892" s="23">
        <v>0.01</v>
      </c>
      <c r="P2892" s="23" t="s">
        <v>79</v>
      </c>
    </row>
    <row r="2893" spans="2:28" x14ac:dyDescent="0.2">
      <c r="C2893" s="23">
        <v>1100566847</v>
      </c>
      <c r="E2893" s="23">
        <v>30</v>
      </c>
      <c r="F2893" s="23" t="s">
        <v>82</v>
      </c>
      <c r="G2893" s="23" t="s">
        <v>139</v>
      </c>
      <c r="H2893" s="24">
        <v>47118</v>
      </c>
      <c r="I2893" s="24">
        <v>47118</v>
      </c>
      <c r="J2893" s="23" t="s">
        <v>2220</v>
      </c>
      <c r="K2893" s="23" t="s">
        <v>2220</v>
      </c>
      <c r="L2893" s="23">
        <v>1</v>
      </c>
      <c r="M2893" s="23" t="s">
        <v>78</v>
      </c>
      <c r="N2893" s="23" t="s">
        <v>78</v>
      </c>
      <c r="O2893" s="23">
        <v>0.01</v>
      </c>
      <c r="P2893" s="23" t="s">
        <v>79</v>
      </c>
      <c r="Q2893" s="23" t="s">
        <v>83</v>
      </c>
      <c r="R2893" s="23">
        <v>11100008</v>
      </c>
      <c r="S2893" s="24" t="s">
        <v>80</v>
      </c>
      <c r="T2893" s="24">
        <v>45953</v>
      </c>
      <c r="U2893" s="24">
        <v>46752</v>
      </c>
      <c r="X2893" s="24">
        <v>45953</v>
      </c>
      <c r="Y2893" s="23">
        <v>1111</v>
      </c>
      <c r="Z2893" s="23">
        <v>11100172</v>
      </c>
      <c r="AA2893" s="23">
        <v>5055</v>
      </c>
      <c r="AB2893" s="24">
        <v>45953</v>
      </c>
    </row>
    <row r="2894" spans="2:28" x14ac:dyDescent="0.2">
      <c r="B2894" s="23" t="s">
        <v>81</v>
      </c>
      <c r="C2894" s="23">
        <v>1100566847</v>
      </c>
      <c r="H2894" s="24">
        <v>47118</v>
      </c>
      <c r="O2894" s="23">
        <v>0.01</v>
      </c>
      <c r="P2894" s="23" t="s">
        <v>79</v>
      </c>
    </row>
    <row r="2895" spans="2:28" x14ac:dyDescent="0.2">
      <c r="C2895" s="23">
        <v>1100566989</v>
      </c>
      <c r="E2895" s="23">
        <v>30</v>
      </c>
      <c r="F2895" s="23" t="s">
        <v>82</v>
      </c>
      <c r="G2895" s="23" t="s">
        <v>139</v>
      </c>
      <c r="H2895" s="24">
        <v>47118</v>
      </c>
      <c r="I2895" s="24">
        <v>47118</v>
      </c>
      <c r="J2895" s="23" t="s">
        <v>682</v>
      </c>
      <c r="K2895" s="23" t="s">
        <v>682</v>
      </c>
      <c r="L2895" s="23">
        <v>1</v>
      </c>
      <c r="M2895" s="23" t="s">
        <v>78</v>
      </c>
      <c r="N2895" s="23" t="s">
        <v>78</v>
      </c>
      <c r="O2895" s="23">
        <v>0.01</v>
      </c>
      <c r="P2895" s="23" t="s">
        <v>79</v>
      </c>
      <c r="Q2895" s="23" t="s">
        <v>83</v>
      </c>
      <c r="R2895" s="23">
        <v>11100008</v>
      </c>
      <c r="S2895" s="24" t="s">
        <v>80</v>
      </c>
      <c r="T2895" s="24">
        <v>45954</v>
      </c>
      <c r="U2895" s="24">
        <v>46752</v>
      </c>
      <c r="X2895" s="24">
        <v>45954</v>
      </c>
      <c r="Y2895" s="23">
        <v>1111</v>
      </c>
      <c r="Z2895" s="23">
        <v>11100172</v>
      </c>
      <c r="AA2895" s="23">
        <v>3355</v>
      </c>
      <c r="AB2895" s="24">
        <v>45954</v>
      </c>
    </row>
    <row r="2896" spans="2:28" x14ac:dyDescent="0.2">
      <c r="B2896" s="23" t="s">
        <v>81</v>
      </c>
      <c r="C2896" s="23">
        <v>1100566989</v>
      </c>
      <c r="H2896" s="24">
        <v>47118</v>
      </c>
      <c r="O2896" s="23">
        <v>0.01</v>
      </c>
      <c r="P2896" s="23" t="s">
        <v>79</v>
      </c>
    </row>
    <row r="2897" spans="2:28" x14ac:dyDescent="0.2">
      <c r="C2897" s="23">
        <v>1100567322</v>
      </c>
      <c r="E2897" s="23">
        <v>110</v>
      </c>
      <c r="F2897" s="23" t="s">
        <v>82</v>
      </c>
      <c r="G2897" s="23" t="s">
        <v>139</v>
      </c>
      <c r="H2897" s="24">
        <v>47118</v>
      </c>
      <c r="I2897" s="24">
        <v>47118</v>
      </c>
      <c r="J2897" s="23" t="s">
        <v>1174</v>
      </c>
      <c r="K2897" s="23" t="s">
        <v>1174</v>
      </c>
      <c r="L2897" s="23">
        <v>1</v>
      </c>
      <c r="M2897" s="23" t="s">
        <v>78</v>
      </c>
      <c r="N2897" s="23" t="s">
        <v>78</v>
      </c>
      <c r="O2897" s="23">
        <v>0.01</v>
      </c>
      <c r="P2897" s="23" t="s">
        <v>79</v>
      </c>
      <c r="Q2897" s="23" t="s">
        <v>83</v>
      </c>
      <c r="R2897" s="23">
        <v>11100008</v>
      </c>
      <c r="S2897" s="24" t="s">
        <v>80</v>
      </c>
      <c r="T2897" s="24">
        <v>45958</v>
      </c>
      <c r="U2897" s="24">
        <v>46752</v>
      </c>
      <c r="X2897" s="24">
        <v>45958</v>
      </c>
      <c r="Y2897" s="23">
        <v>1111</v>
      </c>
      <c r="Z2897" s="23">
        <v>11100172</v>
      </c>
      <c r="AA2897" s="23">
        <v>3355</v>
      </c>
      <c r="AB2897" s="24">
        <v>45958</v>
      </c>
    </row>
    <row r="2898" spans="2:28" x14ac:dyDescent="0.2">
      <c r="B2898" s="23" t="s">
        <v>81</v>
      </c>
      <c r="C2898" s="23">
        <v>1100567322</v>
      </c>
      <c r="H2898" s="24">
        <v>47118</v>
      </c>
      <c r="O2898" s="23">
        <v>0.01</v>
      </c>
      <c r="P2898" s="23" t="s">
        <v>79</v>
      </c>
    </row>
    <row r="2899" spans="2:28" x14ac:dyDescent="0.2">
      <c r="C2899" s="23">
        <v>1100567417</v>
      </c>
      <c r="E2899" s="23">
        <v>20</v>
      </c>
      <c r="F2899" s="23" t="s">
        <v>82</v>
      </c>
      <c r="G2899" s="23" t="s">
        <v>139</v>
      </c>
      <c r="H2899" s="24">
        <v>47118</v>
      </c>
      <c r="I2899" s="24">
        <v>47118</v>
      </c>
      <c r="J2899" s="23" t="s">
        <v>1894</v>
      </c>
      <c r="K2899" s="23" t="s">
        <v>1894</v>
      </c>
      <c r="L2899" s="23">
        <v>1</v>
      </c>
      <c r="M2899" s="23" t="s">
        <v>78</v>
      </c>
      <c r="N2899" s="23" t="s">
        <v>78</v>
      </c>
      <c r="O2899" s="23">
        <v>0</v>
      </c>
      <c r="P2899" s="23" t="s">
        <v>79</v>
      </c>
      <c r="Q2899" s="23" t="s">
        <v>83</v>
      </c>
      <c r="R2899" s="23">
        <v>11100008</v>
      </c>
      <c r="S2899" s="24" t="s">
        <v>80</v>
      </c>
      <c r="T2899" s="24">
        <v>45959</v>
      </c>
      <c r="U2899" s="24" t="s">
        <v>80</v>
      </c>
      <c r="X2899" s="24">
        <v>45957</v>
      </c>
      <c r="Y2899" s="23">
        <v>1111</v>
      </c>
      <c r="Z2899" s="23">
        <v>11400895</v>
      </c>
      <c r="AA2899" s="23">
        <v>335103</v>
      </c>
      <c r="AB2899" s="24">
        <v>45957</v>
      </c>
    </row>
    <row r="2900" spans="2:28" x14ac:dyDescent="0.2">
      <c r="B2900" s="23" t="s">
        <v>81</v>
      </c>
      <c r="C2900" s="23">
        <v>1100567417</v>
      </c>
      <c r="H2900" s="24">
        <v>47118</v>
      </c>
      <c r="O2900" s="23">
        <v>0</v>
      </c>
      <c r="P2900" s="23" t="s">
        <v>79</v>
      </c>
    </row>
    <row r="2901" spans="2:28" x14ac:dyDescent="0.2">
      <c r="C2901" s="23">
        <v>1100568130</v>
      </c>
      <c r="E2901" s="23">
        <v>30</v>
      </c>
      <c r="F2901" s="23" t="s">
        <v>82</v>
      </c>
      <c r="G2901" s="23" t="s">
        <v>139</v>
      </c>
      <c r="H2901" s="24">
        <v>47118</v>
      </c>
      <c r="I2901" s="24">
        <v>47118</v>
      </c>
      <c r="J2901" s="23" t="s">
        <v>1160</v>
      </c>
      <c r="K2901" s="23" t="s">
        <v>1160</v>
      </c>
      <c r="L2901" s="23">
        <v>1</v>
      </c>
      <c r="M2901" s="23" t="s">
        <v>78</v>
      </c>
      <c r="N2901" s="23" t="s">
        <v>78</v>
      </c>
      <c r="O2901" s="23">
        <v>0.01</v>
      </c>
      <c r="P2901" s="23" t="s">
        <v>79</v>
      </c>
      <c r="Q2901" s="23" t="s">
        <v>83</v>
      </c>
      <c r="R2901" s="23">
        <v>11100008</v>
      </c>
      <c r="S2901" s="24" t="s">
        <v>80</v>
      </c>
      <c r="T2901" s="24">
        <v>45966</v>
      </c>
      <c r="U2901" s="24">
        <v>46752</v>
      </c>
      <c r="X2901" s="24">
        <v>45966</v>
      </c>
      <c r="Y2901" s="23">
        <v>1111</v>
      </c>
      <c r="Z2901" s="23">
        <v>11100172</v>
      </c>
      <c r="AA2901" s="23">
        <v>3555</v>
      </c>
      <c r="AB2901" s="24">
        <v>45966</v>
      </c>
    </row>
    <row r="2902" spans="2:28" x14ac:dyDescent="0.2">
      <c r="B2902" s="23" t="s">
        <v>81</v>
      </c>
      <c r="C2902" s="23">
        <v>1100568130</v>
      </c>
      <c r="H2902" s="24">
        <v>47118</v>
      </c>
      <c r="O2902" s="23">
        <v>0.01</v>
      </c>
      <c r="P2902" s="23" t="s">
        <v>79</v>
      </c>
    </row>
    <row r="2903" spans="2:28" x14ac:dyDescent="0.2">
      <c r="C2903" s="23">
        <v>1100568503</v>
      </c>
      <c r="E2903" s="23">
        <v>20</v>
      </c>
      <c r="F2903" s="23" t="s">
        <v>192</v>
      </c>
      <c r="G2903" s="23" t="s">
        <v>2221</v>
      </c>
      <c r="H2903" s="24">
        <v>47118</v>
      </c>
      <c r="I2903" s="24">
        <v>47118</v>
      </c>
      <c r="J2903" s="23" t="s">
        <v>2222</v>
      </c>
      <c r="K2903" s="23" t="s">
        <v>2222</v>
      </c>
      <c r="L2903" s="23">
        <v>1</v>
      </c>
      <c r="M2903" s="23" t="s">
        <v>78</v>
      </c>
      <c r="N2903" s="23" t="s">
        <v>78</v>
      </c>
      <c r="O2903" s="23">
        <v>5810</v>
      </c>
      <c r="P2903" s="23" t="s">
        <v>79</v>
      </c>
      <c r="Q2903" s="23" t="s">
        <v>83</v>
      </c>
      <c r="R2903" s="23">
        <v>11100008</v>
      </c>
      <c r="S2903" s="24" t="s">
        <v>80</v>
      </c>
      <c r="T2903" s="24">
        <v>45971</v>
      </c>
      <c r="U2903" s="24">
        <v>46752</v>
      </c>
      <c r="X2903" s="24">
        <v>45971</v>
      </c>
      <c r="Y2903" s="23">
        <v>1111</v>
      </c>
      <c r="Z2903" s="23">
        <v>11100172</v>
      </c>
      <c r="AA2903" s="23">
        <v>3955</v>
      </c>
      <c r="AB2903" s="24">
        <v>45971</v>
      </c>
    </row>
    <row r="2904" spans="2:28" x14ac:dyDescent="0.2">
      <c r="C2904" s="23">
        <v>1100568503</v>
      </c>
      <c r="E2904" s="23">
        <v>40</v>
      </c>
      <c r="F2904" s="23" t="s">
        <v>192</v>
      </c>
      <c r="G2904" s="23" t="s">
        <v>2223</v>
      </c>
      <c r="H2904" s="24">
        <v>47118</v>
      </c>
      <c r="I2904" s="24">
        <v>47118</v>
      </c>
      <c r="J2904" s="23" t="s">
        <v>2222</v>
      </c>
      <c r="K2904" s="23" t="s">
        <v>2222</v>
      </c>
      <c r="L2904" s="23">
        <v>1</v>
      </c>
      <c r="M2904" s="23" t="s">
        <v>78</v>
      </c>
      <c r="N2904" s="23" t="s">
        <v>78</v>
      </c>
      <c r="O2904" s="23">
        <v>4270</v>
      </c>
      <c r="P2904" s="23" t="s">
        <v>79</v>
      </c>
      <c r="Q2904" s="23" t="s">
        <v>83</v>
      </c>
      <c r="R2904" s="23">
        <v>11100008</v>
      </c>
      <c r="S2904" s="24" t="s">
        <v>80</v>
      </c>
      <c r="T2904" s="24">
        <v>45971</v>
      </c>
      <c r="U2904" s="24">
        <v>46752</v>
      </c>
      <c r="X2904" s="24">
        <v>45971</v>
      </c>
      <c r="Y2904" s="23">
        <v>1111</v>
      </c>
      <c r="Z2904" s="23">
        <v>11100172</v>
      </c>
      <c r="AA2904" s="23">
        <v>3955</v>
      </c>
      <c r="AB2904" s="24">
        <v>45971</v>
      </c>
    </row>
    <row r="2905" spans="2:28" x14ac:dyDescent="0.2">
      <c r="C2905" s="23">
        <v>1100568503</v>
      </c>
      <c r="E2905" s="23">
        <v>50</v>
      </c>
      <c r="F2905" s="23" t="s">
        <v>82</v>
      </c>
      <c r="G2905" s="23" t="s">
        <v>139</v>
      </c>
      <c r="H2905" s="24">
        <v>47118</v>
      </c>
      <c r="I2905" s="24">
        <v>47118</v>
      </c>
      <c r="J2905" s="23" t="s">
        <v>2222</v>
      </c>
      <c r="K2905" s="23" t="s">
        <v>2222</v>
      </c>
      <c r="L2905" s="23">
        <v>1</v>
      </c>
      <c r="M2905" s="23" t="s">
        <v>78</v>
      </c>
      <c r="N2905" s="23" t="s">
        <v>78</v>
      </c>
      <c r="O2905" s="23">
        <v>0.01</v>
      </c>
      <c r="P2905" s="23" t="s">
        <v>79</v>
      </c>
      <c r="Q2905" s="23" t="s">
        <v>83</v>
      </c>
      <c r="R2905" s="23">
        <v>11100008</v>
      </c>
      <c r="S2905" s="24" t="s">
        <v>80</v>
      </c>
      <c r="T2905" s="24">
        <v>45971</v>
      </c>
      <c r="U2905" s="24">
        <v>46752</v>
      </c>
      <c r="X2905" s="24">
        <v>45971</v>
      </c>
      <c r="Y2905" s="23">
        <v>1111</v>
      </c>
      <c r="Z2905" s="23">
        <v>11100172</v>
      </c>
      <c r="AA2905" s="23">
        <v>3955</v>
      </c>
      <c r="AB2905" s="24">
        <v>45971</v>
      </c>
    </row>
    <row r="2906" spans="2:28" x14ac:dyDescent="0.2">
      <c r="B2906" s="23" t="s">
        <v>81</v>
      </c>
      <c r="C2906" s="23">
        <v>1100568503</v>
      </c>
      <c r="H2906" s="24">
        <v>47118</v>
      </c>
      <c r="O2906" s="23">
        <v>10080.01</v>
      </c>
      <c r="P2906" s="23" t="s">
        <v>79</v>
      </c>
    </row>
    <row r="2907" spans="2:28" x14ac:dyDescent="0.2">
      <c r="C2907" s="23">
        <v>1100568649</v>
      </c>
      <c r="E2907" s="23">
        <v>10</v>
      </c>
      <c r="F2907" s="23" t="s">
        <v>2224</v>
      </c>
      <c r="G2907" s="23" t="s">
        <v>2225</v>
      </c>
      <c r="H2907" s="24">
        <v>47118</v>
      </c>
      <c r="I2907" s="24">
        <v>45980</v>
      </c>
      <c r="J2907" s="23" t="s">
        <v>682</v>
      </c>
      <c r="K2907" s="23" t="s">
        <v>682</v>
      </c>
      <c r="L2907" s="23">
        <v>1</v>
      </c>
      <c r="M2907" s="23" t="s">
        <v>78</v>
      </c>
      <c r="N2907" s="23" t="s">
        <v>78</v>
      </c>
      <c r="O2907" s="23">
        <v>0.01</v>
      </c>
      <c r="P2907" s="23" t="s">
        <v>79</v>
      </c>
      <c r="Q2907" s="23" t="s">
        <v>83</v>
      </c>
      <c r="R2907" s="23">
        <v>11100008</v>
      </c>
      <c r="S2907" s="24" t="s">
        <v>80</v>
      </c>
      <c r="T2907" s="24">
        <v>45973</v>
      </c>
      <c r="U2907" s="24">
        <v>45980</v>
      </c>
      <c r="X2907" s="24">
        <v>45973</v>
      </c>
      <c r="Y2907" s="23">
        <v>1111</v>
      </c>
      <c r="Z2907" s="23">
        <v>11100042</v>
      </c>
      <c r="AA2907" s="23">
        <v>3355</v>
      </c>
      <c r="AB2907" s="24">
        <v>45973</v>
      </c>
    </row>
    <row r="2908" spans="2:28" x14ac:dyDescent="0.2">
      <c r="C2908" s="23">
        <v>1100568649</v>
      </c>
      <c r="E2908" s="23">
        <v>30</v>
      </c>
      <c r="F2908" s="23" t="s">
        <v>2226</v>
      </c>
      <c r="G2908" s="23" t="s">
        <v>2227</v>
      </c>
      <c r="H2908" s="24">
        <v>47118</v>
      </c>
      <c r="I2908" s="24">
        <v>45980</v>
      </c>
      <c r="J2908" s="23" t="s">
        <v>682</v>
      </c>
      <c r="K2908" s="23" t="s">
        <v>682</v>
      </c>
      <c r="L2908" s="23">
        <v>1</v>
      </c>
      <c r="M2908" s="23" t="s">
        <v>78</v>
      </c>
      <c r="N2908" s="23" t="s">
        <v>78</v>
      </c>
      <c r="O2908" s="23">
        <v>0.01</v>
      </c>
      <c r="P2908" s="23" t="s">
        <v>79</v>
      </c>
      <c r="Q2908" s="23" t="s">
        <v>83</v>
      </c>
      <c r="R2908" s="23">
        <v>11100008</v>
      </c>
      <c r="S2908" s="24" t="s">
        <v>80</v>
      </c>
      <c r="T2908" s="24">
        <v>45973</v>
      </c>
      <c r="U2908" s="24">
        <v>46752</v>
      </c>
      <c r="X2908" s="24">
        <v>45973</v>
      </c>
      <c r="Y2908" s="23">
        <v>1111</v>
      </c>
      <c r="Z2908" s="23">
        <v>11100042</v>
      </c>
      <c r="AA2908" s="23">
        <v>3355</v>
      </c>
      <c r="AB2908" s="24">
        <v>45973</v>
      </c>
    </row>
    <row r="2909" spans="2:28" x14ac:dyDescent="0.2">
      <c r="B2909" s="23" t="s">
        <v>81</v>
      </c>
      <c r="C2909" s="23">
        <v>1100568649</v>
      </c>
      <c r="H2909" s="24">
        <v>47118</v>
      </c>
      <c r="O2909" s="23">
        <v>0.02</v>
      </c>
      <c r="P2909" s="23" t="s">
        <v>79</v>
      </c>
    </row>
    <row r="2910" spans="2:28" x14ac:dyDescent="0.2">
      <c r="C2910" s="23">
        <v>1100568891</v>
      </c>
      <c r="E2910" s="23">
        <v>10</v>
      </c>
      <c r="F2910" s="23" t="s">
        <v>96</v>
      </c>
      <c r="G2910" s="23" t="s">
        <v>2228</v>
      </c>
      <c r="H2910" s="24">
        <v>47118</v>
      </c>
      <c r="I2910" s="24">
        <v>47118</v>
      </c>
      <c r="J2910" s="23" t="s">
        <v>253</v>
      </c>
      <c r="K2910" s="23" t="s">
        <v>253</v>
      </c>
      <c r="L2910" s="23">
        <v>1</v>
      </c>
      <c r="M2910" s="23" t="s">
        <v>78</v>
      </c>
      <c r="N2910" s="23" t="s">
        <v>78</v>
      </c>
      <c r="O2910" s="23">
        <v>0</v>
      </c>
      <c r="P2910" s="23" t="s">
        <v>79</v>
      </c>
      <c r="Q2910" s="23" t="s">
        <v>83</v>
      </c>
      <c r="R2910" s="23">
        <v>11100008</v>
      </c>
      <c r="S2910" s="24" t="s">
        <v>80</v>
      </c>
      <c r="T2910" s="24">
        <v>45975</v>
      </c>
      <c r="U2910" s="24" t="s">
        <v>80</v>
      </c>
      <c r="X2910" s="24">
        <v>45975</v>
      </c>
      <c r="Y2910" s="23">
        <v>1111</v>
      </c>
      <c r="Z2910" s="23">
        <v>11400797</v>
      </c>
      <c r="AA2910" s="23">
        <v>3901</v>
      </c>
      <c r="AB2910" s="24">
        <v>45975</v>
      </c>
    </row>
    <row r="2911" spans="2:28" x14ac:dyDescent="0.2">
      <c r="C2911" s="23">
        <v>1100568891</v>
      </c>
      <c r="E2911" s="23">
        <v>20</v>
      </c>
      <c r="F2911" s="23" t="s">
        <v>84</v>
      </c>
      <c r="G2911" s="23" t="s">
        <v>123</v>
      </c>
      <c r="H2911" s="24">
        <v>47118</v>
      </c>
      <c r="I2911" s="24">
        <v>47118</v>
      </c>
      <c r="J2911" s="23" t="s">
        <v>253</v>
      </c>
      <c r="K2911" s="23" t="s">
        <v>253</v>
      </c>
      <c r="L2911" s="23">
        <v>1</v>
      </c>
      <c r="M2911" s="23" t="s">
        <v>78</v>
      </c>
      <c r="N2911" s="23" t="s">
        <v>78</v>
      </c>
      <c r="O2911" s="23">
        <v>0</v>
      </c>
      <c r="P2911" s="23" t="s">
        <v>79</v>
      </c>
      <c r="Q2911" s="23" t="s">
        <v>83</v>
      </c>
      <c r="R2911" s="23">
        <v>11100008</v>
      </c>
      <c r="S2911" s="24" t="s">
        <v>80</v>
      </c>
      <c r="T2911" s="24">
        <v>45975</v>
      </c>
      <c r="U2911" s="24" t="s">
        <v>80</v>
      </c>
      <c r="X2911" s="24">
        <v>45975</v>
      </c>
      <c r="Y2911" s="23">
        <v>1111</v>
      </c>
      <c r="Z2911" s="23">
        <v>11400797</v>
      </c>
      <c r="AA2911" s="23">
        <v>3901</v>
      </c>
      <c r="AB2911" s="24">
        <v>45975</v>
      </c>
    </row>
    <row r="2912" spans="2:28" x14ac:dyDescent="0.2">
      <c r="B2912" s="23" t="s">
        <v>81</v>
      </c>
      <c r="C2912" s="23">
        <v>1100568891</v>
      </c>
      <c r="H2912" s="24">
        <v>47118</v>
      </c>
      <c r="O2912" s="23">
        <v>0</v>
      </c>
      <c r="P2912" s="23" t="s">
        <v>79</v>
      </c>
    </row>
    <row r="2913" spans="2:28" x14ac:dyDescent="0.2">
      <c r="C2913" s="23">
        <v>1100569187</v>
      </c>
      <c r="E2913" s="23">
        <v>10</v>
      </c>
      <c r="F2913" s="23" t="s">
        <v>2229</v>
      </c>
      <c r="G2913" s="23" t="s">
        <v>2230</v>
      </c>
      <c r="H2913" s="24">
        <v>47118</v>
      </c>
      <c r="I2913" s="24">
        <v>47118</v>
      </c>
      <c r="J2913" s="23" t="s">
        <v>937</v>
      </c>
      <c r="K2913" s="23" t="s">
        <v>937</v>
      </c>
      <c r="L2913" s="23">
        <v>3</v>
      </c>
      <c r="M2913" s="23" t="s">
        <v>78</v>
      </c>
      <c r="N2913" s="23" t="s">
        <v>78</v>
      </c>
      <c r="O2913" s="23">
        <v>1082.25</v>
      </c>
      <c r="P2913" s="23" t="s">
        <v>79</v>
      </c>
      <c r="Q2913" s="23" t="s">
        <v>83</v>
      </c>
      <c r="R2913" s="23">
        <v>11100018</v>
      </c>
      <c r="S2913" s="24">
        <v>46022</v>
      </c>
      <c r="T2913" s="24">
        <v>45979</v>
      </c>
      <c r="U2913" s="24">
        <v>46752</v>
      </c>
      <c r="X2913" s="24">
        <v>45960</v>
      </c>
      <c r="Y2913" s="23">
        <v>1111</v>
      </c>
      <c r="Z2913" s="23">
        <v>11400704</v>
      </c>
      <c r="AA2913" s="23">
        <v>335103</v>
      </c>
      <c r="AB2913" s="24">
        <v>45975</v>
      </c>
    </row>
    <row r="2914" spans="2:28" x14ac:dyDescent="0.2">
      <c r="B2914" s="23" t="s">
        <v>81</v>
      </c>
      <c r="C2914" s="23">
        <v>1100569187</v>
      </c>
      <c r="H2914" s="24">
        <v>47118</v>
      </c>
      <c r="O2914" s="23">
        <v>1082.25</v>
      </c>
      <c r="P2914" s="23" t="s">
        <v>79</v>
      </c>
    </row>
    <row r="2915" spans="2:28" x14ac:dyDescent="0.2">
      <c r="C2915" s="23">
        <v>1100569589</v>
      </c>
      <c r="E2915" s="23">
        <v>20</v>
      </c>
      <c r="F2915" s="23" t="s">
        <v>192</v>
      </c>
      <c r="G2915" s="23" t="s">
        <v>2231</v>
      </c>
      <c r="H2915" s="24">
        <v>47118</v>
      </c>
      <c r="I2915" s="24">
        <v>47118</v>
      </c>
      <c r="J2915" s="23" t="s">
        <v>2232</v>
      </c>
      <c r="K2915" s="23" t="s">
        <v>2232</v>
      </c>
      <c r="L2915" s="23">
        <v>1</v>
      </c>
      <c r="M2915" s="23" t="s">
        <v>78</v>
      </c>
      <c r="N2915" s="23" t="s">
        <v>78</v>
      </c>
      <c r="O2915" s="23">
        <v>13855</v>
      </c>
      <c r="P2915" s="23" t="s">
        <v>79</v>
      </c>
      <c r="Q2915" s="23" t="s">
        <v>83</v>
      </c>
      <c r="R2915" s="23">
        <v>11100008</v>
      </c>
      <c r="S2915" s="24" t="s">
        <v>80</v>
      </c>
      <c r="T2915" s="24">
        <v>45982</v>
      </c>
      <c r="U2915" s="24">
        <v>46752</v>
      </c>
      <c r="X2915" s="24">
        <v>45982</v>
      </c>
      <c r="Y2915" s="23">
        <v>1111</v>
      </c>
      <c r="Z2915" s="23">
        <v>11100172</v>
      </c>
      <c r="AA2915" s="23">
        <v>3955</v>
      </c>
      <c r="AB2915" s="24">
        <v>45982</v>
      </c>
    </row>
    <row r="2916" spans="2:28" x14ac:dyDescent="0.2">
      <c r="C2916" s="23">
        <v>1100569589</v>
      </c>
      <c r="E2916" s="23">
        <v>30</v>
      </c>
      <c r="F2916" s="23" t="s">
        <v>82</v>
      </c>
      <c r="G2916" s="23" t="s">
        <v>139</v>
      </c>
      <c r="H2916" s="24">
        <v>47118</v>
      </c>
      <c r="I2916" s="24">
        <v>46752</v>
      </c>
      <c r="J2916" s="23" t="s">
        <v>2232</v>
      </c>
      <c r="K2916" s="23" t="s">
        <v>2232</v>
      </c>
      <c r="L2916" s="23">
        <v>1</v>
      </c>
      <c r="M2916" s="23" t="s">
        <v>78</v>
      </c>
      <c r="N2916" s="23" t="s">
        <v>78</v>
      </c>
      <c r="O2916" s="23">
        <v>0.01</v>
      </c>
      <c r="P2916" s="23" t="s">
        <v>79</v>
      </c>
      <c r="Q2916" s="23" t="s">
        <v>83</v>
      </c>
      <c r="R2916" s="23">
        <v>11100008</v>
      </c>
      <c r="S2916" s="24" t="s">
        <v>80</v>
      </c>
      <c r="T2916" s="24">
        <v>45982</v>
      </c>
      <c r="U2916" s="24">
        <v>46752</v>
      </c>
      <c r="X2916" s="24">
        <v>45982</v>
      </c>
      <c r="Y2916" s="23">
        <v>1111</v>
      </c>
      <c r="Z2916" s="23">
        <v>11100172</v>
      </c>
      <c r="AA2916" s="23">
        <v>3955</v>
      </c>
      <c r="AB2916" s="24">
        <v>45982</v>
      </c>
    </row>
    <row r="2917" spans="2:28" x14ac:dyDescent="0.2">
      <c r="B2917" s="23" t="s">
        <v>81</v>
      </c>
      <c r="C2917" s="23">
        <v>1100569589</v>
      </c>
      <c r="H2917" s="24">
        <v>47118</v>
      </c>
      <c r="O2917" s="23">
        <v>13855.01</v>
      </c>
      <c r="P2917" s="23" t="s">
        <v>79</v>
      </c>
    </row>
    <row r="2918" spans="2:28" x14ac:dyDescent="0.2">
      <c r="C2918" s="23">
        <v>1100570305</v>
      </c>
      <c r="E2918" s="23">
        <v>20</v>
      </c>
      <c r="F2918" s="23" t="s">
        <v>2202</v>
      </c>
      <c r="G2918" s="23" t="s">
        <v>2233</v>
      </c>
      <c r="H2918" s="24">
        <v>47118</v>
      </c>
      <c r="I2918" s="24">
        <v>47118</v>
      </c>
      <c r="J2918" s="23" t="s">
        <v>2234</v>
      </c>
      <c r="K2918" s="23" t="s">
        <v>2234</v>
      </c>
      <c r="L2918" s="23">
        <v>1</v>
      </c>
      <c r="M2918" s="23" t="s">
        <v>78</v>
      </c>
      <c r="N2918" s="23" t="s">
        <v>78</v>
      </c>
      <c r="O2918" s="23">
        <v>425</v>
      </c>
      <c r="P2918" s="23" t="s">
        <v>79</v>
      </c>
      <c r="Q2918" s="23" t="s">
        <v>83</v>
      </c>
      <c r="R2918" s="23">
        <v>11100008</v>
      </c>
      <c r="S2918" s="24" t="s">
        <v>80</v>
      </c>
      <c r="T2918" s="24">
        <v>45993</v>
      </c>
      <c r="U2918" s="24">
        <v>46752</v>
      </c>
      <c r="X2918" s="24">
        <v>45993</v>
      </c>
      <c r="Y2918" s="23">
        <v>1111</v>
      </c>
      <c r="Z2918" s="23">
        <v>11100172</v>
      </c>
      <c r="AA2918" s="23">
        <v>3955</v>
      </c>
      <c r="AB2918" s="24">
        <v>45993</v>
      </c>
    </row>
    <row r="2919" spans="2:28" x14ac:dyDescent="0.2">
      <c r="C2919" s="23">
        <v>1100570305</v>
      </c>
      <c r="E2919" s="23">
        <v>40</v>
      </c>
      <c r="F2919" s="23" t="s">
        <v>2202</v>
      </c>
      <c r="G2919" s="23" t="s">
        <v>2233</v>
      </c>
      <c r="H2919" s="24">
        <v>47118</v>
      </c>
      <c r="I2919" s="24">
        <v>47118</v>
      </c>
      <c r="J2919" s="23" t="s">
        <v>2234</v>
      </c>
      <c r="K2919" s="23" t="s">
        <v>2234</v>
      </c>
      <c r="L2919" s="23">
        <v>1</v>
      </c>
      <c r="M2919" s="23" t="s">
        <v>78</v>
      </c>
      <c r="N2919" s="23" t="s">
        <v>78</v>
      </c>
      <c r="O2919" s="23">
        <v>425</v>
      </c>
      <c r="P2919" s="23" t="s">
        <v>79</v>
      </c>
      <c r="Q2919" s="23" t="s">
        <v>83</v>
      </c>
      <c r="R2919" s="23">
        <v>11100008</v>
      </c>
      <c r="S2919" s="24" t="s">
        <v>80</v>
      </c>
      <c r="T2919" s="24">
        <v>45993</v>
      </c>
      <c r="U2919" s="24">
        <v>46752</v>
      </c>
      <c r="X2919" s="24">
        <v>45993</v>
      </c>
      <c r="Y2919" s="23">
        <v>1111</v>
      </c>
      <c r="Z2919" s="23">
        <v>11100172</v>
      </c>
      <c r="AA2919" s="23">
        <v>3955</v>
      </c>
      <c r="AB2919" s="24">
        <v>45993</v>
      </c>
    </row>
    <row r="2920" spans="2:28" x14ac:dyDescent="0.2">
      <c r="C2920" s="23">
        <v>1100570305</v>
      </c>
      <c r="E2920" s="23">
        <v>50</v>
      </c>
      <c r="F2920" s="23" t="s">
        <v>82</v>
      </c>
      <c r="G2920" s="23" t="s">
        <v>139</v>
      </c>
      <c r="H2920" s="24">
        <v>47118</v>
      </c>
      <c r="I2920" s="24">
        <v>46045</v>
      </c>
      <c r="J2920" s="23" t="s">
        <v>2234</v>
      </c>
      <c r="K2920" s="23" t="s">
        <v>2234</v>
      </c>
      <c r="L2920" s="23">
        <v>1</v>
      </c>
      <c r="M2920" s="23" t="s">
        <v>78</v>
      </c>
      <c r="N2920" s="23" t="s">
        <v>78</v>
      </c>
      <c r="O2920" s="23">
        <v>0.01</v>
      </c>
      <c r="P2920" s="23" t="s">
        <v>79</v>
      </c>
      <c r="Q2920" s="23" t="s">
        <v>83</v>
      </c>
      <c r="R2920" s="23">
        <v>11100008</v>
      </c>
      <c r="S2920" s="24" t="s">
        <v>80</v>
      </c>
      <c r="T2920" s="24">
        <v>45993</v>
      </c>
      <c r="U2920" s="24">
        <v>46752</v>
      </c>
      <c r="X2920" s="24">
        <v>45993</v>
      </c>
      <c r="Y2920" s="23">
        <v>1111</v>
      </c>
      <c r="Z2920" s="23">
        <v>11100172</v>
      </c>
      <c r="AA2920" s="23">
        <v>3955</v>
      </c>
      <c r="AB2920" s="24">
        <v>45993</v>
      </c>
    </row>
    <row r="2921" spans="2:28" x14ac:dyDescent="0.2">
      <c r="B2921" s="23" t="s">
        <v>81</v>
      </c>
      <c r="C2921" s="23">
        <v>1100570305</v>
      </c>
      <c r="H2921" s="24">
        <v>47118</v>
      </c>
      <c r="O2921" s="23">
        <v>850.01</v>
      </c>
      <c r="P2921" s="23" t="s">
        <v>79</v>
      </c>
    </row>
    <row r="2922" spans="2:28" x14ac:dyDescent="0.2">
      <c r="C2922" s="23">
        <v>1100570452</v>
      </c>
      <c r="E2922" s="23">
        <v>10</v>
      </c>
      <c r="F2922" s="23" t="s">
        <v>96</v>
      </c>
      <c r="G2922" s="23" t="s">
        <v>2235</v>
      </c>
      <c r="H2922" s="24">
        <v>47118</v>
      </c>
      <c r="I2922" s="24">
        <v>47118</v>
      </c>
      <c r="J2922" s="23" t="s">
        <v>421</v>
      </c>
      <c r="K2922" s="23" t="s">
        <v>421</v>
      </c>
      <c r="L2922" s="23">
        <v>1</v>
      </c>
      <c r="M2922" s="23" t="s">
        <v>78</v>
      </c>
      <c r="N2922" s="23" t="s">
        <v>78</v>
      </c>
      <c r="O2922" s="23">
        <v>0</v>
      </c>
      <c r="P2922" s="23" t="s">
        <v>79</v>
      </c>
      <c r="Q2922" s="23" t="s">
        <v>83</v>
      </c>
      <c r="R2922" s="23">
        <v>11100008</v>
      </c>
      <c r="S2922" s="24" t="s">
        <v>80</v>
      </c>
      <c r="T2922" s="24">
        <v>45995</v>
      </c>
      <c r="U2922" s="24" t="s">
        <v>80</v>
      </c>
      <c r="X2922" s="24">
        <v>45995</v>
      </c>
      <c r="Y2922" s="23">
        <v>1111</v>
      </c>
      <c r="Z2922" s="23">
        <v>11400797</v>
      </c>
      <c r="AA2922" s="23">
        <v>3301</v>
      </c>
      <c r="AB2922" s="24">
        <v>45995</v>
      </c>
    </row>
    <row r="2923" spans="2:28" x14ac:dyDescent="0.2">
      <c r="C2923" s="23">
        <v>1100570452</v>
      </c>
      <c r="E2923" s="23">
        <v>20</v>
      </c>
      <c r="F2923" s="23" t="s">
        <v>84</v>
      </c>
      <c r="G2923" s="23" t="s">
        <v>123</v>
      </c>
      <c r="H2923" s="24">
        <v>47118</v>
      </c>
      <c r="I2923" s="24">
        <v>47118</v>
      </c>
      <c r="J2923" s="23" t="s">
        <v>421</v>
      </c>
      <c r="K2923" s="23" t="s">
        <v>421</v>
      </c>
      <c r="L2923" s="23">
        <v>1</v>
      </c>
      <c r="M2923" s="23" t="s">
        <v>78</v>
      </c>
      <c r="N2923" s="23" t="s">
        <v>78</v>
      </c>
      <c r="O2923" s="23">
        <v>0</v>
      </c>
      <c r="P2923" s="23" t="s">
        <v>79</v>
      </c>
      <c r="Q2923" s="23" t="s">
        <v>83</v>
      </c>
      <c r="R2923" s="23">
        <v>11100008</v>
      </c>
      <c r="S2923" s="24" t="s">
        <v>80</v>
      </c>
      <c r="T2923" s="24">
        <v>45995</v>
      </c>
      <c r="U2923" s="24" t="s">
        <v>80</v>
      </c>
      <c r="X2923" s="24">
        <v>45995</v>
      </c>
      <c r="Y2923" s="23">
        <v>1111</v>
      </c>
      <c r="Z2923" s="23">
        <v>11400797</v>
      </c>
      <c r="AA2923" s="23">
        <v>3301</v>
      </c>
      <c r="AB2923" s="24">
        <v>45995</v>
      </c>
    </row>
    <row r="2924" spans="2:28" x14ac:dyDescent="0.2">
      <c r="B2924" s="23" t="s">
        <v>81</v>
      </c>
      <c r="C2924" s="23">
        <v>1100570452</v>
      </c>
      <c r="H2924" s="24">
        <v>47118</v>
      </c>
      <c r="O2924" s="23">
        <v>0</v>
      </c>
      <c r="P2924" s="23" t="s">
        <v>79</v>
      </c>
    </row>
    <row r="2925" spans="2:28" x14ac:dyDescent="0.2">
      <c r="C2925" s="23">
        <v>1100571511</v>
      </c>
      <c r="E2925" s="23">
        <v>10</v>
      </c>
      <c r="F2925" s="23" t="s">
        <v>87</v>
      </c>
      <c r="G2925" s="23" t="s">
        <v>2236</v>
      </c>
      <c r="H2925" s="24">
        <v>47118</v>
      </c>
      <c r="I2925" s="24">
        <v>47118</v>
      </c>
      <c r="J2925" s="23" t="s">
        <v>744</v>
      </c>
      <c r="K2925" s="23" t="s">
        <v>744</v>
      </c>
      <c r="L2925" s="23">
        <v>1</v>
      </c>
      <c r="M2925" s="23" t="s">
        <v>78</v>
      </c>
      <c r="N2925" s="23" t="s">
        <v>78</v>
      </c>
      <c r="O2925" s="23">
        <v>7500</v>
      </c>
      <c r="P2925" s="23" t="s">
        <v>79</v>
      </c>
      <c r="Q2925" s="23" t="s">
        <v>83</v>
      </c>
      <c r="R2925" s="23">
        <v>11100008</v>
      </c>
      <c r="S2925" s="24">
        <v>46119</v>
      </c>
      <c r="T2925" s="24">
        <v>46007</v>
      </c>
      <c r="U2925" s="24" t="s">
        <v>80</v>
      </c>
      <c r="X2925" s="24">
        <v>45999</v>
      </c>
      <c r="Y2925" s="23">
        <v>1111</v>
      </c>
      <c r="Z2925" s="23">
        <v>11400797</v>
      </c>
      <c r="AA2925" s="23">
        <v>335103</v>
      </c>
      <c r="AB2925" s="24">
        <v>46003</v>
      </c>
    </row>
    <row r="2926" spans="2:28" x14ac:dyDescent="0.2">
      <c r="C2926" s="23">
        <v>1100571511</v>
      </c>
      <c r="E2926" s="23">
        <v>20</v>
      </c>
      <c r="F2926" s="23" t="s">
        <v>84</v>
      </c>
      <c r="G2926" s="23" t="s">
        <v>123</v>
      </c>
      <c r="H2926" s="24">
        <v>47118</v>
      </c>
      <c r="I2926" s="24">
        <v>47118</v>
      </c>
      <c r="J2926" s="23" t="s">
        <v>744</v>
      </c>
      <c r="K2926" s="23" t="s">
        <v>744</v>
      </c>
      <c r="L2926" s="23">
        <v>1</v>
      </c>
      <c r="M2926" s="23" t="s">
        <v>78</v>
      </c>
      <c r="N2926" s="23" t="s">
        <v>78</v>
      </c>
      <c r="O2926" s="23">
        <v>0.01</v>
      </c>
      <c r="P2926" s="23" t="s">
        <v>79</v>
      </c>
      <c r="Q2926" s="23" t="s">
        <v>83</v>
      </c>
      <c r="R2926" s="23">
        <v>11100008</v>
      </c>
      <c r="S2926" s="24" t="s">
        <v>80</v>
      </c>
      <c r="T2926" s="24">
        <v>46007</v>
      </c>
      <c r="U2926" s="24" t="s">
        <v>80</v>
      </c>
      <c r="X2926" s="24">
        <v>45999</v>
      </c>
      <c r="Y2926" s="23">
        <v>1111</v>
      </c>
      <c r="Z2926" s="23">
        <v>11400797</v>
      </c>
      <c r="AA2926" s="23">
        <v>335103</v>
      </c>
      <c r="AB2926" s="24">
        <v>46003</v>
      </c>
    </row>
    <row r="2927" spans="2:28" x14ac:dyDescent="0.2">
      <c r="C2927" s="23">
        <v>1100571511</v>
      </c>
      <c r="E2927" s="23">
        <v>30</v>
      </c>
      <c r="F2927" s="23" t="s">
        <v>82</v>
      </c>
      <c r="G2927" s="23" t="s">
        <v>139</v>
      </c>
      <c r="H2927" s="24">
        <v>47118</v>
      </c>
      <c r="I2927" s="24">
        <v>47118</v>
      </c>
      <c r="J2927" s="23" t="s">
        <v>744</v>
      </c>
      <c r="K2927" s="23" t="s">
        <v>744</v>
      </c>
      <c r="L2927" s="23">
        <v>1</v>
      </c>
      <c r="M2927" s="23" t="s">
        <v>78</v>
      </c>
      <c r="N2927" s="23" t="s">
        <v>78</v>
      </c>
      <c r="O2927" s="23">
        <v>0.01</v>
      </c>
      <c r="P2927" s="23" t="s">
        <v>79</v>
      </c>
      <c r="Q2927" s="23" t="s">
        <v>83</v>
      </c>
      <c r="R2927" s="23">
        <v>11100008</v>
      </c>
      <c r="S2927" s="24" t="s">
        <v>80</v>
      </c>
      <c r="T2927" s="24">
        <v>46007</v>
      </c>
      <c r="U2927" s="24" t="s">
        <v>80</v>
      </c>
      <c r="X2927" s="24">
        <v>45999</v>
      </c>
      <c r="Y2927" s="23">
        <v>1111</v>
      </c>
      <c r="Z2927" s="23">
        <v>11400797</v>
      </c>
      <c r="AA2927" s="23">
        <v>335103</v>
      </c>
      <c r="AB2927" s="24">
        <v>46003</v>
      </c>
    </row>
    <row r="2928" spans="2:28" x14ac:dyDescent="0.2">
      <c r="B2928" s="23" t="s">
        <v>81</v>
      </c>
      <c r="C2928" s="23">
        <v>1100571511</v>
      </c>
      <c r="H2928" s="24">
        <v>47118</v>
      </c>
      <c r="O2928" s="23">
        <v>7500.02</v>
      </c>
      <c r="P2928" s="23" t="s">
        <v>79</v>
      </c>
    </row>
    <row r="2929" spans="2:28" x14ac:dyDescent="0.2">
      <c r="C2929" s="23">
        <v>1100572125</v>
      </c>
      <c r="E2929" s="23">
        <v>10</v>
      </c>
      <c r="F2929" s="23" t="s">
        <v>87</v>
      </c>
      <c r="G2929" s="23" t="s">
        <v>2237</v>
      </c>
      <c r="H2929" s="24">
        <v>47118</v>
      </c>
      <c r="I2929" s="24">
        <v>47118</v>
      </c>
      <c r="J2929" s="23" t="s">
        <v>2238</v>
      </c>
      <c r="K2929" s="23" t="s">
        <v>2238</v>
      </c>
      <c r="L2929" s="23">
        <v>1</v>
      </c>
      <c r="M2929" s="23" t="s">
        <v>78</v>
      </c>
      <c r="N2929" s="23" t="s">
        <v>78</v>
      </c>
      <c r="O2929" s="23">
        <v>16801.400000000001</v>
      </c>
      <c r="P2929" s="23" t="s">
        <v>79</v>
      </c>
      <c r="Q2929" s="23" t="s">
        <v>83</v>
      </c>
      <c r="R2929" s="23">
        <v>11100008</v>
      </c>
      <c r="S2929" s="24">
        <v>46104</v>
      </c>
      <c r="T2929" s="24">
        <v>46010</v>
      </c>
      <c r="U2929" s="24">
        <v>46752</v>
      </c>
      <c r="X2929" s="24">
        <v>46010</v>
      </c>
      <c r="Y2929" s="23">
        <v>1111</v>
      </c>
      <c r="Z2929" s="23">
        <v>11400742</v>
      </c>
      <c r="AA2929" s="23">
        <v>3951</v>
      </c>
      <c r="AB2929" s="24">
        <v>45698</v>
      </c>
    </row>
    <row r="2930" spans="2:28" x14ac:dyDescent="0.2">
      <c r="C2930" s="23">
        <v>1100572125</v>
      </c>
      <c r="E2930" s="23">
        <v>20</v>
      </c>
      <c r="F2930" s="23" t="s">
        <v>87</v>
      </c>
      <c r="G2930" s="23" t="s">
        <v>2239</v>
      </c>
      <c r="H2930" s="24">
        <v>47118</v>
      </c>
      <c r="I2930" s="24">
        <v>47118</v>
      </c>
      <c r="J2930" s="23" t="s">
        <v>2238</v>
      </c>
      <c r="K2930" s="23" t="s">
        <v>2238</v>
      </c>
      <c r="L2930" s="23">
        <v>1</v>
      </c>
      <c r="M2930" s="23" t="s">
        <v>78</v>
      </c>
      <c r="N2930" s="23" t="s">
        <v>78</v>
      </c>
      <c r="O2930" s="23">
        <v>16801.400000000001</v>
      </c>
      <c r="P2930" s="23" t="s">
        <v>79</v>
      </c>
      <c r="Q2930" s="23" t="s">
        <v>83</v>
      </c>
      <c r="R2930" s="23">
        <v>11100008</v>
      </c>
      <c r="S2930" s="24">
        <v>46104</v>
      </c>
      <c r="T2930" s="24">
        <v>46010</v>
      </c>
      <c r="U2930" s="24">
        <v>46752</v>
      </c>
      <c r="X2930" s="24">
        <v>46010</v>
      </c>
      <c r="Y2930" s="23">
        <v>1111</v>
      </c>
      <c r="Z2930" s="23">
        <v>11400742</v>
      </c>
      <c r="AA2930" s="23">
        <v>3951</v>
      </c>
      <c r="AB2930" s="24">
        <v>45698</v>
      </c>
    </row>
    <row r="2931" spans="2:28" x14ac:dyDescent="0.2">
      <c r="C2931" s="23">
        <v>1100572125</v>
      </c>
      <c r="E2931" s="23">
        <v>30</v>
      </c>
      <c r="F2931" s="23" t="s">
        <v>87</v>
      </c>
      <c r="G2931" s="23" t="s">
        <v>2240</v>
      </c>
      <c r="H2931" s="24">
        <v>47118</v>
      </c>
      <c r="I2931" s="24">
        <v>47118</v>
      </c>
      <c r="J2931" s="23" t="s">
        <v>2238</v>
      </c>
      <c r="K2931" s="23" t="s">
        <v>2238</v>
      </c>
      <c r="L2931" s="23">
        <v>2</v>
      </c>
      <c r="M2931" s="23" t="s">
        <v>78</v>
      </c>
      <c r="N2931" s="23" t="s">
        <v>78</v>
      </c>
      <c r="O2931" s="23">
        <v>7775.6</v>
      </c>
      <c r="P2931" s="23" t="s">
        <v>79</v>
      </c>
      <c r="Q2931" s="23" t="s">
        <v>83</v>
      </c>
      <c r="R2931" s="23">
        <v>11100008</v>
      </c>
      <c r="S2931" s="24">
        <v>46104</v>
      </c>
      <c r="T2931" s="24">
        <v>46010</v>
      </c>
      <c r="U2931" s="24">
        <v>46752</v>
      </c>
      <c r="X2931" s="24">
        <v>46010</v>
      </c>
      <c r="Y2931" s="23">
        <v>1111</v>
      </c>
      <c r="Z2931" s="23">
        <v>11400742</v>
      </c>
      <c r="AA2931" s="23">
        <v>3951</v>
      </c>
      <c r="AB2931" s="24">
        <v>45698</v>
      </c>
    </row>
    <row r="2932" spans="2:28" x14ac:dyDescent="0.2">
      <c r="C2932" s="23">
        <v>1100572125</v>
      </c>
      <c r="E2932" s="23">
        <v>40</v>
      </c>
      <c r="F2932" s="23" t="s">
        <v>87</v>
      </c>
      <c r="G2932" s="23" t="s">
        <v>2241</v>
      </c>
      <c r="H2932" s="24">
        <v>47118</v>
      </c>
      <c r="I2932" s="24">
        <v>47118</v>
      </c>
      <c r="J2932" s="23" t="s">
        <v>2238</v>
      </c>
      <c r="K2932" s="23" t="s">
        <v>2238</v>
      </c>
      <c r="L2932" s="23">
        <v>2</v>
      </c>
      <c r="M2932" s="23" t="s">
        <v>78</v>
      </c>
      <c r="N2932" s="23" t="s">
        <v>78</v>
      </c>
      <c r="O2932" s="23">
        <v>4936.3999999999996</v>
      </c>
      <c r="P2932" s="23" t="s">
        <v>79</v>
      </c>
      <c r="Q2932" s="23" t="s">
        <v>83</v>
      </c>
      <c r="R2932" s="23">
        <v>11100008</v>
      </c>
      <c r="S2932" s="24">
        <v>46104</v>
      </c>
      <c r="T2932" s="24">
        <v>46010</v>
      </c>
      <c r="U2932" s="24">
        <v>46752</v>
      </c>
      <c r="X2932" s="24">
        <v>46010</v>
      </c>
      <c r="Y2932" s="23">
        <v>1111</v>
      </c>
      <c r="Z2932" s="23">
        <v>11400742</v>
      </c>
      <c r="AA2932" s="23">
        <v>3951</v>
      </c>
      <c r="AB2932" s="24">
        <v>45698</v>
      </c>
    </row>
    <row r="2933" spans="2:28" x14ac:dyDescent="0.2">
      <c r="C2933" s="23">
        <v>1100572125</v>
      </c>
      <c r="E2933" s="23">
        <v>50</v>
      </c>
      <c r="F2933" s="23" t="s">
        <v>87</v>
      </c>
      <c r="G2933" s="23" t="s">
        <v>2242</v>
      </c>
      <c r="H2933" s="24">
        <v>47118</v>
      </c>
      <c r="I2933" s="24">
        <v>47118</v>
      </c>
      <c r="J2933" s="23" t="s">
        <v>2238</v>
      </c>
      <c r="K2933" s="23" t="s">
        <v>2238</v>
      </c>
      <c r="L2933" s="23">
        <v>2</v>
      </c>
      <c r="M2933" s="23" t="s">
        <v>78</v>
      </c>
      <c r="N2933" s="23" t="s">
        <v>78</v>
      </c>
      <c r="O2933" s="23">
        <v>694.4</v>
      </c>
      <c r="P2933" s="23" t="s">
        <v>79</v>
      </c>
      <c r="Q2933" s="23" t="s">
        <v>83</v>
      </c>
      <c r="R2933" s="23">
        <v>11100008</v>
      </c>
      <c r="S2933" s="24">
        <v>46104</v>
      </c>
      <c r="T2933" s="24">
        <v>46010</v>
      </c>
      <c r="U2933" s="24">
        <v>46752</v>
      </c>
      <c r="X2933" s="24">
        <v>46010</v>
      </c>
      <c r="Y2933" s="23">
        <v>1111</v>
      </c>
      <c r="Z2933" s="23">
        <v>11400742</v>
      </c>
      <c r="AA2933" s="23">
        <v>3951</v>
      </c>
      <c r="AB2933" s="24">
        <v>45698</v>
      </c>
    </row>
    <row r="2934" spans="2:28" x14ac:dyDescent="0.2">
      <c r="C2934" s="23">
        <v>1100572125</v>
      </c>
      <c r="E2934" s="23">
        <v>60</v>
      </c>
      <c r="F2934" s="23" t="s">
        <v>87</v>
      </c>
      <c r="G2934" s="23" t="s">
        <v>2243</v>
      </c>
      <c r="H2934" s="24">
        <v>47118</v>
      </c>
      <c r="I2934" s="24">
        <v>47118</v>
      </c>
      <c r="J2934" s="23" t="s">
        <v>2238</v>
      </c>
      <c r="K2934" s="23" t="s">
        <v>2238</v>
      </c>
      <c r="L2934" s="23">
        <v>16</v>
      </c>
      <c r="M2934" s="23" t="s">
        <v>78</v>
      </c>
      <c r="N2934" s="23" t="s">
        <v>78</v>
      </c>
      <c r="O2934" s="23">
        <v>5174.3999999999996</v>
      </c>
      <c r="P2934" s="23" t="s">
        <v>79</v>
      </c>
      <c r="Q2934" s="23" t="s">
        <v>83</v>
      </c>
      <c r="R2934" s="23">
        <v>11100008</v>
      </c>
      <c r="S2934" s="24">
        <v>46104</v>
      </c>
      <c r="T2934" s="24">
        <v>46010</v>
      </c>
      <c r="U2934" s="24">
        <v>46752</v>
      </c>
      <c r="X2934" s="24">
        <v>46010</v>
      </c>
      <c r="Y2934" s="23">
        <v>1111</v>
      </c>
      <c r="Z2934" s="23">
        <v>11400742</v>
      </c>
      <c r="AA2934" s="23">
        <v>3951</v>
      </c>
      <c r="AB2934" s="24">
        <v>45698</v>
      </c>
    </row>
    <row r="2935" spans="2:28" x14ac:dyDescent="0.2">
      <c r="B2935" s="23" t="s">
        <v>81</v>
      </c>
      <c r="C2935" s="23">
        <v>1100572125</v>
      </c>
      <c r="H2935" s="24">
        <v>47118</v>
      </c>
      <c r="O2935" s="23">
        <v>52183.6</v>
      </c>
      <c r="P2935" s="23" t="s">
        <v>79</v>
      </c>
    </row>
    <row r="2936" spans="2:28" x14ac:dyDescent="0.2">
      <c r="C2936" s="23">
        <v>1100572355</v>
      </c>
      <c r="E2936" s="23">
        <v>10</v>
      </c>
      <c r="F2936" s="23" t="s">
        <v>2244</v>
      </c>
      <c r="G2936" s="23" t="s">
        <v>2245</v>
      </c>
      <c r="H2936" s="24">
        <v>47118</v>
      </c>
      <c r="I2936" s="24">
        <v>47118</v>
      </c>
      <c r="J2936" s="23" t="s">
        <v>2246</v>
      </c>
      <c r="K2936" s="23" t="s">
        <v>2246</v>
      </c>
      <c r="L2936" s="23">
        <v>1</v>
      </c>
      <c r="M2936" s="23" t="s">
        <v>78</v>
      </c>
      <c r="N2936" s="23" t="s">
        <v>78</v>
      </c>
      <c r="O2936" s="23">
        <v>3197.24</v>
      </c>
      <c r="P2936" s="23" t="s">
        <v>79</v>
      </c>
      <c r="Q2936" s="23" t="s">
        <v>83</v>
      </c>
      <c r="R2936" s="23">
        <v>11100008</v>
      </c>
      <c r="S2936" s="24">
        <v>46045</v>
      </c>
      <c r="T2936" s="24">
        <v>46017</v>
      </c>
      <c r="U2936" s="24" t="s">
        <v>80</v>
      </c>
      <c r="X2936" s="24">
        <v>46014</v>
      </c>
      <c r="Y2936" s="23">
        <v>1111</v>
      </c>
      <c r="Z2936" s="23">
        <v>11400742</v>
      </c>
      <c r="AA2936" s="23">
        <v>3351</v>
      </c>
      <c r="AB2936" s="24">
        <v>46013</v>
      </c>
    </row>
    <row r="2937" spans="2:28" x14ac:dyDescent="0.2">
      <c r="B2937" s="23" t="s">
        <v>81</v>
      </c>
      <c r="C2937" s="23">
        <v>1100572355</v>
      </c>
      <c r="H2937" s="24">
        <v>47118</v>
      </c>
      <c r="O2937" s="23">
        <v>3197.24</v>
      </c>
      <c r="P2937" s="23" t="s">
        <v>79</v>
      </c>
    </row>
    <row r="2938" spans="2:28" x14ac:dyDescent="0.2">
      <c r="C2938" s="23">
        <v>1100572706</v>
      </c>
      <c r="E2938" s="23">
        <v>10</v>
      </c>
      <c r="F2938" s="23" t="s">
        <v>2247</v>
      </c>
      <c r="G2938" s="23" t="s">
        <v>2248</v>
      </c>
      <c r="H2938" s="24">
        <v>47118</v>
      </c>
      <c r="I2938" s="24">
        <v>47118</v>
      </c>
      <c r="J2938" s="23" t="s">
        <v>978</v>
      </c>
      <c r="K2938" s="23" t="s">
        <v>978</v>
      </c>
      <c r="L2938" s="23">
        <v>1</v>
      </c>
      <c r="M2938" s="23" t="s">
        <v>78</v>
      </c>
      <c r="N2938" s="23" t="s">
        <v>78</v>
      </c>
      <c r="O2938" s="23">
        <v>965.13</v>
      </c>
      <c r="P2938" s="23" t="s">
        <v>79</v>
      </c>
      <c r="Q2938" s="23" t="s">
        <v>83</v>
      </c>
      <c r="R2938" s="23">
        <v>11100008</v>
      </c>
      <c r="S2938" s="24">
        <v>46025</v>
      </c>
      <c r="T2938" s="24">
        <v>46024</v>
      </c>
      <c r="U2938" s="24" t="s">
        <v>80</v>
      </c>
      <c r="X2938" s="24">
        <v>46024</v>
      </c>
      <c r="Y2938" s="23">
        <v>1111</v>
      </c>
      <c r="Z2938" s="23">
        <v>11400745</v>
      </c>
      <c r="AA2938" s="23">
        <v>3951</v>
      </c>
      <c r="AB2938" s="24">
        <v>46024</v>
      </c>
    </row>
    <row r="2939" spans="2:28" x14ac:dyDescent="0.2">
      <c r="C2939" s="23">
        <v>1100572706</v>
      </c>
      <c r="E2939" s="23">
        <v>20</v>
      </c>
      <c r="F2939" s="23" t="s">
        <v>82</v>
      </c>
      <c r="G2939" s="23" t="s">
        <v>139</v>
      </c>
      <c r="H2939" s="24">
        <v>47118</v>
      </c>
      <c r="I2939" s="24">
        <v>47118</v>
      </c>
      <c r="J2939" s="23" t="s">
        <v>978</v>
      </c>
      <c r="K2939" s="23" t="s">
        <v>978</v>
      </c>
      <c r="L2939" s="23">
        <v>1</v>
      </c>
      <c r="M2939" s="23" t="s">
        <v>78</v>
      </c>
      <c r="N2939" s="23" t="s">
        <v>78</v>
      </c>
      <c r="O2939" s="23">
        <v>0.01</v>
      </c>
      <c r="P2939" s="23" t="s">
        <v>79</v>
      </c>
      <c r="Q2939" s="23" t="s">
        <v>83</v>
      </c>
      <c r="R2939" s="23">
        <v>11100008</v>
      </c>
      <c r="S2939" s="24" t="s">
        <v>80</v>
      </c>
      <c r="T2939" s="24">
        <v>46024</v>
      </c>
      <c r="U2939" s="24" t="s">
        <v>80</v>
      </c>
      <c r="X2939" s="24">
        <v>46024</v>
      </c>
      <c r="Y2939" s="23">
        <v>1111</v>
      </c>
      <c r="Z2939" s="23">
        <v>11400745</v>
      </c>
      <c r="AA2939" s="23">
        <v>3951</v>
      </c>
      <c r="AB2939" s="24">
        <v>46024</v>
      </c>
    </row>
    <row r="2940" spans="2:28" x14ac:dyDescent="0.2">
      <c r="B2940" s="23" t="s">
        <v>81</v>
      </c>
      <c r="C2940" s="23">
        <v>1100572706</v>
      </c>
      <c r="H2940" s="24">
        <v>47118</v>
      </c>
      <c r="O2940" s="23">
        <v>965.14</v>
      </c>
      <c r="P2940" s="23" t="s">
        <v>79</v>
      </c>
    </row>
    <row r="2941" spans="2:28" x14ac:dyDescent="0.2">
      <c r="C2941" s="23">
        <v>1100572872</v>
      </c>
      <c r="E2941" s="23">
        <v>20</v>
      </c>
      <c r="F2941" s="23" t="s">
        <v>192</v>
      </c>
      <c r="G2941" s="23" t="s">
        <v>2199</v>
      </c>
      <c r="H2941" s="24">
        <v>47118</v>
      </c>
      <c r="I2941" s="24">
        <v>47118</v>
      </c>
      <c r="J2941" s="23" t="s">
        <v>2190</v>
      </c>
      <c r="K2941" s="23" t="s">
        <v>2190</v>
      </c>
      <c r="L2941" s="23">
        <v>1</v>
      </c>
      <c r="M2941" s="23" t="s">
        <v>78</v>
      </c>
      <c r="N2941" s="23" t="s">
        <v>78</v>
      </c>
      <c r="O2941" s="23">
        <v>6610</v>
      </c>
      <c r="P2941" s="23" t="s">
        <v>79</v>
      </c>
      <c r="Q2941" s="23" t="s">
        <v>83</v>
      </c>
      <c r="R2941" s="23">
        <v>11100008</v>
      </c>
      <c r="S2941" s="24" t="s">
        <v>80</v>
      </c>
      <c r="T2941" s="24">
        <v>46028</v>
      </c>
      <c r="U2941" s="24">
        <v>46752</v>
      </c>
      <c r="X2941" s="24">
        <v>46028</v>
      </c>
      <c r="Y2941" s="23">
        <v>1111</v>
      </c>
      <c r="Z2941" s="23">
        <v>11100042</v>
      </c>
      <c r="AA2941" s="23">
        <v>3955</v>
      </c>
      <c r="AB2941" s="24">
        <v>46028</v>
      </c>
    </row>
    <row r="2942" spans="2:28" x14ac:dyDescent="0.2">
      <c r="C2942" s="23">
        <v>1100572872</v>
      </c>
      <c r="E2942" s="23">
        <v>30</v>
      </c>
      <c r="F2942" s="23" t="s">
        <v>82</v>
      </c>
      <c r="G2942" s="23" t="s">
        <v>139</v>
      </c>
      <c r="H2942" s="24">
        <v>47118</v>
      </c>
      <c r="I2942" s="24">
        <v>47118</v>
      </c>
      <c r="J2942" s="23" t="s">
        <v>2190</v>
      </c>
      <c r="K2942" s="23" t="s">
        <v>2190</v>
      </c>
      <c r="L2942" s="23">
        <v>1</v>
      </c>
      <c r="M2942" s="23" t="s">
        <v>78</v>
      </c>
      <c r="N2942" s="23" t="s">
        <v>78</v>
      </c>
      <c r="O2942" s="23">
        <v>0.01</v>
      </c>
      <c r="P2942" s="23" t="s">
        <v>79</v>
      </c>
      <c r="Q2942" s="23" t="s">
        <v>83</v>
      </c>
      <c r="R2942" s="23">
        <v>11100008</v>
      </c>
      <c r="S2942" s="24" t="s">
        <v>80</v>
      </c>
      <c r="T2942" s="24">
        <v>46028</v>
      </c>
      <c r="U2942" s="24">
        <v>46752</v>
      </c>
      <c r="X2942" s="24">
        <v>46028</v>
      </c>
      <c r="Y2942" s="23">
        <v>1111</v>
      </c>
      <c r="Z2942" s="23">
        <v>11100042</v>
      </c>
      <c r="AA2942" s="23">
        <v>3955</v>
      </c>
      <c r="AB2942" s="24">
        <v>46028</v>
      </c>
    </row>
    <row r="2943" spans="2:28" x14ac:dyDescent="0.2">
      <c r="B2943" s="23" t="s">
        <v>81</v>
      </c>
      <c r="C2943" s="23">
        <v>1100572872</v>
      </c>
      <c r="H2943" s="24">
        <v>47118</v>
      </c>
      <c r="O2943" s="23">
        <v>6610.01</v>
      </c>
      <c r="P2943" s="23" t="s">
        <v>79</v>
      </c>
    </row>
    <row r="2944" spans="2:28" x14ac:dyDescent="0.2">
      <c r="C2944" s="23">
        <v>1100573106</v>
      </c>
      <c r="E2944" s="23">
        <v>10</v>
      </c>
      <c r="F2944" s="23" t="s">
        <v>87</v>
      </c>
      <c r="G2944" s="23" t="s">
        <v>2250</v>
      </c>
      <c r="H2944" s="24">
        <v>47118</v>
      </c>
      <c r="I2944" s="24">
        <v>47118</v>
      </c>
      <c r="J2944" s="23" t="s">
        <v>2251</v>
      </c>
      <c r="K2944" s="23" t="s">
        <v>2251</v>
      </c>
      <c r="L2944" s="23">
        <v>1</v>
      </c>
      <c r="M2944" s="23" t="s">
        <v>78</v>
      </c>
      <c r="N2944" s="23" t="s">
        <v>78</v>
      </c>
      <c r="O2944" s="23">
        <v>26460</v>
      </c>
      <c r="P2944" s="23" t="s">
        <v>79</v>
      </c>
      <c r="Q2944" s="23" t="s">
        <v>83</v>
      </c>
      <c r="R2944" s="23">
        <v>11100018</v>
      </c>
      <c r="S2944" s="24">
        <v>46100</v>
      </c>
      <c r="T2944" s="24">
        <v>46030</v>
      </c>
      <c r="U2944" s="24">
        <v>47116</v>
      </c>
      <c r="X2944" s="24">
        <v>46030</v>
      </c>
      <c r="Y2944" s="23">
        <v>1111</v>
      </c>
      <c r="Z2944" s="23">
        <v>11400124</v>
      </c>
      <c r="AA2944" s="23">
        <v>335803</v>
      </c>
      <c r="AB2944" s="24">
        <v>47118</v>
      </c>
    </row>
    <row r="2945" spans="2:28" x14ac:dyDescent="0.2">
      <c r="C2945" s="23">
        <v>1100573106</v>
      </c>
      <c r="E2945" s="23">
        <v>20</v>
      </c>
      <c r="F2945" s="23" t="s">
        <v>84</v>
      </c>
      <c r="G2945" s="23" t="s">
        <v>123</v>
      </c>
      <c r="H2945" s="24">
        <v>47118</v>
      </c>
      <c r="I2945" s="24">
        <v>47118</v>
      </c>
      <c r="J2945" s="23" t="s">
        <v>2251</v>
      </c>
      <c r="K2945" s="23" t="s">
        <v>2251</v>
      </c>
      <c r="L2945" s="23">
        <v>1</v>
      </c>
      <c r="M2945" s="23" t="s">
        <v>78</v>
      </c>
      <c r="N2945" s="23" t="s">
        <v>78</v>
      </c>
      <c r="O2945" s="23">
        <v>0.01</v>
      </c>
      <c r="P2945" s="23" t="s">
        <v>79</v>
      </c>
      <c r="Q2945" s="23" t="s">
        <v>83</v>
      </c>
      <c r="R2945" s="23">
        <v>11100018</v>
      </c>
      <c r="S2945" s="24">
        <v>46100</v>
      </c>
      <c r="T2945" s="24">
        <v>46030</v>
      </c>
      <c r="U2945" s="24">
        <v>47116</v>
      </c>
      <c r="X2945" s="24">
        <v>46030</v>
      </c>
      <c r="Y2945" s="23">
        <v>1111</v>
      </c>
      <c r="Z2945" s="23">
        <v>11400124</v>
      </c>
      <c r="AA2945" s="23">
        <v>335803</v>
      </c>
      <c r="AB2945" s="24">
        <v>47118</v>
      </c>
    </row>
    <row r="2946" spans="2:28" x14ac:dyDescent="0.2">
      <c r="C2946" s="23">
        <v>1100573106</v>
      </c>
      <c r="E2946" s="23">
        <v>30</v>
      </c>
      <c r="F2946" s="23" t="s">
        <v>96</v>
      </c>
      <c r="G2946" s="23" t="s">
        <v>97</v>
      </c>
      <c r="H2946" s="24">
        <v>47118</v>
      </c>
      <c r="I2946" s="24">
        <v>47118</v>
      </c>
      <c r="J2946" s="23" t="s">
        <v>2251</v>
      </c>
      <c r="K2946" s="23" t="s">
        <v>2251</v>
      </c>
      <c r="L2946" s="23">
        <v>1</v>
      </c>
      <c r="M2946" s="23" t="s">
        <v>78</v>
      </c>
      <c r="N2946" s="23" t="s">
        <v>78</v>
      </c>
      <c r="O2946" s="23">
        <v>0.01</v>
      </c>
      <c r="P2946" s="23" t="s">
        <v>79</v>
      </c>
      <c r="Q2946" s="23" t="s">
        <v>83</v>
      </c>
      <c r="R2946" s="23">
        <v>11100018</v>
      </c>
      <c r="S2946" s="24">
        <v>46100</v>
      </c>
      <c r="T2946" s="24">
        <v>46030</v>
      </c>
      <c r="U2946" s="24">
        <v>47116</v>
      </c>
      <c r="X2946" s="24">
        <v>46030</v>
      </c>
      <c r="Y2946" s="23">
        <v>1111</v>
      </c>
      <c r="Z2946" s="23">
        <v>11400124</v>
      </c>
      <c r="AA2946" s="23">
        <v>335803</v>
      </c>
      <c r="AB2946" s="24">
        <v>47118</v>
      </c>
    </row>
    <row r="2947" spans="2:28" x14ac:dyDescent="0.2">
      <c r="B2947" s="23" t="s">
        <v>81</v>
      </c>
      <c r="C2947" s="23">
        <v>1100573106</v>
      </c>
      <c r="H2947" s="24">
        <v>47118</v>
      </c>
      <c r="O2947" s="23">
        <v>26460.02</v>
      </c>
      <c r="P2947" s="23" t="s">
        <v>79</v>
      </c>
    </row>
    <row r="2948" spans="2:28" x14ac:dyDescent="0.2">
      <c r="C2948" s="23">
        <v>1100573638</v>
      </c>
      <c r="E2948" s="23">
        <v>10</v>
      </c>
      <c r="F2948" s="23" t="s">
        <v>873</v>
      </c>
      <c r="G2948" s="23" t="s">
        <v>874</v>
      </c>
      <c r="H2948" s="24">
        <v>47118</v>
      </c>
      <c r="I2948" s="24">
        <v>47118</v>
      </c>
      <c r="J2948" s="23" t="s">
        <v>3993</v>
      </c>
      <c r="K2948" s="23" t="s">
        <v>3993</v>
      </c>
      <c r="L2948" s="23">
        <v>1</v>
      </c>
      <c r="M2948" s="23" t="s">
        <v>78</v>
      </c>
      <c r="N2948" s="23" t="s">
        <v>78</v>
      </c>
      <c r="O2948" s="23">
        <v>1153.07</v>
      </c>
      <c r="P2948" s="23" t="s">
        <v>79</v>
      </c>
      <c r="Q2948" s="23" t="s">
        <v>83</v>
      </c>
      <c r="R2948" s="23">
        <v>11100176</v>
      </c>
      <c r="S2948" s="24">
        <v>46106</v>
      </c>
      <c r="T2948" s="24">
        <v>46035</v>
      </c>
      <c r="U2948" s="24">
        <v>47116</v>
      </c>
      <c r="X2948" s="24">
        <v>46028</v>
      </c>
      <c r="Y2948" s="23">
        <v>1111</v>
      </c>
      <c r="Z2948" s="23">
        <v>11400704</v>
      </c>
      <c r="AA2948" s="23">
        <v>5051</v>
      </c>
      <c r="AB2948" s="24">
        <v>46028</v>
      </c>
    </row>
    <row r="2949" spans="2:28" x14ac:dyDescent="0.2">
      <c r="C2949" s="23">
        <v>1100573638</v>
      </c>
      <c r="E2949" s="23">
        <v>20</v>
      </c>
      <c r="F2949" s="23" t="s">
        <v>209</v>
      </c>
      <c r="G2949" s="23" t="s">
        <v>210</v>
      </c>
      <c r="H2949" s="24">
        <v>47118</v>
      </c>
      <c r="I2949" s="24">
        <v>47118</v>
      </c>
      <c r="J2949" s="23" t="s">
        <v>3993</v>
      </c>
      <c r="K2949" s="23" t="s">
        <v>3993</v>
      </c>
      <c r="L2949" s="23">
        <v>1</v>
      </c>
      <c r="M2949" s="23" t="s">
        <v>78</v>
      </c>
      <c r="N2949" s="23" t="s">
        <v>78</v>
      </c>
      <c r="O2949" s="23">
        <v>13.1</v>
      </c>
      <c r="P2949" s="23" t="s">
        <v>79</v>
      </c>
      <c r="Q2949" s="23" t="s">
        <v>83</v>
      </c>
      <c r="R2949" s="23">
        <v>11100176</v>
      </c>
      <c r="S2949" s="24" t="s">
        <v>80</v>
      </c>
      <c r="T2949" s="24">
        <v>46035</v>
      </c>
      <c r="U2949" s="24">
        <v>47116</v>
      </c>
      <c r="X2949" s="24">
        <v>46028</v>
      </c>
      <c r="Y2949" s="23">
        <v>1111</v>
      </c>
      <c r="Z2949" s="23">
        <v>11400704</v>
      </c>
      <c r="AA2949" s="23">
        <v>5051</v>
      </c>
      <c r="AB2949" s="24">
        <v>46028</v>
      </c>
    </row>
    <row r="2950" spans="2:28" x14ac:dyDescent="0.2">
      <c r="B2950" s="23" t="s">
        <v>81</v>
      </c>
      <c r="C2950" s="23">
        <v>1100573638</v>
      </c>
      <c r="H2950" s="24">
        <v>47118</v>
      </c>
      <c r="O2950" s="23">
        <v>1166.17</v>
      </c>
      <c r="P2950" s="23" t="s">
        <v>79</v>
      </c>
    </row>
    <row r="2951" spans="2:28" x14ac:dyDescent="0.2">
      <c r="C2951" s="23">
        <v>1100574078</v>
      </c>
      <c r="E2951" s="23">
        <v>10</v>
      </c>
      <c r="F2951" s="23" t="s">
        <v>3994</v>
      </c>
      <c r="G2951" s="23" t="s">
        <v>3995</v>
      </c>
      <c r="H2951" s="24">
        <v>47118</v>
      </c>
      <c r="I2951" s="24">
        <v>47118</v>
      </c>
      <c r="J2951" s="23" t="s">
        <v>2251</v>
      </c>
      <c r="K2951" s="23" t="s">
        <v>2251</v>
      </c>
      <c r="L2951" s="23">
        <v>2</v>
      </c>
      <c r="M2951" s="23" t="s">
        <v>78</v>
      </c>
      <c r="N2951" s="23" t="s">
        <v>78</v>
      </c>
      <c r="O2951" s="23">
        <v>190.8</v>
      </c>
      <c r="P2951" s="23" t="s">
        <v>79</v>
      </c>
      <c r="Q2951" s="23" t="s">
        <v>83</v>
      </c>
      <c r="R2951" s="23">
        <v>11100176</v>
      </c>
      <c r="S2951" s="24">
        <v>46080</v>
      </c>
      <c r="T2951" s="24">
        <v>46038</v>
      </c>
      <c r="U2951" s="24">
        <v>47116</v>
      </c>
      <c r="X2951" s="24">
        <v>46029</v>
      </c>
      <c r="Y2951" s="23">
        <v>1111</v>
      </c>
      <c r="Z2951" s="23">
        <v>11400704</v>
      </c>
      <c r="AA2951" s="23">
        <v>335103</v>
      </c>
      <c r="AB2951" s="24">
        <v>46037</v>
      </c>
    </row>
    <row r="2952" spans="2:28" x14ac:dyDescent="0.2">
      <c r="C2952" s="23">
        <v>1100574078</v>
      </c>
      <c r="E2952" s="23">
        <v>20</v>
      </c>
      <c r="F2952" s="23" t="s">
        <v>3996</v>
      </c>
      <c r="G2952" s="23" t="s">
        <v>3997</v>
      </c>
      <c r="H2952" s="24">
        <v>47118</v>
      </c>
      <c r="I2952" s="24">
        <v>47118</v>
      </c>
      <c r="J2952" s="23" t="s">
        <v>2251</v>
      </c>
      <c r="K2952" s="23" t="s">
        <v>2251</v>
      </c>
      <c r="L2952" s="23">
        <v>2</v>
      </c>
      <c r="M2952" s="23" t="s">
        <v>78</v>
      </c>
      <c r="N2952" s="23" t="s">
        <v>78</v>
      </c>
      <c r="O2952" s="23">
        <v>271.94</v>
      </c>
      <c r="P2952" s="23" t="s">
        <v>79</v>
      </c>
      <c r="Q2952" s="23" t="s">
        <v>83</v>
      </c>
      <c r="R2952" s="23">
        <v>11100176</v>
      </c>
      <c r="S2952" s="24">
        <v>46080</v>
      </c>
      <c r="T2952" s="24">
        <v>46038</v>
      </c>
      <c r="U2952" s="24">
        <v>47116</v>
      </c>
      <c r="X2952" s="24">
        <v>46029</v>
      </c>
      <c r="Y2952" s="23">
        <v>1111</v>
      </c>
      <c r="Z2952" s="23">
        <v>11400704</v>
      </c>
      <c r="AA2952" s="23">
        <v>335103</v>
      </c>
      <c r="AB2952" s="24">
        <v>46037</v>
      </c>
    </row>
    <row r="2953" spans="2:28" x14ac:dyDescent="0.2">
      <c r="B2953" s="23" t="s">
        <v>81</v>
      </c>
      <c r="C2953" s="23">
        <v>1100574078</v>
      </c>
      <c r="H2953" s="24">
        <v>47118</v>
      </c>
      <c r="O2953" s="23">
        <v>462.74</v>
      </c>
      <c r="P2953" s="23" t="s">
        <v>79</v>
      </c>
    </row>
    <row r="2954" spans="2:28" x14ac:dyDescent="0.2">
      <c r="C2954" s="23">
        <v>1100574151</v>
      </c>
      <c r="E2954" s="23">
        <v>20</v>
      </c>
      <c r="F2954" s="23" t="s">
        <v>192</v>
      </c>
      <c r="G2954" s="23" t="s">
        <v>3998</v>
      </c>
      <c r="H2954" s="24">
        <v>47118</v>
      </c>
      <c r="I2954" s="24">
        <v>47118</v>
      </c>
      <c r="J2954" s="23" t="s">
        <v>1254</v>
      </c>
      <c r="K2954" s="23" t="s">
        <v>1254</v>
      </c>
      <c r="L2954" s="23">
        <v>1</v>
      </c>
      <c r="M2954" s="23" t="s">
        <v>78</v>
      </c>
      <c r="N2954" s="23" t="s">
        <v>78</v>
      </c>
      <c r="O2954" s="23">
        <v>0</v>
      </c>
      <c r="P2954" s="23" t="s">
        <v>79</v>
      </c>
      <c r="Q2954" s="23" t="s">
        <v>83</v>
      </c>
      <c r="R2954" s="23">
        <v>11100008</v>
      </c>
      <c r="S2954" s="24" t="s">
        <v>80</v>
      </c>
      <c r="T2954" s="24">
        <v>46042</v>
      </c>
      <c r="U2954" s="24">
        <v>47116</v>
      </c>
      <c r="X2954" s="24">
        <v>46042</v>
      </c>
      <c r="Y2954" s="23">
        <v>1111</v>
      </c>
      <c r="Z2954" s="23">
        <v>11100042</v>
      </c>
      <c r="AA2954" s="23">
        <v>3355</v>
      </c>
      <c r="AB2954" s="24">
        <v>46042</v>
      </c>
    </row>
    <row r="2955" spans="2:28" x14ac:dyDescent="0.2">
      <c r="C2955" s="23">
        <v>1100574151</v>
      </c>
      <c r="E2955" s="23">
        <v>30</v>
      </c>
      <c r="F2955" s="23" t="s">
        <v>3999</v>
      </c>
      <c r="G2955" s="23" t="s">
        <v>540</v>
      </c>
      <c r="H2955" s="24">
        <v>47118</v>
      </c>
      <c r="I2955" s="24">
        <v>47118</v>
      </c>
      <c r="J2955" s="23" t="s">
        <v>1254</v>
      </c>
      <c r="K2955" s="23" t="s">
        <v>1254</v>
      </c>
      <c r="L2955" s="23">
        <v>1</v>
      </c>
      <c r="M2955" s="23" t="s">
        <v>78</v>
      </c>
      <c r="N2955" s="23" t="s">
        <v>78</v>
      </c>
      <c r="O2955" s="23">
        <v>0</v>
      </c>
      <c r="P2955" s="23" t="s">
        <v>79</v>
      </c>
      <c r="Q2955" s="23" t="s">
        <v>83</v>
      </c>
      <c r="R2955" s="23">
        <v>11100008</v>
      </c>
      <c r="S2955" s="24" t="s">
        <v>80</v>
      </c>
      <c r="T2955" s="24">
        <v>46042</v>
      </c>
      <c r="U2955" s="24">
        <v>47116</v>
      </c>
      <c r="X2955" s="24">
        <v>46042</v>
      </c>
      <c r="Y2955" s="23">
        <v>1111</v>
      </c>
      <c r="Z2955" s="23">
        <v>11100042</v>
      </c>
      <c r="AA2955" s="23">
        <v>3355</v>
      </c>
      <c r="AB2955" s="24">
        <v>46042</v>
      </c>
    </row>
    <row r="2956" spans="2:28" x14ac:dyDescent="0.2">
      <c r="B2956" s="23" t="s">
        <v>81</v>
      </c>
      <c r="C2956" s="23">
        <v>1100574151</v>
      </c>
      <c r="H2956" s="24">
        <v>47118</v>
      </c>
      <c r="O2956" s="23">
        <v>0</v>
      </c>
      <c r="P2956" s="23" t="s">
        <v>79</v>
      </c>
    </row>
    <row r="2957" spans="2:28" x14ac:dyDescent="0.2">
      <c r="C2957" s="23">
        <v>1100574481</v>
      </c>
      <c r="E2957" s="23">
        <v>10</v>
      </c>
      <c r="F2957" s="23" t="s">
        <v>4000</v>
      </c>
      <c r="G2957" s="23" t="s">
        <v>4001</v>
      </c>
      <c r="H2957" s="24">
        <v>47118</v>
      </c>
      <c r="I2957" s="24">
        <v>47118</v>
      </c>
      <c r="J2957" s="23" t="s">
        <v>4002</v>
      </c>
      <c r="K2957" s="23" t="s">
        <v>4002</v>
      </c>
      <c r="L2957" s="23">
        <v>2</v>
      </c>
      <c r="M2957" s="23" t="s">
        <v>78</v>
      </c>
      <c r="N2957" s="23" t="s">
        <v>78</v>
      </c>
      <c r="O2957" s="23">
        <v>5908.62</v>
      </c>
      <c r="P2957" s="23" t="s">
        <v>79</v>
      </c>
      <c r="Q2957" s="23" t="s">
        <v>83</v>
      </c>
      <c r="R2957" s="23">
        <v>11100176</v>
      </c>
      <c r="S2957" s="24">
        <v>46073</v>
      </c>
      <c r="T2957" s="24">
        <v>46044</v>
      </c>
      <c r="U2957" s="24">
        <v>47116</v>
      </c>
      <c r="X2957" s="24">
        <v>46042</v>
      </c>
      <c r="Y2957" s="23">
        <v>1111</v>
      </c>
      <c r="Z2957" s="23">
        <v>11400704</v>
      </c>
      <c r="AA2957" s="23">
        <v>395103</v>
      </c>
      <c r="AB2957" s="24">
        <v>46038</v>
      </c>
    </row>
    <row r="2958" spans="2:28" x14ac:dyDescent="0.2">
      <c r="C2958" s="23">
        <v>1100574481</v>
      </c>
      <c r="E2958" s="23">
        <v>20</v>
      </c>
      <c r="F2958" s="23" t="s">
        <v>756</v>
      </c>
      <c r="G2958" s="23" t="s">
        <v>2286</v>
      </c>
      <c r="H2958" s="24">
        <v>47118</v>
      </c>
      <c r="I2958" s="24">
        <v>47118</v>
      </c>
      <c r="J2958" s="23" t="s">
        <v>4002</v>
      </c>
      <c r="K2958" s="23" t="s">
        <v>4002</v>
      </c>
      <c r="L2958" s="23">
        <v>1</v>
      </c>
      <c r="M2958" s="23" t="s">
        <v>78</v>
      </c>
      <c r="N2958" s="23" t="s">
        <v>78</v>
      </c>
      <c r="O2958" s="23">
        <v>504.8</v>
      </c>
      <c r="P2958" s="23" t="s">
        <v>79</v>
      </c>
      <c r="Q2958" s="23" t="s">
        <v>83</v>
      </c>
      <c r="R2958" s="23">
        <v>11100176</v>
      </c>
      <c r="S2958" s="24">
        <v>46073</v>
      </c>
      <c r="T2958" s="24">
        <v>46044</v>
      </c>
      <c r="U2958" s="24">
        <v>47116</v>
      </c>
      <c r="X2958" s="24">
        <v>46042</v>
      </c>
      <c r="Y2958" s="23">
        <v>1111</v>
      </c>
      <c r="Z2958" s="23">
        <v>11400704</v>
      </c>
      <c r="AA2958" s="23">
        <v>395103</v>
      </c>
      <c r="AB2958" s="24">
        <v>46038</v>
      </c>
    </row>
    <row r="2959" spans="2:28" x14ac:dyDescent="0.2">
      <c r="C2959" s="23">
        <v>1100574481</v>
      </c>
      <c r="E2959" s="23">
        <v>30</v>
      </c>
      <c r="F2959" s="23" t="s">
        <v>754</v>
      </c>
      <c r="G2959" s="23" t="s">
        <v>2260</v>
      </c>
      <c r="H2959" s="24">
        <v>47118</v>
      </c>
      <c r="I2959" s="24">
        <v>47118</v>
      </c>
      <c r="J2959" s="23" t="s">
        <v>4002</v>
      </c>
      <c r="K2959" s="23" t="s">
        <v>4002</v>
      </c>
      <c r="L2959" s="23">
        <v>2</v>
      </c>
      <c r="M2959" s="23" t="s">
        <v>78</v>
      </c>
      <c r="N2959" s="23" t="s">
        <v>78</v>
      </c>
      <c r="O2959" s="23">
        <v>113.88</v>
      </c>
      <c r="P2959" s="23" t="s">
        <v>79</v>
      </c>
      <c r="Q2959" s="23" t="s">
        <v>83</v>
      </c>
      <c r="R2959" s="23">
        <v>11100176</v>
      </c>
      <c r="S2959" s="24">
        <v>46073</v>
      </c>
      <c r="T2959" s="24">
        <v>46044</v>
      </c>
      <c r="U2959" s="24">
        <v>47116</v>
      </c>
      <c r="X2959" s="24">
        <v>46042</v>
      </c>
      <c r="Y2959" s="23">
        <v>1111</v>
      </c>
      <c r="Z2959" s="23">
        <v>11400704</v>
      </c>
      <c r="AA2959" s="23">
        <v>395103</v>
      </c>
      <c r="AB2959" s="24">
        <v>46038</v>
      </c>
    </row>
    <row r="2960" spans="2:28" x14ac:dyDescent="0.2">
      <c r="C2960" s="23">
        <v>1100574481</v>
      </c>
      <c r="E2960" s="23">
        <v>40</v>
      </c>
      <c r="F2960" s="23" t="s">
        <v>755</v>
      </c>
      <c r="G2960" s="23" t="s">
        <v>2894</v>
      </c>
      <c r="H2960" s="24">
        <v>47118</v>
      </c>
      <c r="I2960" s="24">
        <v>47118</v>
      </c>
      <c r="J2960" s="23" t="s">
        <v>4002</v>
      </c>
      <c r="K2960" s="23" t="s">
        <v>4002</v>
      </c>
      <c r="L2960" s="23">
        <v>3</v>
      </c>
      <c r="M2960" s="23" t="s">
        <v>78</v>
      </c>
      <c r="N2960" s="23" t="s">
        <v>78</v>
      </c>
      <c r="O2960" s="23">
        <v>785.13</v>
      </c>
      <c r="P2960" s="23" t="s">
        <v>79</v>
      </c>
      <c r="Q2960" s="23" t="s">
        <v>83</v>
      </c>
      <c r="R2960" s="23">
        <v>11100176</v>
      </c>
      <c r="S2960" s="24">
        <v>46073</v>
      </c>
      <c r="T2960" s="24">
        <v>46044</v>
      </c>
      <c r="U2960" s="24">
        <v>47116</v>
      </c>
      <c r="X2960" s="24">
        <v>46042</v>
      </c>
      <c r="Y2960" s="23">
        <v>1111</v>
      </c>
      <c r="Z2960" s="23">
        <v>11400704</v>
      </c>
      <c r="AA2960" s="23">
        <v>395103</v>
      </c>
      <c r="AB2960" s="24">
        <v>46038</v>
      </c>
    </row>
    <row r="2961" spans="3:28" x14ac:dyDescent="0.2">
      <c r="C2961" s="23">
        <v>1100574481</v>
      </c>
      <c r="E2961" s="23">
        <v>50</v>
      </c>
      <c r="F2961" s="23" t="s">
        <v>753</v>
      </c>
      <c r="G2961" s="23" t="s">
        <v>1880</v>
      </c>
      <c r="H2961" s="24">
        <v>47118</v>
      </c>
      <c r="I2961" s="24">
        <v>47118</v>
      </c>
      <c r="J2961" s="23" t="s">
        <v>4002</v>
      </c>
      <c r="K2961" s="23" t="s">
        <v>4002</v>
      </c>
      <c r="L2961" s="23">
        <v>1</v>
      </c>
      <c r="M2961" s="23" t="s">
        <v>78</v>
      </c>
      <c r="N2961" s="23" t="s">
        <v>78</v>
      </c>
      <c r="O2961" s="23">
        <v>536.54999999999995</v>
      </c>
      <c r="P2961" s="23" t="s">
        <v>79</v>
      </c>
      <c r="Q2961" s="23" t="s">
        <v>83</v>
      </c>
      <c r="R2961" s="23">
        <v>11100176</v>
      </c>
      <c r="S2961" s="24">
        <v>46073</v>
      </c>
      <c r="T2961" s="24">
        <v>46044</v>
      </c>
      <c r="U2961" s="24">
        <v>47116</v>
      </c>
      <c r="X2961" s="24">
        <v>46042</v>
      </c>
      <c r="Y2961" s="23">
        <v>1111</v>
      </c>
      <c r="Z2961" s="23">
        <v>11400704</v>
      </c>
      <c r="AA2961" s="23">
        <v>395103</v>
      </c>
      <c r="AB2961" s="24">
        <v>46038</v>
      </c>
    </row>
    <row r="2962" spans="3:28" x14ac:dyDescent="0.2">
      <c r="C2962" s="23">
        <v>1100574481</v>
      </c>
      <c r="E2962" s="23">
        <v>60</v>
      </c>
      <c r="F2962" s="23" t="s">
        <v>2164</v>
      </c>
      <c r="G2962" s="23" t="s">
        <v>2165</v>
      </c>
      <c r="H2962" s="24">
        <v>47118</v>
      </c>
      <c r="I2962" s="24">
        <v>47118</v>
      </c>
      <c r="J2962" s="23" t="s">
        <v>4002</v>
      </c>
      <c r="K2962" s="23" t="s">
        <v>4002</v>
      </c>
      <c r="L2962" s="23">
        <v>2</v>
      </c>
      <c r="M2962" s="23" t="s">
        <v>78</v>
      </c>
      <c r="N2962" s="23" t="s">
        <v>78</v>
      </c>
      <c r="O2962" s="23">
        <v>236.52</v>
      </c>
      <c r="P2962" s="23" t="s">
        <v>79</v>
      </c>
      <c r="Q2962" s="23" t="s">
        <v>83</v>
      </c>
      <c r="R2962" s="23">
        <v>11100176</v>
      </c>
      <c r="S2962" s="24">
        <v>46073</v>
      </c>
      <c r="T2962" s="24">
        <v>46044</v>
      </c>
      <c r="U2962" s="24">
        <v>47116</v>
      </c>
      <c r="X2962" s="24">
        <v>46042</v>
      </c>
      <c r="Y2962" s="23">
        <v>1111</v>
      </c>
      <c r="Z2962" s="23">
        <v>11400704</v>
      </c>
      <c r="AA2962" s="23">
        <v>395103</v>
      </c>
      <c r="AB2962" s="24">
        <v>46038</v>
      </c>
    </row>
    <row r="2963" spans="3:28" x14ac:dyDescent="0.2">
      <c r="C2963" s="23">
        <v>1100574481</v>
      </c>
      <c r="E2963" s="23">
        <v>70</v>
      </c>
      <c r="F2963" s="23" t="s">
        <v>3074</v>
      </c>
      <c r="G2963" s="23" t="s">
        <v>3075</v>
      </c>
      <c r="H2963" s="24">
        <v>47118</v>
      </c>
      <c r="I2963" s="24">
        <v>47118</v>
      </c>
      <c r="J2963" s="23" t="s">
        <v>4002</v>
      </c>
      <c r="K2963" s="23" t="s">
        <v>4002</v>
      </c>
      <c r="L2963" s="23">
        <v>2</v>
      </c>
      <c r="M2963" s="23" t="s">
        <v>78</v>
      </c>
      <c r="N2963" s="23" t="s">
        <v>78</v>
      </c>
      <c r="O2963" s="23">
        <v>65.7</v>
      </c>
      <c r="P2963" s="23" t="s">
        <v>79</v>
      </c>
      <c r="Q2963" s="23" t="s">
        <v>83</v>
      </c>
      <c r="R2963" s="23">
        <v>11100176</v>
      </c>
      <c r="S2963" s="24">
        <v>46073</v>
      </c>
      <c r="T2963" s="24">
        <v>46044</v>
      </c>
      <c r="U2963" s="24">
        <v>47116</v>
      </c>
      <c r="X2963" s="24">
        <v>46042</v>
      </c>
      <c r="Y2963" s="23">
        <v>1111</v>
      </c>
      <c r="Z2963" s="23">
        <v>11400704</v>
      </c>
      <c r="AA2963" s="23">
        <v>395103</v>
      </c>
      <c r="AB2963" s="24">
        <v>46038</v>
      </c>
    </row>
    <row r="2964" spans="3:28" x14ac:dyDescent="0.2">
      <c r="C2964" s="23">
        <v>1100574481</v>
      </c>
      <c r="E2964" s="23">
        <v>80</v>
      </c>
      <c r="F2964" s="23" t="s">
        <v>924</v>
      </c>
      <c r="G2964" s="23" t="s">
        <v>925</v>
      </c>
      <c r="H2964" s="24">
        <v>47118</v>
      </c>
      <c r="I2964" s="24">
        <v>47118</v>
      </c>
      <c r="J2964" s="23" t="s">
        <v>4002</v>
      </c>
      <c r="K2964" s="23" t="s">
        <v>4002</v>
      </c>
      <c r="L2964" s="23">
        <v>2</v>
      </c>
      <c r="M2964" s="23" t="s">
        <v>78</v>
      </c>
      <c r="N2964" s="23" t="s">
        <v>78</v>
      </c>
      <c r="O2964" s="23">
        <v>10.96</v>
      </c>
      <c r="P2964" s="23" t="s">
        <v>79</v>
      </c>
      <c r="Q2964" s="23" t="s">
        <v>83</v>
      </c>
      <c r="R2964" s="23">
        <v>11100176</v>
      </c>
      <c r="S2964" s="24">
        <v>46073</v>
      </c>
      <c r="T2964" s="24">
        <v>46044</v>
      </c>
      <c r="U2964" s="24">
        <v>47116</v>
      </c>
      <c r="X2964" s="24">
        <v>46042</v>
      </c>
      <c r="Y2964" s="23">
        <v>1111</v>
      </c>
      <c r="Z2964" s="23">
        <v>11400704</v>
      </c>
      <c r="AA2964" s="23">
        <v>395103</v>
      </c>
      <c r="AB2964" s="24">
        <v>46038</v>
      </c>
    </row>
    <row r="2965" spans="3:28" x14ac:dyDescent="0.2">
      <c r="C2965" s="23">
        <v>1100574481</v>
      </c>
      <c r="E2965" s="23">
        <v>90</v>
      </c>
      <c r="F2965" s="23" t="s">
        <v>3070</v>
      </c>
      <c r="G2965" s="23" t="s">
        <v>3071</v>
      </c>
      <c r="H2965" s="24">
        <v>47118</v>
      </c>
      <c r="I2965" s="24">
        <v>47118</v>
      </c>
      <c r="J2965" s="23" t="s">
        <v>4002</v>
      </c>
      <c r="K2965" s="23" t="s">
        <v>4002</v>
      </c>
      <c r="L2965" s="23">
        <v>2</v>
      </c>
      <c r="M2965" s="23" t="s">
        <v>78</v>
      </c>
      <c r="N2965" s="23" t="s">
        <v>78</v>
      </c>
      <c r="O2965" s="23">
        <v>30.66</v>
      </c>
      <c r="P2965" s="23" t="s">
        <v>79</v>
      </c>
      <c r="Q2965" s="23" t="s">
        <v>83</v>
      </c>
      <c r="R2965" s="23">
        <v>11100176</v>
      </c>
      <c r="S2965" s="24">
        <v>46073</v>
      </c>
      <c r="T2965" s="24">
        <v>46044</v>
      </c>
      <c r="U2965" s="24">
        <v>47116</v>
      </c>
      <c r="X2965" s="24">
        <v>46042</v>
      </c>
      <c r="Y2965" s="23">
        <v>1111</v>
      </c>
      <c r="Z2965" s="23">
        <v>11400704</v>
      </c>
      <c r="AA2965" s="23">
        <v>395103</v>
      </c>
      <c r="AB2965" s="24">
        <v>46038</v>
      </c>
    </row>
    <row r="2966" spans="3:28" x14ac:dyDescent="0.2">
      <c r="C2966" s="23">
        <v>1100574481</v>
      </c>
      <c r="E2966" s="23">
        <v>100</v>
      </c>
      <c r="F2966" s="23" t="s">
        <v>750</v>
      </c>
      <c r="G2966" s="23" t="s">
        <v>1783</v>
      </c>
      <c r="H2966" s="24">
        <v>47118</v>
      </c>
      <c r="I2966" s="24">
        <v>47118</v>
      </c>
      <c r="J2966" s="23" t="s">
        <v>4002</v>
      </c>
      <c r="K2966" s="23" t="s">
        <v>4002</v>
      </c>
      <c r="L2966" s="23">
        <v>2</v>
      </c>
      <c r="M2966" s="23" t="s">
        <v>78</v>
      </c>
      <c r="N2966" s="23" t="s">
        <v>78</v>
      </c>
      <c r="O2966" s="23">
        <v>293.45999999999998</v>
      </c>
      <c r="P2966" s="23" t="s">
        <v>79</v>
      </c>
      <c r="Q2966" s="23" t="s">
        <v>83</v>
      </c>
      <c r="R2966" s="23">
        <v>11100176</v>
      </c>
      <c r="S2966" s="24">
        <v>46073</v>
      </c>
      <c r="T2966" s="24">
        <v>46044</v>
      </c>
      <c r="U2966" s="24">
        <v>47116</v>
      </c>
      <c r="X2966" s="24">
        <v>46042</v>
      </c>
      <c r="Y2966" s="23">
        <v>1111</v>
      </c>
      <c r="Z2966" s="23">
        <v>11400704</v>
      </c>
      <c r="AA2966" s="23">
        <v>395103</v>
      </c>
      <c r="AB2966" s="24">
        <v>46038</v>
      </c>
    </row>
    <row r="2967" spans="3:28" x14ac:dyDescent="0.2">
      <c r="C2967" s="23">
        <v>1100574481</v>
      </c>
      <c r="E2967" s="23">
        <v>110</v>
      </c>
      <c r="F2967" s="23" t="s">
        <v>2842</v>
      </c>
      <c r="G2967" s="23" t="s">
        <v>2843</v>
      </c>
      <c r="H2967" s="24">
        <v>47118</v>
      </c>
      <c r="I2967" s="24">
        <v>47118</v>
      </c>
      <c r="J2967" s="23" t="s">
        <v>4002</v>
      </c>
      <c r="K2967" s="23" t="s">
        <v>4002</v>
      </c>
      <c r="L2967" s="23">
        <v>1</v>
      </c>
      <c r="M2967" s="23" t="s">
        <v>78</v>
      </c>
      <c r="N2967" s="23" t="s">
        <v>78</v>
      </c>
      <c r="O2967" s="23">
        <v>5.48</v>
      </c>
      <c r="P2967" s="23" t="s">
        <v>79</v>
      </c>
      <c r="Q2967" s="23" t="s">
        <v>83</v>
      </c>
      <c r="R2967" s="23">
        <v>11100176</v>
      </c>
      <c r="S2967" s="24">
        <v>46073</v>
      </c>
      <c r="T2967" s="24">
        <v>46044</v>
      </c>
      <c r="U2967" s="24">
        <v>47116</v>
      </c>
      <c r="X2967" s="24">
        <v>46042</v>
      </c>
      <c r="Y2967" s="23">
        <v>1111</v>
      </c>
      <c r="Z2967" s="23">
        <v>11400704</v>
      </c>
      <c r="AA2967" s="23">
        <v>395103</v>
      </c>
      <c r="AB2967" s="24">
        <v>46038</v>
      </c>
    </row>
    <row r="2968" spans="3:28" x14ac:dyDescent="0.2">
      <c r="C2968" s="23">
        <v>1100574481</v>
      </c>
      <c r="E2968" s="23">
        <v>120</v>
      </c>
      <c r="F2968" s="23" t="s">
        <v>673</v>
      </c>
      <c r="G2968" s="23" t="s">
        <v>674</v>
      </c>
      <c r="H2968" s="24">
        <v>47118</v>
      </c>
      <c r="I2968" s="24">
        <v>47118</v>
      </c>
      <c r="J2968" s="23" t="s">
        <v>4002</v>
      </c>
      <c r="K2968" s="23" t="s">
        <v>4002</v>
      </c>
      <c r="L2968" s="23">
        <v>1</v>
      </c>
      <c r="M2968" s="23" t="s">
        <v>78</v>
      </c>
      <c r="N2968" s="23" t="s">
        <v>78</v>
      </c>
      <c r="O2968" s="23">
        <v>4.38</v>
      </c>
      <c r="P2968" s="23" t="s">
        <v>79</v>
      </c>
      <c r="Q2968" s="23" t="s">
        <v>83</v>
      </c>
      <c r="R2968" s="23">
        <v>11100176</v>
      </c>
      <c r="S2968" s="24">
        <v>46073</v>
      </c>
      <c r="T2968" s="24">
        <v>46044</v>
      </c>
      <c r="U2968" s="24">
        <v>47116</v>
      </c>
      <c r="X2968" s="24">
        <v>46042</v>
      </c>
      <c r="Y2968" s="23">
        <v>1111</v>
      </c>
      <c r="Z2968" s="23">
        <v>11400704</v>
      </c>
      <c r="AA2968" s="23">
        <v>395103</v>
      </c>
      <c r="AB2968" s="24">
        <v>46038</v>
      </c>
    </row>
    <row r="2969" spans="3:28" x14ac:dyDescent="0.2">
      <c r="C2969" s="23">
        <v>1100574481</v>
      </c>
      <c r="E2969" s="23">
        <v>130</v>
      </c>
      <c r="F2969" s="23" t="s">
        <v>672</v>
      </c>
      <c r="G2969" s="23" t="s">
        <v>1782</v>
      </c>
      <c r="H2969" s="24">
        <v>47118</v>
      </c>
      <c r="I2969" s="24">
        <v>47118</v>
      </c>
      <c r="J2969" s="23" t="s">
        <v>4002</v>
      </c>
      <c r="K2969" s="23" t="s">
        <v>4002</v>
      </c>
      <c r="L2969" s="23">
        <v>1</v>
      </c>
      <c r="M2969" s="23" t="s">
        <v>78</v>
      </c>
      <c r="N2969" s="23" t="s">
        <v>78</v>
      </c>
      <c r="O2969" s="23">
        <v>171.92</v>
      </c>
      <c r="P2969" s="23" t="s">
        <v>79</v>
      </c>
      <c r="Q2969" s="23" t="s">
        <v>83</v>
      </c>
      <c r="R2969" s="23">
        <v>11100176</v>
      </c>
      <c r="S2969" s="24">
        <v>46073</v>
      </c>
      <c r="T2969" s="24">
        <v>46044</v>
      </c>
      <c r="U2969" s="24">
        <v>47116</v>
      </c>
      <c r="X2969" s="24">
        <v>46042</v>
      </c>
      <c r="Y2969" s="23">
        <v>1111</v>
      </c>
      <c r="Z2969" s="23">
        <v>11400704</v>
      </c>
      <c r="AA2969" s="23">
        <v>395103</v>
      </c>
      <c r="AB2969" s="24">
        <v>46038</v>
      </c>
    </row>
    <row r="2970" spans="3:28" x14ac:dyDescent="0.2">
      <c r="C2970" s="23">
        <v>1100574481</v>
      </c>
      <c r="E2970" s="23">
        <v>140</v>
      </c>
      <c r="F2970" s="23" t="s">
        <v>687</v>
      </c>
      <c r="G2970" s="23" t="s">
        <v>688</v>
      </c>
      <c r="H2970" s="24">
        <v>47118</v>
      </c>
      <c r="I2970" s="24">
        <v>47118</v>
      </c>
      <c r="J2970" s="23" t="s">
        <v>4002</v>
      </c>
      <c r="K2970" s="23" t="s">
        <v>4002</v>
      </c>
      <c r="L2970" s="23">
        <v>1</v>
      </c>
      <c r="M2970" s="23" t="s">
        <v>78</v>
      </c>
      <c r="N2970" s="23" t="s">
        <v>78</v>
      </c>
      <c r="O2970" s="23">
        <v>142.35</v>
      </c>
      <c r="P2970" s="23" t="s">
        <v>79</v>
      </c>
      <c r="Q2970" s="23" t="s">
        <v>83</v>
      </c>
      <c r="R2970" s="23">
        <v>11100176</v>
      </c>
      <c r="S2970" s="24">
        <v>46073</v>
      </c>
      <c r="T2970" s="24">
        <v>46044</v>
      </c>
      <c r="U2970" s="24">
        <v>47116</v>
      </c>
      <c r="X2970" s="24">
        <v>46042</v>
      </c>
      <c r="Y2970" s="23">
        <v>1111</v>
      </c>
      <c r="Z2970" s="23">
        <v>11400704</v>
      </c>
      <c r="AA2970" s="23">
        <v>395103</v>
      </c>
      <c r="AB2970" s="24">
        <v>46038</v>
      </c>
    </row>
    <row r="2971" spans="3:28" x14ac:dyDescent="0.2">
      <c r="C2971" s="23">
        <v>1100574481</v>
      </c>
      <c r="E2971" s="23">
        <v>150</v>
      </c>
      <c r="F2971" s="23" t="s">
        <v>808</v>
      </c>
      <c r="G2971" s="23" t="s">
        <v>809</v>
      </c>
      <c r="H2971" s="24">
        <v>47118</v>
      </c>
      <c r="I2971" s="24">
        <v>47118</v>
      </c>
      <c r="J2971" s="23" t="s">
        <v>4002</v>
      </c>
      <c r="K2971" s="23" t="s">
        <v>4002</v>
      </c>
      <c r="L2971" s="23">
        <v>3</v>
      </c>
      <c r="M2971" s="23" t="s">
        <v>78</v>
      </c>
      <c r="N2971" s="23" t="s">
        <v>78</v>
      </c>
      <c r="O2971" s="23">
        <v>49.29</v>
      </c>
      <c r="P2971" s="23" t="s">
        <v>79</v>
      </c>
      <c r="Q2971" s="23" t="s">
        <v>83</v>
      </c>
      <c r="R2971" s="23">
        <v>11100176</v>
      </c>
      <c r="S2971" s="24">
        <v>46073</v>
      </c>
      <c r="T2971" s="24">
        <v>46044</v>
      </c>
      <c r="U2971" s="24">
        <v>47116</v>
      </c>
      <c r="X2971" s="24">
        <v>46042</v>
      </c>
      <c r="Y2971" s="23">
        <v>1111</v>
      </c>
      <c r="Z2971" s="23">
        <v>11400704</v>
      </c>
      <c r="AA2971" s="23">
        <v>395103</v>
      </c>
      <c r="AB2971" s="24">
        <v>46038</v>
      </c>
    </row>
    <row r="2972" spans="3:28" x14ac:dyDescent="0.2">
      <c r="C2972" s="23">
        <v>1100574481</v>
      </c>
      <c r="E2972" s="23">
        <v>160</v>
      </c>
      <c r="F2972" s="23" t="s">
        <v>2033</v>
      </c>
      <c r="G2972" s="23" t="s">
        <v>2034</v>
      </c>
      <c r="H2972" s="24">
        <v>47118</v>
      </c>
      <c r="I2972" s="24">
        <v>47118</v>
      </c>
      <c r="J2972" s="23" t="s">
        <v>4002</v>
      </c>
      <c r="K2972" s="23" t="s">
        <v>4002</v>
      </c>
      <c r="L2972" s="23">
        <v>1</v>
      </c>
      <c r="M2972" s="23" t="s">
        <v>78</v>
      </c>
      <c r="N2972" s="23" t="s">
        <v>78</v>
      </c>
      <c r="O2972" s="23">
        <v>6.57</v>
      </c>
      <c r="P2972" s="23" t="s">
        <v>79</v>
      </c>
      <c r="Q2972" s="23" t="s">
        <v>83</v>
      </c>
      <c r="R2972" s="23">
        <v>11100176</v>
      </c>
      <c r="S2972" s="24">
        <v>46073</v>
      </c>
      <c r="T2972" s="24">
        <v>46044</v>
      </c>
      <c r="U2972" s="24">
        <v>47116</v>
      </c>
      <c r="X2972" s="24">
        <v>46042</v>
      </c>
      <c r="Y2972" s="23">
        <v>1111</v>
      </c>
      <c r="Z2972" s="23">
        <v>11400704</v>
      </c>
      <c r="AA2972" s="23">
        <v>395103</v>
      </c>
      <c r="AB2972" s="24">
        <v>46038</v>
      </c>
    </row>
    <row r="2973" spans="3:28" x14ac:dyDescent="0.2">
      <c r="C2973" s="23">
        <v>1100574481</v>
      </c>
      <c r="E2973" s="23">
        <v>170</v>
      </c>
      <c r="F2973" s="23" t="s">
        <v>3072</v>
      </c>
      <c r="G2973" s="23" t="s">
        <v>3073</v>
      </c>
      <c r="H2973" s="24">
        <v>47118</v>
      </c>
      <c r="I2973" s="24">
        <v>47118</v>
      </c>
      <c r="J2973" s="23" t="s">
        <v>4002</v>
      </c>
      <c r="K2973" s="23" t="s">
        <v>4002</v>
      </c>
      <c r="L2973" s="23">
        <v>4</v>
      </c>
      <c r="M2973" s="23" t="s">
        <v>78</v>
      </c>
      <c r="N2973" s="23" t="s">
        <v>78</v>
      </c>
      <c r="O2973" s="23">
        <v>26.28</v>
      </c>
      <c r="P2973" s="23" t="s">
        <v>79</v>
      </c>
      <c r="Q2973" s="23" t="s">
        <v>83</v>
      </c>
      <c r="R2973" s="23">
        <v>11100176</v>
      </c>
      <c r="S2973" s="24">
        <v>46073</v>
      </c>
      <c r="T2973" s="24">
        <v>46044</v>
      </c>
      <c r="U2973" s="24">
        <v>47116</v>
      </c>
      <c r="X2973" s="24">
        <v>46042</v>
      </c>
      <c r="Y2973" s="23">
        <v>1111</v>
      </c>
      <c r="Z2973" s="23">
        <v>11400704</v>
      </c>
      <c r="AA2973" s="23">
        <v>395103</v>
      </c>
      <c r="AB2973" s="24">
        <v>46038</v>
      </c>
    </row>
    <row r="2974" spans="3:28" x14ac:dyDescent="0.2">
      <c r="C2974" s="23">
        <v>1100574481</v>
      </c>
      <c r="E2974" s="23">
        <v>180</v>
      </c>
      <c r="F2974" s="23" t="s">
        <v>1937</v>
      </c>
      <c r="G2974" s="23" t="s">
        <v>1938</v>
      </c>
      <c r="H2974" s="24">
        <v>47118</v>
      </c>
      <c r="I2974" s="24">
        <v>47118</v>
      </c>
      <c r="J2974" s="23" t="s">
        <v>4002</v>
      </c>
      <c r="K2974" s="23" t="s">
        <v>4002</v>
      </c>
      <c r="L2974" s="23">
        <v>2</v>
      </c>
      <c r="M2974" s="23" t="s">
        <v>78</v>
      </c>
      <c r="N2974" s="23" t="s">
        <v>78</v>
      </c>
      <c r="O2974" s="23">
        <v>302.22000000000003</v>
      </c>
      <c r="P2974" s="23" t="s">
        <v>79</v>
      </c>
      <c r="Q2974" s="23" t="s">
        <v>83</v>
      </c>
      <c r="R2974" s="23">
        <v>11100176</v>
      </c>
      <c r="S2974" s="24">
        <v>46073</v>
      </c>
      <c r="T2974" s="24">
        <v>46044</v>
      </c>
      <c r="U2974" s="24">
        <v>47116</v>
      </c>
      <c r="X2974" s="24">
        <v>46042</v>
      </c>
      <c r="Y2974" s="23">
        <v>1111</v>
      </c>
      <c r="Z2974" s="23">
        <v>11400704</v>
      </c>
      <c r="AA2974" s="23">
        <v>395103</v>
      </c>
      <c r="AB2974" s="24">
        <v>46038</v>
      </c>
    </row>
    <row r="2975" spans="3:28" x14ac:dyDescent="0.2">
      <c r="C2975" s="23">
        <v>1100574481</v>
      </c>
      <c r="E2975" s="23">
        <v>190</v>
      </c>
      <c r="F2975" s="23" t="s">
        <v>4003</v>
      </c>
      <c r="G2975" s="23" t="s">
        <v>4004</v>
      </c>
      <c r="H2975" s="24">
        <v>47118</v>
      </c>
      <c r="I2975" s="24">
        <v>47118</v>
      </c>
      <c r="J2975" s="23" t="s">
        <v>4002</v>
      </c>
      <c r="K2975" s="23" t="s">
        <v>4002</v>
      </c>
      <c r="L2975" s="23">
        <v>4</v>
      </c>
      <c r="M2975" s="23" t="s">
        <v>78</v>
      </c>
      <c r="N2975" s="23" t="s">
        <v>78</v>
      </c>
      <c r="O2975" s="23">
        <v>928.56</v>
      </c>
      <c r="P2975" s="23" t="s">
        <v>79</v>
      </c>
      <c r="Q2975" s="23" t="s">
        <v>83</v>
      </c>
      <c r="R2975" s="23">
        <v>11100176</v>
      </c>
      <c r="S2975" s="24">
        <v>46073</v>
      </c>
      <c r="T2975" s="24">
        <v>46044</v>
      </c>
      <c r="U2975" s="24">
        <v>47116</v>
      </c>
      <c r="X2975" s="24">
        <v>46042</v>
      </c>
      <c r="Y2975" s="23">
        <v>1111</v>
      </c>
      <c r="Z2975" s="23">
        <v>11400704</v>
      </c>
      <c r="AA2975" s="23">
        <v>395103</v>
      </c>
      <c r="AB2975" s="24">
        <v>46038</v>
      </c>
    </row>
    <row r="2976" spans="3:28" x14ac:dyDescent="0.2">
      <c r="C2976" s="23">
        <v>1100574481</v>
      </c>
      <c r="E2976" s="23">
        <v>200</v>
      </c>
      <c r="F2976" s="23" t="s">
        <v>4005</v>
      </c>
      <c r="G2976" s="23" t="s">
        <v>4006</v>
      </c>
      <c r="H2976" s="24">
        <v>47118</v>
      </c>
      <c r="I2976" s="24">
        <v>47118</v>
      </c>
      <c r="J2976" s="23" t="s">
        <v>4002</v>
      </c>
      <c r="K2976" s="23" t="s">
        <v>4002</v>
      </c>
      <c r="L2976" s="23">
        <v>2</v>
      </c>
      <c r="M2976" s="23" t="s">
        <v>78</v>
      </c>
      <c r="N2976" s="23" t="s">
        <v>78</v>
      </c>
      <c r="O2976" s="23">
        <v>464.28</v>
      </c>
      <c r="P2976" s="23" t="s">
        <v>79</v>
      </c>
      <c r="Q2976" s="23" t="s">
        <v>83</v>
      </c>
      <c r="R2976" s="23">
        <v>11100176</v>
      </c>
      <c r="S2976" s="24">
        <v>46073</v>
      </c>
      <c r="T2976" s="24">
        <v>46044</v>
      </c>
      <c r="U2976" s="24">
        <v>47116</v>
      </c>
      <c r="X2976" s="24">
        <v>46042</v>
      </c>
      <c r="Y2976" s="23">
        <v>1111</v>
      </c>
      <c r="Z2976" s="23">
        <v>11400704</v>
      </c>
      <c r="AA2976" s="23">
        <v>395103</v>
      </c>
      <c r="AB2976" s="24">
        <v>46038</v>
      </c>
    </row>
    <row r="2977" spans="2:28" x14ac:dyDescent="0.2">
      <c r="C2977" s="23">
        <v>1100574481</v>
      </c>
      <c r="E2977" s="23">
        <v>210</v>
      </c>
      <c r="F2977" s="23" t="s">
        <v>82</v>
      </c>
      <c r="G2977" s="23" t="s">
        <v>139</v>
      </c>
      <c r="H2977" s="24">
        <v>47118</v>
      </c>
      <c r="I2977" s="24">
        <v>47118</v>
      </c>
      <c r="J2977" s="23" t="s">
        <v>4002</v>
      </c>
      <c r="K2977" s="23" t="s">
        <v>4002</v>
      </c>
      <c r="L2977" s="23">
        <v>1</v>
      </c>
      <c r="M2977" s="23" t="s">
        <v>78</v>
      </c>
      <c r="N2977" s="23" t="s">
        <v>78</v>
      </c>
      <c r="O2977" s="23">
        <v>0</v>
      </c>
      <c r="P2977" s="23" t="s">
        <v>79</v>
      </c>
      <c r="Q2977" s="23" t="s">
        <v>83</v>
      </c>
      <c r="R2977" s="23">
        <v>11100176</v>
      </c>
      <c r="S2977" s="24" t="s">
        <v>80</v>
      </c>
      <c r="T2977" s="24">
        <v>46044</v>
      </c>
      <c r="U2977" s="24">
        <v>47116</v>
      </c>
      <c r="X2977" s="24">
        <v>46042</v>
      </c>
      <c r="Y2977" s="23">
        <v>1111</v>
      </c>
      <c r="Z2977" s="23">
        <v>11400704</v>
      </c>
      <c r="AA2977" s="23">
        <v>395103</v>
      </c>
      <c r="AB2977" s="24">
        <v>46038</v>
      </c>
    </row>
    <row r="2978" spans="2:28" x14ac:dyDescent="0.2">
      <c r="B2978" s="23" t="s">
        <v>81</v>
      </c>
      <c r="C2978" s="23">
        <v>1100574481</v>
      </c>
      <c r="H2978" s="24">
        <v>47118</v>
      </c>
      <c r="O2978" s="23">
        <v>10587.61</v>
      </c>
      <c r="P2978" s="23" t="s">
        <v>79</v>
      </c>
    </row>
    <row r="2979" spans="2:28" x14ac:dyDescent="0.2">
      <c r="C2979" s="23">
        <v>1100574782</v>
      </c>
      <c r="E2979" s="23">
        <v>10</v>
      </c>
      <c r="F2979" s="23" t="s">
        <v>87</v>
      </c>
      <c r="G2979" s="23" t="s">
        <v>4007</v>
      </c>
      <c r="H2979" s="24">
        <v>47118</v>
      </c>
      <c r="I2979" s="24">
        <v>47118</v>
      </c>
      <c r="J2979" s="23" t="s">
        <v>253</v>
      </c>
      <c r="K2979" s="23" t="s">
        <v>253</v>
      </c>
      <c r="L2979" s="23">
        <v>1</v>
      </c>
      <c r="M2979" s="23" t="s">
        <v>78</v>
      </c>
      <c r="N2979" s="23" t="s">
        <v>78</v>
      </c>
      <c r="O2979" s="23">
        <v>6299.7</v>
      </c>
      <c r="P2979" s="23" t="s">
        <v>79</v>
      </c>
      <c r="Q2979" s="23" t="s">
        <v>83</v>
      </c>
      <c r="R2979" s="23">
        <v>11100176</v>
      </c>
      <c r="S2979" s="24">
        <v>46121</v>
      </c>
      <c r="T2979" s="24">
        <v>46048</v>
      </c>
      <c r="U2979" s="24">
        <v>47116</v>
      </c>
      <c r="X2979" s="24">
        <v>46044</v>
      </c>
      <c r="Y2979" s="23">
        <v>1111</v>
      </c>
      <c r="Z2979" s="23">
        <v>11100137</v>
      </c>
      <c r="AA2979" s="23">
        <v>3951</v>
      </c>
      <c r="AB2979" s="24">
        <v>46043</v>
      </c>
    </row>
    <row r="2980" spans="2:28" x14ac:dyDescent="0.2">
      <c r="C2980" s="23">
        <v>1100574782</v>
      </c>
      <c r="E2980" s="23">
        <v>20</v>
      </c>
      <c r="F2980" s="23" t="s">
        <v>84</v>
      </c>
      <c r="G2980" s="23" t="s">
        <v>123</v>
      </c>
      <c r="H2980" s="24">
        <v>47118</v>
      </c>
      <c r="I2980" s="24">
        <v>47118</v>
      </c>
      <c r="J2980" s="23" t="s">
        <v>253</v>
      </c>
      <c r="K2980" s="23" t="s">
        <v>253</v>
      </c>
      <c r="L2980" s="23">
        <v>1</v>
      </c>
      <c r="M2980" s="23" t="s">
        <v>78</v>
      </c>
      <c r="N2980" s="23" t="s">
        <v>78</v>
      </c>
      <c r="O2980" s="23">
        <v>0.01</v>
      </c>
      <c r="P2980" s="23" t="s">
        <v>79</v>
      </c>
      <c r="Q2980" s="23" t="s">
        <v>83</v>
      </c>
      <c r="R2980" s="23">
        <v>11100176</v>
      </c>
      <c r="S2980" s="24" t="s">
        <v>80</v>
      </c>
      <c r="T2980" s="24">
        <v>46048</v>
      </c>
      <c r="U2980" s="24">
        <v>47116</v>
      </c>
      <c r="X2980" s="24">
        <v>46044</v>
      </c>
      <c r="Y2980" s="23">
        <v>1111</v>
      </c>
      <c r="Z2980" s="23">
        <v>11100137</v>
      </c>
      <c r="AA2980" s="23">
        <v>3951</v>
      </c>
      <c r="AB2980" s="24">
        <v>46043</v>
      </c>
    </row>
    <row r="2981" spans="2:28" x14ac:dyDescent="0.2">
      <c r="B2981" s="23" t="s">
        <v>81</v>
      </c>
      <c r="C2981" s="23">
        <v>1100574782</v>
      </c>
      <c r="H2981" s="24">
        <v>47118</v>
      </c>
      <c r="O2981" s="23">
        <v>6299.71</v>
      </c>
      <c r="P2981" s="23" t="s">
        <v>79</v>
      </c>
    </row>
    <row r="2982" spans="2:28" x14ac:dyDescent="0.2">
      <c r="C2982" s="23">
        <v>1100574809</v>
      </c>
      <c r="E2982" s="23">
        <v>30</v>
      </c>
      <c r="F2982" s="23" t="s">
        <v>84</v>
      </c>
      <c r="G2982" s="23" t="s">
        <v>123</v>
      </c>
      <c r="H2982" s="24">
        <v>47118</v>
      </c>
      <c r="I2982" s="24">
        <v>47118</v>
      </c>
      <c r="J2982" s="23" t="s">
        <v>4008</v>
      </c>
      <c r="K2982" s="23" t="s">
        <v>4008</v>
      </c>
      <c r="L2982" s="23">
        <v>1</v>
      </c>
      <c r="M2982" s="23" t="s">
        <v>78</v>
      </c>
      <c r="N2982" s="23" t="s">
        <v>78</v>
      </c>
      <c r="O2982" s="23">
        <v>0.01</v>
      </c>
      <c r="P2982" s="23" t="s">
        <v>79</v>
      </c>
      <c r="Q2982" s="23" t="s">
        <v>83</v>
      </c>
      <c r="R2982" s="23">
        <v>11100018</v>
      </c>
      <c r="S2982" s="24" t="s">
        <v>80</v>
      </c>
      <c r="T2982" s="24">
        <v>46048</v>
      </c>
      <c r="U2982" s="24">
        <v>47116</v>
      </c>
      <c r="X2982" s="24">
        <v>46045</v>
      </c>
      <c r="Y2982" s="23">
        <v>1111</v>
      </c>
      <c r="Z2982" s="23">
        <v>11400745</v>
      </c>
      <c r="AA2982" s="23">
        <v>5151</v>
      </c>
      <c r="AB2982" s="24">
        <v>46045</v>
      </c>
    </row>
    <row r="2983" spans="2:28" x14ac:dyDescent="0.2">
      <c r="B2983" s="23" t="s">
        <v>81</v>
      </c>
      <c r="C2983" s="23">
        <v>1100574809</v>
      </c>
      <c r="H2983" s="24">
        <v>47118</v>
      </c>
      <c r="O2983" s="23">
        <v>0.01</v>
      </c>
      <c r="P2983" s="23" t="s">
        <v>79</v>
      </c>
    </row>
    <row r="2984" spans="2:28" x14ac:dyDescent="0.2">
      <c r="C2984" s="23">
        <v>1100574928</v>
      </c>
      <c r="E2984" s="23">
        <v>20</v>
      </c>
      <c r="F2984" s="23" t="s">
        <v>2202</v>
      </c>
      <c r="G2984" s="23" t="s">
        <v>4009</v>
      </c>
      <c r="H2984" s="24">
        <v>47118</v>
      </c>
      <c r="I2984" s="24">
        <v>47118</v>
      </c>
      <c r="J2984" s="23" t="s">
        <v>1079</v>
      </c>
      <c r="K2984" s="23" t="s">
        <v>1079</v>
      </c>
      <c r="L2984" s="23">
        <v>1</v>
      </c>
      <c r="M2984" s="23" t="s">
        <v>78</v>
      </c>
      <c r="N2984" s="23" t="s">
        <v>78</v>
      </c>
      <c r="O2984" s="23">
        <v>1382.76</v>
      </c>
      <c r="P2984" s="23" t="s">
        <v>79</v>
      </c>
      <c r="Q2984" s="23" t="s">
        <v>83</v>
      </c>
      <c r="R2984" s="23">
        <v>11100008</v>
      </c>
      <c r="S2984" s="24" t="s">
        <v>80</v>
      </c>
      <c r="T2984" s="24">
        <v>46049</v>
      </c>
      <c r="U2984" s="24">
        <v>47116</v>
      </c>
      <c r="X2984" s="24">
        <v>46049</v>
      </c>
      <c r="Y2984" s="23">
        <v>1111</v>
      </c>
      <c r="Z2984" s="23">
        <v>11100172</v>
      </c>
      <c r="AA2984" s="23">
        <v>3555</v>
      </c>
      <c r="AB2984" s="24">
        <v>46049</v>
      </c>
    </row>
    <row r="2985" spans="2:28" x14ac:dyDescent="0.2">
      <c r="B2985" s="23" t="s">
        <v>81</v>
      </c>
      <c r="C2985" s="23">
        <v>1100574928</v>
      </c>
      <c r="H2985" s="24">
        <v>47118</v>
      </c>
      <c r="O2985" s="23">
        <v>1382.76</v>
      </c>
      <c r="P2985" s="23" t="s">
        <v>79</v>
      </c>
    </row>
    <row r="2986" spans="2:28" x14ac:dyDescent="0.2">
      <c r="C2986" s="23">
        <v>1100574929</v>
      </c>
      <c r="E2986" s="23">
        <v>20</v>
      </c>
      <c r="F2986" s="23" t="s">
        <v>2202</v>
      </c>
      <c r="G2986" s="23" t="s">
        <v>4009</v>
      </c>
      <c r="H2986" s="24">
        <v>47118</v>
      </c>
      <c r="I2986" s="24">
        <v>47118</v>
      </c>
      <c r="J2986" s="23" t="s">
        <v>4010</v>
      </c>
      <c r="K2986" s="23" t="s">
        <v>4010</v>
      </c>
      <c r="L2986" s="23">
        <v>1</v>
      </c>
      <c r="M2986" s="23" t="s">
        <v>78</v>
      </c>
      <c r="N2986" s="23" t="s">
        <v>78</v>
      </c>
      <c r="O2986" s="23">
        <v>1382.76</v>
      </c>
      <c r="P2986" s="23" t="s">
        <v>79</v>
      </c>
      <c r="Q2986" s="23" t="s">
        <v>83</v>
      </c>
      <c r="S2986" s="24" t="s">
        <v>80</v>
      </c>
      <c r="T2986" s="24">
        <v>46049</v>
      </c>
      <c r="U2986" s="24">
        <v>47116</v>
      </c>
      <c r="X2986" s="24">
        <v>46049</v>
      </c>
      <c r="Y2986" s="23">
        <v>1111</v>
      </c>
      <c r="Z2986" s="23">
        <v>11100172</v>
      </c>
      <c r="AA2986" s="23">
        <v>3555</v>
      </c>
      <c r="AB2986" s="24">
        <v>46049</v>
      </c>
    </row>
    <row r="2987" spans="2:28" x14ac:dyDescent="0.2">
      <c r="B2987" s="23" t="s">
        <v>81</v>
      </c>
      <c r="C2987" s="23">
        <v>1100574929</v>
      </c>
      <c r="H2987" s="24">
        <v>47118</v>
      </c>
      <c r="O2987" s="23">
        <v>1382.76</v>
      </c>
      <c r="P2987" s="23" t="s">
        <v>79</v>
      </c>
    </row>
    <row r="2988" spans="2:28" x14ac:dyDescent="0.2">
      <c r="C2988" s="23">
        <v>1100575159</v>
      </c>
      <c r="E2988" s="23">
        <v>20</v>
      </c>
      <c r="F2988" s="23" t="s">
        <v>1085</v>
      </c>
      <c r="G2988" s="23" t="s">
        <v>1086</v>
      </c>
      <c r="H2988" s="24">
        <v>47118</v>
      </c>
      <c r="I2988" s="24">
        <v>47118</v>
      </c>
      <c r="J2988" s="23" t="s">
        <v>3811</v>
      </c>
      <c r="K2988" s="23" t="s">
        <v>3811</v>
      </c>
      <c r="L2988" s="23">
        <v>1</v>
      </c>
      <c r="M2988" s="23" t="s">
        <v>78</v>
      </c>
      <c r="N2988" s="23" t="s">
        <v>78</v>
      </c>
      <c r="O2988" s="23">
        <v>4197.83</v>
      </c>
      <c r="P2988" s="23" t="s">
        <v>79</v>
      </c>
      <c r="Q2988" s="23" t="s">
        <v>83</v>
      </c>
      <c r="R2988" s="23">
        <v>11100176</v>
      </c>
      <c r="S2988" s="24">
        <v>46064</v>
      </c>
      <c r="T2988" s="24">
        <v>46050</v>
      </c>
      <c r="U2988" s="24">
        <v>47116</v>
      </c>
      <c r="X2988" s="24">
        <v>46049</v>
      </c>
      <c r="Y2988" s="23">
        <v>1111</v>
      </c>
      <c r="Z2988" s="23">
        <v>11400745</v>
      </c>
      <c r="AA2988" s="23">
        <v>3351</v>
      </c>
      <c r="AB2988" s="24">
        <v>46049</v>
      </c>
    </row>
    <row r="2989" spans="2:28" x14ac:dyDescent="0.2">
      <c r="B2989" s="23" t="s">
        <v>81</v>
      </c>
      <c r="C2989" s="23">
        <v>1100575159</v>
      </c>
      <c r="H2989" s="24">
        <v>47118</v>
      </c>
      <c r="O2989" s="23">
        <v>4197.83</v>
      </c>
      <c r="P2989" s="23" t="s">
        <v>79</v>
      </c>
    </row>
    <row r="2990" spans="2:28" x14ac:dyDescent="0.2">
      <c r="C2990" s="23">
        <v>1100575177</v>
      </c>
      <c r="E2990" s="23">
        <v>10</v>
      </c>
      <c r="F2990" s="23" t="s">
        <v>680</v>
      </c>
      <c r="G2990" s="23" t="s">
        <v>681</v>
      </c>
      <c r="H2990" s="24">
        <v>47118</v>
      </c>
      <c r="I2990" s="24">
        <v>47118</v>
      </c>
      <c r="J2990" s="23" t="s">
        <v>4011</v>
      </c>
      <c r="K2990" s="23" t="s">
        <v>4011</v>
      </c>
      <c r="L2990" s="23">
        <v>2</v>
      </c>
      <c r="M2990" s="23" t="s">
        <v>78</v>
      </c>
      <c r="N2990" s="23" t="s">
        <v>78</v>
      </c>
      <c r="O2990" s="23">
        <v>2021.94</v>
      </c>
      <c r="P2990" s="23" t="s">
        <v>79</v>
      </c>
      <c r="Q2990" s="23" t="s">
        <v>83</v>
      </c>
      <c r="R2990" s="23">
        <v>11100176</v>
      </c>
      <c r="S2990" s="24">
        <v>46079</v>
      </c>
      <c r="T2990" s="24">
        <v>46050</v>
      </c>
      <c r="U2990" s="24">
        <v>47116</v>
      </c>
      <c r="X2990" s="24">
        <v>46049</v>
      </c>
      <c r="Y2990" s="23">
        <v>1111</v>
      </c>
      <c r="Z2990" s="23">
        <v>11100137</v>
      </c>
      <c r="AA2990" s="23">
        <v>395103</v>
      </c>
      <c r="AB2990" s="24">
        <v>46048</v>
      </c>
    </row>
    <row r="2991" spans="2:28" x14ac:dyDescent="0.2">
      <c r="B2991" s="23" t="s">
        <v>81</v>
      </c>
      <c r="C2991" s="23">
        <v>1100575177</v>
      </c>
      <c r="H2991" s="24">
        <v>47118</v>
      </c>
      <c r="O2991" s="23">
        <v>2021.94</v>
      </c>
      <c r="P2991" s="23" t="s">
        <v>79</v>
      </c>
    </row>
    <row r="2992" spans="2:28" x14ac:dyDescent="0.2">
      <c r="C2992" s="23">
        <v>1100575384</v>
      </c>
      <c r="E2992" s="23">
        <v>10</v>
      </c>
      <c r="F2992" s="23" t="s">
        <v>725</v>
      </c>
      <c r="G2992" s="23" t="s">
        <v>726</v>
      </c>
      <c r="H2992" s="24">
        <v>47118</v>
      </c>
      <c r="I2992" s="24">
        <v>47118</v>
      </c>
      <c r="J2992" s="23" t="s">
        <v>4012</v>
      </c>
      <c r="K2992" s="23" t="s">
        <v>4012</v>
      </c>
      <c r="L2992" s="23">
        <v>1</v>
      </c>
      <c r="M2992" s="23" t="s">
        <v>78</v>
      </c>
      <c r="N2992" s="23" t="s">
        <v>78</v>
      </c>
      <c r="O2992" s="23">
        <v>1494.41</v>
      </c>
      <c r="P2992" s="23" t="s">
        <v>79</v>
      </c>
      <c r="Q2992" s="23" t="s">
        <v>83</v>
      </c>
      <c r="R2992" s="23">
        <v>11100189</v>
      </c>
      <c r="S2992" s="24">
        <v>46079</v>
      </c>
      <c r="T2992" s="24">
        <v>46051</v>
      </c>
      <c r="U2992" s="24">
        <v>47116</v>
      </c>
      <c r="X2992" s="24">
        <v>46051</v>
      </c>
      <c r="Y2992" s="23">
        <v>1111</v>
      </c>
      <c r="Z2992" s="23">
        <v>11600007</v>
      </c>
      <c r="AA2992" s="23">
        <v>3351</v>
      </c>
      <c r="AB2992" s="24">
        <v>46050</v>
      </c>
    </row>
    <row r="2993" spans="2:28" x14ac:dyDescent="0.2">
      <c r="B2993" s="23" t="s">
        <v>81</v>
      </c>
      <c r="C2993" s="23">
        <v>1100575384</v>
      </c>
      <c r="H2993" s="24">
        <v>47118</v>
      </c>
      <c r="O2993" s="23">
        <v>1494.41</v>
      </c>
      <c r="P2993" s="23" t="s">
        <v>79</v>
      </c>
    </row>
    <row r="2994" spans="2:28" x14ac:dyDescent="0.2">
      <c r="C2994" s="23">
        <v>1100575421</v>
      </c>
      <c r="E2994" s="23">
        <v>10</v>
      </c>
      <c r="F2994" s="23" t="s">
        <v>87</v>
      </c>
      <c r="G2994" s="23" t="s">
        <v>4013</v>
      </c>
      <c r="H2994" s="24">
        <v>47118</v>
      </c>
      <c r="I2994" s="24">
        <v>47118</v>
      </c>
      <c r="J2994" s="23" t="s">
        <v>4014</v>
      </c>
      <c r="K2994" s="23" t="s">
        <v>4014</v>
      </c>
      <c r="L2994" s="23">
        <v>2</v>
      </c>
      <c r="M2994" s="23" t="s">
        <v>78</v>
      </c>
      <c r="N2994" s="23" t="s">
        <v>78</v>
      </c>
      <c r="O2994" s="23">
        <v>17682</v>
      </c>
      <c r="P2994" s="23" t="s">
        <v>79</v>
      </c>
      <c r="Q2994" s="23" t="s">
        <v>83</v>
      </c>
      <c r="R2994" s="23">
        <v>11100176</v>
      </c>
      <c r="S2994" s="24">
        <v>46135</v>
      </c>
      <c r="T2994" s="24">
        <v>46051</v>
      </c>
      <c r="U2994" s="24">
        <v>47116</v>
      </c>
      <c r="X2994" s="24">
        <v>46003</v>
      </c>
      <c r="Y2994" s="23">
        <v>1111</v>
      </c>
      <c r="Z2994" s="23">
        <v>11400124</v>
      </c>
      <c r="AA2994" s="23">
        <v>335803</v>
      </c>
      <c r="AB2994" s="24">
        <v>47118</v>
      </c>
    </row>
    <row r="2995" spans="2:28" x14ac:dyDescent="0.2">
      <c r="C2995" s="23">
        <v>1100575421</v>
      </c>
      <c r="E2995" s="23">
        <v>20</v>
      </c>
      <c r="F2995" s="23" t="s">
        <v>84</v>
      </c>
      <c r="G2995" s="23" t="s">
        <v>123</v>
      </c>
      <c r="H2995" s="24">
        <v>47118</v>
      </c>
      <c r="I2995" s="24">
        <v>47118</v>
      </c>
      <c r="J2995" s="23" t="s">
        <v>4014</v>
      </c>
      <c r="K2995" s="23" t="s">
        <v>4014</v>
      </c>
      <c r="L2995" s="23">
        <v>1</v>
      </c>
      <c r="M2995" s="23" t="s">
        <v>78</v>
      </c>
      <c r="N2995" s="23" t="s">
        <v>78</v>
      </c>
      <c r="O2995" s="23">
        <v>0.01</v>
      </c>
      <c r="P2995" s="23" t="s">
        <v>79</v>
      </c>
      <c r="Q2995" s="23" t="s">
        <v>83</v>
      </c>
      <c r="R2995" s="23">
        <v>11100176</v>
      </c>
      <c r="S2995" s="24">
        <v>46135</v>
      </c>
      <c r="T2995" s="24">
        <v>46051</v>
      </c>
      <c r="U2995" s="24">
        <v>47116</v>
      </c>
      <c r="X2995" s="24">
        <v>46003</v>
      </c>
      <c r="Y2995" s="23">
        <v>1111</v>
      </c>
      <c r="Z2995" s="23">
        <v>11400124</v>
      </c>
      <c r="AA2995" s="23">
        <v>335803</v>
      </c>
      <c r="AB2995" s="24">
        <v>47118</v>
      </c>
    </row>
    <row r="2996" spans="2:28" x14ac:dyDescent="0.2">
      <c r="C2996" s="23">
        <v>1100575421</v>
      </c>
      <c r="E2996" s="23">
        <v>30</v>
      </c>
      <c r="F2996" s="23" t="s">
        <v>96</v>
      </c>
      <c r="G2996" s="23" t="s">
        <v>97</v>
      </c>
      <c r="H2996" s="24">
        <v>47118</v>
      </c>
      <c r="I2996" s="24">
        <v>47118</v>
      </c>
      <c r="J2996" s="23" t="s">
        <v>4014</v>
      </c>
      <c r="K2996" s="23" t="s">
        <v>4014</v>
      </c>
      <c r="L2996" s="23">
        <v>1</v>
      </c>
      <c r="M2996" s="23" t="s">
        <v>78</v>
      </c>
      <c r="N2996" s="23" t="s">
        <v>78</v>
      </c>
      <c r="O2996" s="23">
        <v>0.01</v>
      </c>
      <c r="P2996" s="23" t="s">
        <v>79</v>
      </c>
      <c r="Q2996" s="23" t="s">
        <v>83</v>
      </c>
      <c r="R2996" s="23">
        <v>11100176</v>
      </c>
      <c r="S2996" s="24">
        <v>46135</v>
      </c>
      <c r="T2996" s="24">
        <v>46051</v>
      </c>
      <c r="U2996" s="24">
        <v>47116</v>
      </c>
      <c r="X2996" s="24">
        <v>46003</v>
      </c>
      <c r="Y2996" s="23">
        <v>1111</v>
      </c>
      <c r="Z2996" s="23">
        <v>11400124</v>
      </c>
      <c r="AA2996" s="23">
        <v>335803</v>
      </c>
      <c r="AB2996" s="24">
        <v>47118</v>
      </c>
    </row>
    <row r="2997" spans="2:28" x14ac:dyDescent="0.2">
      <c r="B2997" s="23" t="s">
        <v>81</v>
      </c>
      <c r="C2997" s="23">
        <v>1100575421</v>
      </c>
      <c r="H2997" s="24">
        <v>47118</v>
      </c>
      <c r="O2997" s="23">
        <v>17682.02</v>
      </c>
      <c r="P2997" s="23" t="s">
        <v>79</v>
      </c>
    </row>
    <row r="2998" spans="2:28" x14ac:dyDescent="0.2">
      <c r="C2998" s="23">
        <v>1100575500</v>
      </c>
      <c r="E2998" s="23">
        <v>10</v>
      </c>
      <c r="F2998" s="23" t="s">
        <v>216</v>
      </c>
      <c r="G2998" s="23" t="s">
        <v>4015</v>
      </c>
      <c r="H2998" s="24">
        <v>47118</v>
      </c>
      <c r="I2998" s="24">
        <v>47118</v>
      </c>
      <c r="J2998" s="23" t="s">
        <v>968</v>
      </c>
      <c r="K2998" s="23" t="s">
        <v>968</v>
      </c>
      <c r="L2998" s="23">
        <v>1</v>
      </c>
      <c r="M2998" s="23" t="s">
        <v>78</v>
      </c>
      <c r="N2998" s="23" t="s">
        <v>78</v>
      </c>
      <c r="O2998" s="23">
        <v>0</v>
      </c>
      <c r="P2998" s="23" t="s">
        <v>79</v>
      </c>
      <c r="Q2998" s="23" t="s">
        <v>83</v>
      </c>
      <c r="R2998" s="23">
        <v>11100008</v>
      </c>
      <c r="S2998" s="24" t="s">
        <v>80</v>
      </c>
      <c r="T2998" s="24">
        <v>46052</v>
      </c>
      <c r="U2998" s="24">
        <v>46056</v>
      </c>
      <c r="X2998" s="24">
        <v>46052</v>
      </c>
      <c r="Y2998" s="23">
        <v>1111</v>
      </c>
      <c r="Z2998" s="23">
        <v>11100172</v>
      </c>
      <c r="AA2998" s="23">
        <v>5055</v>
      </c>
      <c r="AB2998" s="24">
        <v>46052</v>
      </c>
    </row>
    <row r="2999" spans="2:28" x14ac:dyDescent="0.2">
      <c r="C2999" s="23">
        <v>1100575500</v>
      </c>
      <c r="E2999" s="23">
        <v>20</v>
      </c>
      <c r="F2999" s="23" t="s">
        <v>192</v>
      </c>
      <c r="G2999" s="23" t="s">
        <v>4016</v>
      </c>
      <c r="H2999" s="24">
        <v>47118</v>
      </c>
      <c r="I2999" s="24">
        <v>47118</v>
      </c>
      <c r="J2999" s="23" t="s">
        <v>968</v>
      </c>
      <c r="K2999" s="23" t="s">
        <v>968</v>
      </c>
      <c r="L2999" s="23">
        <v>1</v>
      </c>
      <c r="M2999" s="23" t="s">
        <v>78</v>
      </c>
      <c r="N2999" s="23" t="s">
        <v>78</v>
      </c>
      <c r="O2999" s="23">
        <v>0</v>
      </c>
      <c r="P2999" s="23" t="s">
        <v>79</v>
      </c>
      <c r="Q2999" s="23" t="s">
        <v>83</v>
      </c>
      <c r="R2999" s="23">
        <v>11100008</v>
      </c>
      <c r="S2999" s="24" t="s">
        <v>80</v>
      </c>
      <c r="T2999" s="24">
        <v>46052</v>
      </c>
      <c r="U2999" s="24">
        <v>46059</v>
      </c>
      <c r="X2999" s="24">
        <v>46052</v>
      </c>
      <c r="Y2999" s="23">
        <v>1111</v>
      </c>
      <c r="Z2999" s="23">
        <v>11100172</v>
      </c>
      <c r="AA2999" s="23">
        <v>5055</v>
      </c>
      <c r="AB2999" s="24">
        <v>46052</v>
      </c>
    </row>
    <row r="3000" spans="2:28" x14ac:dyDescent="0.2">
      <c r="B3000" s="23" t="s">
        <v>81</v>
      </c>
      <c r="C3000" s="23">
        <v>1100575500</v>
      </c>
      <c r="H3000" s="24">
        <v>47118</v>
      </c>
      <c r="O3000" s="23">
        <v>0</v>
      </c>
      <c r="P3000" s="23" t="s">
        <v>79</v>
      </c>
    </row>
    <row r="3001" spans="2:28" x14ac:dyDescent="0.2">
      <c r="C3001" s="23">
        <v>1100576216</v>
      </c>
      <c r="E3001" s="23">
        <v>40</v>
      </c>
      <c r="F3001" s="23" t="s">
        <v>4017</v>
      </c>
      <c r="G3001" s="23" t="s">
        <v>4018</v>
      </c>
      <c r="H3001" s="24">
        <v>47118</v>
      </c>
      <c r="I3001" s="24">
        <v>47118</v>
      </c>
      <c r="J3001" s="23" t="s">
        <v>4019</v>
      </c>
      <c r="K3001" s="23" t="s">
        <v>4019</v>
      </c>
      <c r="L3001" s="23">
        <v>1</v>
      </c>
      <c r="M3001" s="23" t="s">
        <v>78</v>
      </c>
      <c r="N3001" s="23" t="s">
        <v>78</v>
      </c>
      <c r="O3001" s="23">
        <v>25.42</v>
      </c>
      <c r="P3001" s="23" t="s">
        <v>79</v>
      </c>
      <c r="Q3001" s="23" t="s">
        <v>83</v>
      </c>
      <c r="R3001" s="23">
        <v>11100176</v>
      </c>
      <c r="S3001" s="24">
        <v>46104</v>
      </c>
      <c r="T3001" s="24">
        <v>46062</v>
      </c>
      <c r="U3001" s="24">
        <v>47116</v>
      </c>
      <c r="X3001" s="24">
        <v>46021</v>
      </c>
      <c r="Y3001" s="23">
        <v>1111</v>
      </c>
      <c r="Z3001" s="23">
        <v>11400606</v>
      </c>
      <c r="AA3001" s="23">
        <v>5051</v>
      </c>
      <c r="AB3001" s="24">
        <v>45981</v>
      </c>
    </row>
    <row r="3002" spans="2:28" x14ac:dyDescent="0.2">
      <c r="B3002" s="23" t="s">
        <v>81</v>
      </c>
      <c r="C3002" s="23">
        <v>1100576216</v>
      </c>
      <c r="H3002" s="24">
        <v>47118</v>
      </c>
      <c r="O3002" s="23">
        <v>25.42</v>
      </c>
      <c r="P3002" s="23" t="s">
        <v>79</v>
      </c>
    </row>
    <row r="3003" spans="2:28" x14ac:dyDescent="0.2">
      <c r="C3003" s="23">
        <v>1100576299</v>
      </c>
      <c r="E3003" s="23">
        <v>10</v>
      </c>
      <c r="F3003" s="23" t="s">
        <v>3141</v>
      </c>
      <c r="G3003" s="23" t="s">
        <v>3142</v>
      </c>
      <c r="H3003" s="24">
        <v>47118</v>
      </c>
      <c r="I3003" s="24">
        <v>47118</v>
      </c>
      <c r="J3003" s="23" t="s">
        <v>2708</v>
      </c>
      <c r="K3003" s="23" t="s">
        <v>2708</v>
      </c>
      <c r="L3003" s="23">
        <v>2</v>
      </c>
      <c r="M3003" s="23" t="s">
        <v>78</v>
      </c>
      <c r="N3003" s="23" t="s">
        <v>78</v>
      </c>
      <c r="O3003" s="23">
        <v>2657.76</v>
      </c>
      <c r="P3003" s="23" t="s">
        <v>79</v>
      </c>
      <c r="Q3003" s="23" t="s">
        <v>83</v>
      </c>
      <c r="R3003" s="23">
        <v>11100176</v>
      </c>
      <c r="S3003" s="24">
        <v>46122</v>
      </c>
      <c r="T3003" s="24">
        <v>46062</v>
      </c>
      <c r="U3003" s="24" t="s">
        <v>80</v>
      </c>
      <c r="X3003" s="24">
        <v>46036</v>
      </c>
      <c r="Y3003" s="23">
        <v>1111</v>
      </c>
      <c r="Z3003" s="23">
        <v>11400704</v>
      </c>
      <c r="AA3003" s="23">
        <v>335103</v>
      </c>
      <c r="AB3003" s="24">
        <v>46052</v>
      </c>
    </row>
    <row r="3004" spans="2:28" x14ac:dyDescent="0.2">
      <c r="C3004" s="23">
        <v>1100576299</v>
      </c>
      <c r="E3004" s="23">
        <v>20</v>
      </c>
      <c r="F3004" s="23" t="s">
        <v>4020</v>
      </c>
      <c r="G3004" s="23" t="s">
        <v>2826</v>
      </c>
      <c r="H3004" s="24">
        <v>47118</v>
      </c>
      <c r="I3004" s="24">
        <v>47118</v>
      </c>
      <c r="J3004" s="23" t="s">
        <v>2708</v>
      </c>
      <c r="K3004" s="23" t="s">
        <v>2708</v>
      </c>
      <c r="L3004" s="23">
        <v>1</v>
      </c>
      <c r="M3004" s="23" t="s">
        <v>78</v>
      </c>
      <c r="N3004" s="23" t="s">
        <v>78</v>
      </c>
      <c r="O3004" s="23">
        <v>4514.87</v>
      </c>
      <c r="P3004" s="23" t="s">
        <v>79</v>
      </c>
      <c r="Q3004" s="23" t="s">
        <v>83</v>
      </c>
      <c r="R3004" s="23">
        <v>11100176</v>
      </c>
      <c r="S3004" s="24">
        <v>46122</v>
      </c>
      <c r="T3004" s="24">
        <v>46062</v>
      </c>
      <c r="U3004" s="24" t="s">
        <v>80</v>
      </c>
      <c r="X3004" s="24">
        <v>46036</v>
      </c>
      <c r="Y3004" s="23">
        <v>1111</v>
      </c>
      <c r="Z3004" s="23">
        <v>11400704</v>
      </c>
      <c r="AA3004" s="23">
        <v>335103</v>
      </c>
      <c r="AB3004" s="24">
        <v>46052</v>
      </c>
    </row>
    <row r="3005" spans="2:28" x14ac:dyDescent="0.2">
      <c r="C3005" s="23">
        <v>1100576299</v>
      </c>
      <c r="E3005" s="23">
        <v>30</v>
      </c>
      <c r="F3005" s="23" t="s">
        <v>760</v>
      </c>
      <c r="G3005" s="23" t="s">
        <v>1780</v>
      </c>
      <c r="H3005" s="24">
        <v>47118</v>
      </c>
      <c r="I3005" s="24">
        <v>47118</v>
      </c>
      <c r="J3005" s="23" t="s">
        <v>2708</v>
      </c>
      <c r="K3005" s="23" t="s">
        <v>2708</v>
      </c>
      <c r="L3005" s="23">
        <v>8</v>
      </c>
      <c r="M3005" s="23" t="s">
        <v>78</v>
      </c>
      <c r="N3005" s="23" t="s">
        <v>78</v>
      </c>
      <c r="O3005" s="23">
        <v>1085.28</v>
      </c>
      <c r="P3005" s="23" t="s">
        <v>79</v>
      </c>
      <c r="Q3005" s="23" t="s">
        <v>83</v>
      </c>
      <c r="R3005" s="23">
        <v>11100176</v>
      </c>
      <c r="S3005" s="24">
        <v>46122</v>
      </c>
      <c r="T3005" s="24">
        <v>46062</v>
      </c>
      <c r="U3005" s="24" t="s">
        <v>80</v>
      </c>
      <c r="X3005" s="24">
        <v>46036</v>
      </c>
      <c r="Y3005" s="23">
        <v>1111</v>
      </c>
      <c r="Z3005" s="23">
        <v>11400704</v>
      </c>
      <c r="AA3005" s="23">
        <v>335103</v>
      </c>
      <c r="AB3005" s="24">
        <v>46052</v>
      </c>
    </row>
    <row r="3006" spans="2:28" x14ac:dyDescent="0.2">
      <c r="C3006" s="23">
        <v>1100576299</v>
      </c>
      <c r="E3006" s="23">
        <v>40</v>
      </c>
      <c r="F3006" s="23" t="s">
        <v>857</v>
      </c>
      <c r="G3006" s="23" t="s">
        <v>858</v>
      </c>
      <c r="H3006" s="24">
        <v>47118</v>
      </c>
      <c r="I3006" s="24">
        <v>47118</v>
      </c>
      <c r="J3006" s="23" t="s">
        <v>2708</v>
      </c>
      <c r="K3006" s="23" t="s">
        <v>2708</v>
      </c>
      <c r="L3006" s="23">
        <v>2</v>
      </c>
      <c r="M3006" s="23" t="s">
        <v>78</v>
      </c>
      <c r="N3006" s="23" t="s">
        <v>78</v>
      </c>
      <c r="O3006" s="23">
        <v>136.68</v>
      </c>
      <c r="P3006" s="23" t="s">
        <v>79</v>
      </c>
      <c r="Q3006" s="23" t="s">
        <v>83</v>
      </c>
      <c r="R3006" s="23">
        <v>11100176</v>
      </c>
      <c r="S3006" s="24">
        <v>46122</v>
      </c>
      <c r="T3006" s="24">
        <v>46062</v>
      </c>
      <c r="U3006" s="24" t="s">
        <v>80</v>
      </c>
      <c r="X3006" s="24">
        <v>46036</v>
      </c>
      <c r="Y3006" s="23">
        <v>1111</v>
      </c>
      <c r="Z3006" s="23">
        <v>11400704</v>
      </c>
      <c r="AA3006" s="23">
        <v>335103</v>
      </c>
      <c r="AB3006" s="24">
        <v>46052</v>
      </c>
    </row>
    <row r="3007" spans="2:28" x14ac:dyDescent="0.2">
      <c r="C3007" s="23">
        <v>1100576299</v>
      </c>
      <c r="E3007" s="23">
        <v>50</v>
      </c>
      <c r="F3007" s="23" t="s">
        <v>806</v>
      </c>
      <c r="G3007" s="23" t="s">
        <v>807</v>
      </c>
      <c r="H3007" s="24">
        <v>47118</v>
      </c>
      <c r="I3007" s="24">
        <v>47118</v>
      </c>
      <c r="J3007" s="23" t="s">
        <v>2708</v>
      </c>
      <c r="K3007" s="23" t="s">
        <v>2708</v>
      </c>
      <c r="L3007" s="23">
        <v>2</v>
      </c>
      <c r="M3007" s="23" t="s">
        <v>78</v>
      </c>
      <c r="N3007" s="23" t="s">
        <v>78</v>
      </c>
      <c r="O3007" s="23">
        <v>654.84</v>
      </c>
      <c r="P3007" s="23" t="s">
        <v>79</v>
      </c>
      <c r="Q3007" s="23" t="s">
        <v>83</v>
      </c>
      <c r="R3007" s="23">
        <v>11100176</v>
      </c>
      <c r="S3007" s="24">
        <v>46122</v>
      </c>
      <c r="T3007" s="24">
        <v>46062</v>
      </c>
      <c r="U3007" s="24" t="s">
        <v>80</v>
      </c>
      <c r="X3007" s="24">
        <v>46036</v>
      </c>
      <c r="Y3007" s="23">
        <v>1111</v>
      </c>
      <c r="Z3007" s="23">
        <v>11400704</v>
      </c>
      <c r="AA3007" s="23">
        <v>335103</v>
      </c>
      <c r="AB3007" s="24">
        <v>46052</v>
      </c>
    </row>
    <row r="3008" spans="2:28" x14ac:dyDescent="0.2">
      <c r="C3008" s="23">
        <v>1100576299</v>
      </c>
      <c r="E3008" s="23">
        <v>60</v>
      </c>
      <c r="F3008" s="23" t="s">
        <v>748</v>
      </c>
      <c r="G3008" s="23" t="s">
        <v>749</v>
      </c>
      <c r="H3008" s="24">
        <v>47118</v>
      </c>
      <c r="I3008" s="24">
        <v>47118</v>
      </c>
      <c r="J3008" s="23" t="s">
        <v>2708</v>
      </c>
      <c r="K3008" s="23" t="s">
        <v>2708</v>
      </c>
      <c r="L3008" s="23">
        <v>4</v>
      </c>
      <c r="M3008" s="23" t="s">
        <v>78</v>
      </c>
      <c r="N3008" s="23" t="s">
        <v>78</v>
      </c>
      <c r="O3008" s="23">
        <v>579.36</v>
      </c>
      <c r="P3008" s="23" t="s">
        <v>79</v>
      </c>
      <c r="Q3008" s="23" t="s">
        <v>83</v>
      </c>
      <c r="R3008" s="23">
        <v>11100176</v>
      </c>
      <c r="S3008" s="24">
        <v>46122</v>
      </c>
      <c r="T3008" s="24">
        <v>46062</v>
      </c>
      <c r="U3008" s="24" t="s">
        <v>80</v>
      </c>
      <c r="X3008" s="24">
        <v>46036</v>
      </c>
      <c r="Y3008" s="23">
        <v>1111</v>
      </c>
      <c r="Z3008" s="23">
        <v>11400704</v>
      </c>
      <c r="AA3008" s="23">
        <v>335103</v>
      </c>
      <c r="AB3008" s="24">
        <v>46052</v>
      </c>
    </row>
    <row r="3009" spans="3:28" x14ac:dyDescent="0.2">
      <c r="C3009" s="23">
        <v>1100576299</v>
      </c>
      <c r="E3009" s="23">
        <v>70</v>
      </c>
      <c r="F3009" s="23" t="s">
        <v>823</v>
      </c>
      <c r="G3009" s="23" t="s">
        <v>824</v>
      </c>
      <c r="H3009" s="24">
        <v>47118</v>
      </c>
      <c r="I3009" s="24">
        <v>47118</v>
      </c>
      <c r="J3009" s="23" t="s">
        <v>2708</v>
      </c>
      <c r="K3009" s="23" t="s">
        <v>2708</v>
      </c>
      <c r="L3009" s="23">
        <v>2</v>
      </c>
      <c r="M3009" s="23" t="s">
        <v>78</v>
      </c>
      <c r="N3009" s="23" t="s">
        <v>78</v>
      </c>
      <c r="O3009" s="23">
        <v>918</v>
      </c>
      <c r="P3009" s="23" t="s">
        <v>79</v>
      </c>
      <c r="Q3009" s="23" t="s">
        <v>83</v>
      </c>
      <c r="R3009" s="23">
        <v>11100176</v>
      </c>
      <c r="S3009" s="24">
        <v>46122</v>
      </c>
      <c r="T3009" s="24">
        <v>46062</v>
      </c>
      <c r="U3009" s="24" t="s">
        <v>80</v>
      </c>
      <c r="X3009" s="24">
        <v>46036</v>
      </c>
      <c r="Y3009" s="23">
        <v>1111</v>
      </c>
      <c r="Z3009" s="23">
        <v>11400704</v>
      </c>
      <c r="AA3009" s="23">
        <v>335103</v>
      </c>
      <c r="AB3009" s="24">
        <v>46052</v>
      </c>
    </row>
    <row r="3010" spans="3:28" x14ac:dyDescent="0.2">
      <c r="C3010" s="23">
        <v>1100576299</v>
      </c>
      <c r="E3010" s="23">
        <v>80</v>
      </c>
      <c r="F3010" s="23" t="s">
        <v>669</v>
      </c>
      <c r="G3010" s="23" t="s">
        <v>1935</v>
      </c>
      <c r="H3010" s="24">
        <v>47118</v>
      </c>
      <c r="I3010" s="24">
        <v>47118</v>
      </c>
      <c r="J3010" s="23" t="s">
        <v>2708</v>
      </c>
      <c r="K3010" s="23" t="s">
        <v>2708</v>
      </c>
      <c r="L3010" s="23">
        <v>1</v>
      </c>
      <c r="M3010" s="23" t="s">
        <v>78</v>
      </c>
      <c r="N3010" s="23" t="s">
        <v>78</v>
      </c>
      <c r="O3010" s="23">
        <v>342.72</v>
      </c>
      <c r="P3010" s="23" t="s">
        <v>79</v>
      </c>
      <c r="Q3010" s="23" t="s">
        <v>83</v>
      </c>
      <c r="R3010" s="23">
        <v>11100176</v>
      </c>
      <c r="S3010" s="24">
        <v>46122</v>
      </c>
      <c r="T3010" s="24">
        <v>46062</v>
      </c>
      <c r="U3010" s="24" t="s">
        <v>80</v>
      </c>
      <c r="X3010" s="24">
        <v>46036</v>
      </c>
      <c r="Y3010" s="23">
        <v>1111</v>
      </c>
      <c r="Z3010" s="23">
        <v>11400704</v>
      </c>
      <c r="AA3010" s="23">
        <v>335103</v>
      </c>
      <c r="AB3010" s="24">
        <v>46052</v>
      </c>
    </row>
    <row r="3011" spans="3:28" x14ac:dyDescent="0.2">
      <c r="C3011" s="23">
        <v>1100576299</v>
      </c>
      <c r="E3011" s="23">
        <v>90</v>
      </c>
      <c r="F3011" s="23" t="s">
        <v>899</v>
      </c>
      <c r="G3011" s="23" t="s">
        <v>2249</v>
      </c>
      <c r="H3011" s="24">
        <v>47118</v>
      </c>
      <c r="I3011" s="24">
        <v>47118</v>
      </c>
      <c r="J3011" s="23" t="s">
        <v>2708</v>
      </c>
      <c r="K3011" s="23" t="s">
        <v>2708</v>
      </c>
      <c r="L3011" s="23">
        <v>2</v>
      </c>
      <c r="M3011" s="23" t="s">
        <v>78</v>
      </c>
      <c r="N3011" s="23" t="s">
        <v>78</v>
      </c>
      <c r="O3011" s="23">
        <v>7290.96</v>
      </c>
      <c r="P3011" s="23" t="s">
        <v>79</v>
      </c>
      <c r="Q3011" s="23" t="s">
        <v>83</v>
      </c>
      <c r="R3011" s="23">
        <v>11100176</v>
      </c>
      <c r="S3011" s="24">
        <v>46122</v>
      </c>
      <c r="T3011" s="24">
        <v>46062</v>
      </c>
      <c r="U3011" s="24" t="s">
        <v>80</v>
      </c>
      <c r="X3011" s="24">
        <v>46036</v>
      </c>
      <c r="Y3011" s="23">
        <v>1111</v>
      </c>
      <c r="Z3011" s="23">
        <v>11400704</v>
      </c>
      <c r="AA3011" s="23">
        <v>335103</v>
      </c>
      <c r="AB3011" s="24">
        <v>46052</v>
      </c>
    </row>
    <row r="3012" spans="3:28" x14ac:dyDescent="0.2">
      <c r="C3012" s="23">
        <v>1100576299</v>
      </c>
      <c r="E3012" s="23">
        <v>100</v>
      </c>
      <c r="F3012" s="23" t="s">
        <v>4021</v>
      </c>
      <c r="G3012" s="23" t="s">
        <v>4022</v>
      </c>
      <c r="H3012" s="24">
        <v>47118</v>
      </c>
      <c r="I3012" s="24">
        <v>47118</v>
      </c>
      <c r="J3012" s="23" t="s">
        <v>2708</v>
      </c>
      <c r="K3012" s="23" t="s">
        <v>2708</v>
      </c>
      <c r="L3012" s="23">
        <v>1</v>
      </c>
      <c r="M3012" s="23" t="s">
        <v>78</v>
      </c>
      <c r="N3012" s="23" t="s">
        <v>78</v>
      </c>
      <c r="O3012" s="23">
        <v>27.54</v>
      </c>
      <c r="P3012" s="23" t="s">
        <v>79</v>
      </c>
      <c r="Q3012" s="23" t="s">
        <v>83</v>
      </c>
      <c r="R3012" s="23">
        <v>11100176</v>
      </c>
      <c r="S3012" s="24">
        <v>46122</v>
      </c>
      <c r="T3012" s="24">
        <v>46062</v>
      </c>
      <c r="U3012" s="24" t="s">
        <v>80</v>
      </c>
      <c r="X3012" s="24">
        <v>46036</v>
      </c>
      <c r="Y3012" s="23">
        <v>1111</v>
      </c>
      <c r="Z3012" s="23">
        <v>11400704</v>
      </c>
      <c r="AA3012" s="23">
        <v>335103</v>
      </c>
      <c r="AB3012" s="24">
        <v>46052</v>
      </c>
    </row>
    <row r="3013" spans="3:28" x14ac:dyDescent="0.2">
      <c r="C3013" s="23">
        <v>1100576299</v>
      </c>
      <c r="E3013" s="23">
        <v>110</v>
      </c>
      <c r="F3013" s="23" t="s">
        <v>850</v>
      </c>
      <c r="G3013" s="23" t="s">
        <v>851</v>
      </c>
      <c r="H3013" s="24">
        <v>47118</v>
      </c>
      <c r="I3013" s="24">
        <v>47118</v>
      </c>
      <c r="J3013" s="23" t="s">
        <v>2708</v>
      </c>
      <c r="K3013" s="23" t="s">
        <v>2708</v>
      </c>
      <c r="L3013" s="23">
        <v>1</v>
      </c>
      <c r="M3013" s="23" t="s">
        <v>78</v>
      </c>
      <c r="N3013" s="23" t="s">
        <v>78</v>
      </c>
      <c r="O3013" s="23">
        <v>109.14</v>
      </c>
      <c r="P3013" s="23" t="s">
        <v>79</v>
      </c>
      <c r="Q3013" s="23" t="s">
        <v>83</v>
      </c>
      <c r="R3013" s="23">
        <v>11100176</v>
      </c>
      <c r="S3013" s="24">
        <v>46122</v>
      </c>
      <c r="T3013" s="24">
        <v>46062</v>
      </c>
      <c r="U3013" s="24" t="s">
        <v>80</v>
      </c>
      <c r="X3013" s="24">
        <v>46036</v>
      </c>
      <c r="Y3013" s="23">
        <v>1111</v>
      </c>
      <c r="Z3013" s="23">
        <v>11400704</v>
      </c>
      <c r="AA3013" s="23">
        <v>335103</v>
      </c>
      <c r="AB3013" s="24">
        <v>46052</v>
      </c>
    </row>
    <row r="3014" spans="3:28" x14ac:dyDescent="0.2">
      <c r="C3014" s="23">
        <v>1100576299</v>
      </c>
      <c r="E3014" s="23">
        <v>120</v>
      </c>
      <c r="F3014" s="23" t="s">
        <v>4023</v>
      </c>
      <c r="G3014" s="23" t="s">
        <v>4024</v>
      </c>
      <c r="H3014" s="24">
        <v>47118</v>
      </c>
      <c r="I3014" s="24">
        <v>47118</v>
      </c>
      <c r="J3014" s="23" t="s">
        <v>2708</v>
      </c>
      <c r="K3014" s="23" t="s">
        <v>2708</v>
      </c>
      <c r="L3014" s="23">
        <v>1</v>
      </c>
      <c r="M3014" s="23" t="s">
        <v>78</v>
      </c>
      <c r="N3014" s="23" t="s">
        <v>78</v>
      </c>
      <c r="O3014" s="23">
        <v>3493.5</v>
      </c>
      <c r="P3014" s="23" t="s">
        <v>79</v>
      </c>
      <c r="Q3014" s="23" t="s">
        <v>83</v>
      </c>
      <c r="R3014" s="23">
        <v>11100176</v>
      </c>
      <c r="S3014" s="24">
        <v>46122</v>
      </c>
      <c r="T3014" s="24">
        <v>46062</v>
      </c>
      <c r="U3014" s="24" t="s">
        <v>80</v>
      </c>
      <c r="X3014" s="24">
        <v>46036</v>
      </c>
      <c r="Y3014" s="23">
        <v>1111</v>
      </c>
      <c r="Z3014" s="23">
        <v>11400704</v>
      </c>
      <c r="AA3014" s="23">
        <v>335103</v>
      </c>
      <c r="AB3014" s="24">
        <v>46052</v>
      </c>
    </row>
    <row r="3015" spans="3:28" x14ac:dyDescent="0.2">
      <c r="C3015" s="23">
        <v>1100576299</v>
      </c>
      <c r="E3015" s="23">
        <v>130</v>
      </c>
      <c r="F3015" s="23" t="s">
        <v>709</v>
      </c>
      <c r="G3015" s="23" t="s">
        <v>710</v>
      </c>
      <c r="H3015" s="24">
        <v>47118</v>
      </c>
      <c r="I3015" s="24">
        <v>47118</v>
      </c>
      <c r="J3015" s="23" t="s">
        <v>2708</v>
      </c>
      <c r="K3015" s="23" t="s">
        <v>2708</v>
      </c>
      <c r="L3015" s="23">
        <v>4</v>
      </c>
      <c r="M3015" s="23" t="s">
        <v>78</v>
      </c>
      <c r="N3015" s="23" t="s">
        <v>78</v>
      </c>
      <c r="O3015" s="23">
        <v>583.44000000000005</v>
      </c>
      <c r="P3015" s="23" t="s">
        <v>79</v>
      </c>
      <c r="Q3015" s="23" t="s">
        <v>83</v>
      </c>
      <c r="R3015" s="23">
        <v>11100176</v>
      </c>
      <c r="S3015" s="24">
        <v>46122</v>
      </c>
      <c r="T3015" s="24">
        <v>46062</v>
      </c>
      <c r="U3015" s="24" t="s">
        <v>80</v>
      </c>
      <c r="X3015" s="24">
        <v>46036</v>
      </c>
      <c r="Y3015" s="23">
        <v>1111</v>
      </c>
      <c r="Z3015" s="23">
        <v>11400704</v>
      </c>
      <c r="AA3015" s="23">
        <v>335103</v>
      </c>
      <c r="AB3015" s="24">
        <v>46052</v>
      </c>
    </row>
    <row r="3016" spans="3:28" x14ac:dyDescent="0.2">
      <c r="C3016" s="23">
        <v>1100576299</v>
      </c>
      <c r="E3016" s="23">
        <v>140</v>
      </c>
      <c r="F3016" s="23" t="s">
        <v>748</v>
      </c>
      <c r="G3016" s="23" t="s">
        <v>749</v>
      </c>
      <c r="H3016" s="24">
        <v>47118</v>
      </c>
      <c r="I3016" s="24">
        <v>47118</v>
      </c>
      <c r="J3016" s="23" t="s">
        <v>2708</v>
      </c>
      <c r="K3016" s="23" t="s">
        <v>2708</v>
      </c>
      <c r="L3016" s="23">
        <v>2</v>
      </c>
      <c r="M3016" s="23" t="s">
        <v>78</v>
      </c>
      <c r="N3016" s="23" t="s">
        <v>78</v>
      </c>
      <c r="O3016" s="23">
        <v>289.68</v>
      </c>
      <c r="P3016" s="23" t="s">
        <v>79</v>
      </c>
      <c r="Q3016" s="23" t="s">
        <v>83</v>
      </c>
      <c r="R3016" s="23">
        <v>11100176</v>
      </c>
      <c r="S3016" s="24">
        <v>46122</v>
      </c>
      <c r="T3016" s="24">
        <v>46062</v>
      </c>
      <c r="U3016" s="24" t="s">
        <v>80</v>
      </c>
      <c r="X3016" s="24">
        <v>46036</v>
      </c>
      <c r="Y3016" s="23">
        <v>1111</v>
      </c>
      <c r="Z3016" s="23">
        <v>11400704</v>
      </c>
      <c r="AA3016" s="23">
        <v>335103</v>
      </c>
      <c r="AB3016" s="24">
        <v>46052</v>
      </c>
    </row>
    <row r="3017" spans="3:28" x14ac:dyDescent="0.2">
      <c r="C3017" s="23">
        <v>1100576299</v>
      </c>
      <c r="E3017" s="23">
        <v>150</v>
      </c>
      <c r="F3017" s="23" t="s">
        <v>757</v>
      </c>
      <c r="G3017" s="23" t="s">
        <v>2806</v>
      </c>
      <c r="H3017" s="24">
        <v>47118</v>
      </c>
      <c r="I3017" s="24">
        <v>47118</v>
      </c>
      <c r="J3017" s="23" t="s">
        <v>2708</v>
      </c>
      <c r="K3017" s="23" t="s">
        <v>2708</v>
      </c>
      <c r="L3017" s="23">
        <v>1</v>
      </c>
      <c r="M3017" s="23" t="s">
        <v>78</v>
      </c>
      <c r="N3017" s="23" t="s">
        <v>78</v>
      </c>
      <c r="O3017" s="23">
        <v>830.28</v>
      </c>
      <c r="P3017" s="23" t="s">
        <v>79</v>
      </c>
      <c r="Q3017" s="23" t="s">
        <v>83</v>
      </c>
      <c r="R3017" s="23">
        <v>11100176</v>
      </c>
      <c r="S3017" s="24">
        <v>46122</v>
      </c>
      <c r="T3017" s="24">
        <v>46062</v>
      </c>
      <c r="U3017" s="24" t="s">
        <v>80</v>
      </c>
      <c r="X3017" s="24">
        <v>46036</v>
      </c>
      <c r="Y3017" s="23">
        <v>1111</v>
      </c>
      <c r="Z3017" s="23">
        <v>11400704</v>
      </c>
      <c r="AA3017" s="23">
        <v>335103</v>
      </c>
      <c r="AB3017" s="24">
        <v>46052</v>
      </c>
    </row>
    <row r="3018" spans="3:28" x14ac:dyDescent="0.2">
      <c r="C3018" s="23">
        <v>1100576299</v>
      </c>
      <c r="E3018" s="23">
        <v>160</v>
      </c>
      <c r="F3018" s="23" t="s">
        <v>823</v>
      </c>
      <c r="G3018" s="23" t="s">
        <v>824</v>
      </c>
      <c r="H3018" s="24">
        <v>47118</v>
      </c>
      <c r="I3018" s="24">
        <v>47118</v>
      </c>
      <c r="J3018" s="23" t="s">
        <v>2708</v>
      </c>
      <c r="K3018" s="23" t="s">
        <v>2708</v>
      </c>
      <c r="L3018" s="23">
        <v>1</v>
      </c>
      <c r="M3018" s="23" t="s">
        <v>78</v>
      </c>
      <c r="N3018" s="23" t="s">
        <v>78</v>
      </c>
      <c r="O3018" s="23">
        <v>459</v>
      </c>
      <c r="P3018" s="23" t="s">
        <v>79</v>
      </c>
      <c r="Q3018" s="23" t="s">
        <v>83</v>
      </c>
      <c r="R3018" s="23">
        <v>11100176</v>
      </c>
      <c r="S3018" s="24">
        <v>46122</v>
      </c>
      <c r="T3018" s="24">
        <v>46062</v>
      </c>
      <c r="U3018" s="24" t="s">
        <v>80</v>
      </c>
      <c r="X3018" s="24">
        <v>46036</v>
      </c>
      <c r="Y3018" s="23">
        <v>1111</v>
      </c>
      <c r="Z3018" s="23">
        <v>11400704</v>
      </c>
      <c r="AA3018" s="23">
        <v>335103</v>
      </c>
      <c r="AB3018" s="24">
        <v>46052</v>
      </c>
    </row>
    <row r="3019" spans="3:28" x14ac:dyDescent="0.2">
      <c r="C3019" s="23">
        <v>1100576299</v>
      </c>
      <c r="E3019" s="23">
        <v>170</v>
      </c>
      <c r="F3019" s="23" t="s">
        <v>806</v>
      </c>
      <c r="G3019" s="23" t="s">
        <v>807</v>
      </c>
      <c r="H3019" s="24">
        <v>47118</v>
      </c>
      <c r="I3019" s="24">
        <v>47118</v>
      </c>
      <c r="J3019" s="23" t="s">
        <v>2708</v>
      </c>
      <c r="K3019" s="23" t="s">
        <v>2708</v>
      </c>
      <c r="L3019" s="23">
        <v>2</v>
      </c>
      <c r="M3019" s="23" t="s">
        <v>78</v>
      </c>
      <c r="N3019" s="23" t="s">
        <v>78</v>
      </c>
      <c r="O3019" s="23">
        <v>654.84</v>
      </c>
      <c r="P3019" s="23" t="s">
        <v>79</v>
      </c>
      <c r="Q3019" s="23" t="s">
        <v>83</v>
      </c>
      <c r="R3019" s="23">
        <v>11100176</v>
      </c>
      <c r="S3019" s="24">
        <v>46122</v>
      </c>
      <c r="T3019" s="24">
        <v>46062</v>
      </c>
      <c r="U3019" s="24" t="s">
        <v>80</v>
      </c>
      <c r="X3019" s="24">
        <v>46036</v>
      </c>
      <c r="Y3019" s="23">
        <v>1111</v>
      </c>
      <c r="Z3019" s="23">
        <v>11400704</v>
      </c>
      <c r="AA3019" s="23">
        <v>335103</v>
      </c>
      <c r="AB3019" s="24">
        <v>46052</v>
      </c>
    </row>
    <row r="3020" spans="3:28" x14ac:dyDescent="0.2">
      <c r="C3020" s="23">
        <v>1100576299</v>
      </c>
      <c r="E3020" s="23">
        <v>180</v>
      </c>
      <c r="F3020" s="23" t="s">
        <v>4025</v>
      </c>
      <c r="G3020" s="23" t="s">
        <v>4026</v>
      </c>
      <c r="H3020" s="24">
        <v>47118</v>
      </c>
      <c r="I3020" s="24">
        <v>47118</v>
      </c>
      <c r="J3020" s="23" t="s">
        <v>2708</v>
      </c>
      <c r="K3020" s="23" t="s">
        <v>2708</v>
      </c>
      <c r="L3020" s="23">
        <v>3</v>
      </c>
      <c r="M3020" s="23" t="s">
        <v>78</v>
      </c>
      <c r="N3020" s="23" t="s">
        <v>78</v>
      </c>
      <c r="O3020" s="23">
        <v>440.64</v>
      </c>
      <c r="P3020" s="23" t="s">
        <v>79</v>
      </c>
      <c r="Q3020" s="23" t="s">
        <v>83</v>
      </c>
      <c r="R3020" s="23">
        <v>11100176</v>
      </c>
      <c r="S3020" s="24">
        <v>46122</v>
      </c>
      <c r="T3020" s="24">
        <v>46062</v>
      </c>
      <c r="U3020" s="24" t="s">
        <v>80</v>
      </c>
      <c r="X3020" s="24">
        <v>46036</v>
      </c>
      <c r="Y3020" s="23">
        <v>1111</v>
      </c>
      <c r="Z3020" s="23">
        <v>11400704</v>
      </c>
      <c r="AA3020" s="23">
        <v>335103</v>
      </c>
      <c r="AB3020" s="24">
        <v>46052</v>
      </c>
    </row>
    <row r="3021" spans="3:28" x14ac:dyDescent="0.2">
      <c r="C3021" s="23">
        <v>1100576299</v>
      </c>
      <c r="E3021" s="23">
        <v>190</v>
      </c>
      <c r="F3021" s="23" t="s">
        <v>669</v>
      </c>
      <c r="G3021" s="23" t="s">
        <v>1935</v>
      </c>
      <c r="H3021" s="24">
        <v>47118</v>
      </c>
      <c r="I3021" s="24">
        <v>47118</v>
      </c>
      <c r="J3021" s="23" t="s">
        <v>2708</v>
      </c>
      <c r="K3021" s="23" t="s">
        <v>2708</v>
      </c>
      <c r="L3021" s="23">
        <v>1</v>
      </c>
      <c r="M3021" s="23" t="s">
        <v>78</v>
      </c>
      <c r="N3021" s="23" t="s">
        <v>78</v>
      </c>
      <c r="O3021" s="23">
        <v>342.72</v>
      </c>
      <c r="P3021" s="23" t="s">
        <v>79</v>
      </c>
      <c r="Q3021" s="23" t="s">
        <v>83</v>
      </c>
      <c r="R3021" s="23">
        <v>11100176</v>
      </c>
      <c r="S3021" s="24">
        <v>46122</v>
      </c>
      <c r="T3021" s="24">
        <v>46062</v>
      </c>
      <c r="U3021" s="24" t="s">
        <v>80</v>
      </c>
      <c r="X3021" s="24">
        <v>46036</v>
      </c>
      <c r="Y3021" s="23">
        <v>1111</v>
      </c>
      <c r="Z3021" s="23">
        <v>11400704</v>
      </c>
      <c r="AA3021" s="23">
        <v>335103</v>
      </c>
      <c r="AB3021" s="24">
        <v>46052</v>
      </c>
    </row>
    <row r="3022" spans="3:28" x14ac:dyDescent="0.2">
      <c r="C3022" s="23">
        <v>1100576299</v>
      </c>
      <c r="E3022" s="23">
        <v>200</v>
      </c>
      <c r="F3022" s="23" t="s">
        <v>704</v>
      </c>
      <c r="G3022" s="23" t="s">
        <v>705</v>
      </c>
      <c r="H3022" s="24">
        <v>47118</v>
      </c>
      <c r="I3022" s="24">
        <v>47118</v>
      </c>
      <c r="J3022" s="23" t="s">
        <v>2708</v>
      </c>
      <c r="K3022" s="23" t="s">
        <v>2708</v>
      </c>
      <c r="L3022" s="23">
        <v>3</v>
      </c>
      <c r="M3022" s="23" t="s">
        <v>78</v>
      </c>
      <c r="N3022" s="23" t="s">
        <v>78</v>
      </c>
      <c r="O3022" s="23">
        <v>266.22000000000003</v>
      </c>
      <c r="P3022" s="23" t="s">
        <v>79</v>
      </c>
      <c r="Q3022" s="23" t="s">
        <v>83</v>
      </c>
      <c r="R3022" s="23">
        <v>11100176</v>
      </c>
      <c r="S3022" s="24">
        <v>46122</v>
      </c>
      <c r="T3022" s="24">
        <v>46062</v>
      </c>
      <c r="U3022" s="24" t="s">
        <v>80</v>
      </c>
      <c r="X3022" s="24">
        <v>46036</v>
      </c>
      <c r="Y3022" s="23">
        <v>1111</v>
      </c>
      <c r="Z3022" s="23">
        <v>11400704</v>
      </c>
      <c r="AA3022" s="23">
        <v>335103</v>
      </c>
      <c r="AB3022" s="24">
        <v>46052</v>
      </c>
    </row>
    <row r="3023" spans="3:28" x14ac:dyDescent="0.2">
      <c r="C3023" s="23">
        <v>1100576299</v>
      </c>
      <c r="E3023" s="23">
        <v>210</v>
      </c>
      <c r="F3023" s="23" t="s">
        <v>857</v>
      </c>
      <c r="G3023" s="23" t="s">
        <v>858</v>
      </c>
      <c r="H3023" s="24">
        <v>47118</v>
      </c>
      <c r="I3023" s="24">
        <v>47118</v>
      </c>
      <c r="J3023" s="23" t="s">
        <v>2708</v>
      </c>
      <c r="K3023" s="23" t="s">
        <v>2708</v>
      </c>
      <c r="L3023" s="23">
        <v>3</v>
      </c>
      <c r="M3023" s="23" t="s">
        <v>78</v>
      </c>
      <c r="N3023" s="23" t="s">
        <v>78</v>
      </c>
      <c r="O3023" s="23">
        <v>205.02</v>
      </c>
      <c r="P3023" s="23" t="s">
        <v>79</v>
      </c>
      <c r="Q3023" s="23" t="s">
        <v>83</v>
      </c>
      <c r="R3023" s="23">
        <v>11100176</v>
      </c>
      <c r="S3023" s="24">
        <v>46122</v>
      </c>
      <c r="T3023" s="24">
        <v>46062</v>
      </c>
      <c r="U3023" s="24" t="s">
        <v>80</v>
      </c>
      <c r="X3023" s="24">
        <v>46036</v>
      </c>
      <c r="Y3023" s="23">
        <v>1111</v>
      </c>
      <c r="Z3023" s="23">
        <v>11400704</v>
      </c>
      <c r="AA3023" s="23">
        <v>335103</v>
      </c>
      <c r="AB3023" s="24">
        <v>46052</v>
      </c>
    </row>
    <row r="3024" spans="3:28" x14ac:dyDescent="0.2">
      <c r="C3024" s="23">
        <v>1100576299</v>
      </c>
      <c r="E3024" s="23">
        <v>220</v>
      </c>
      <c r="F3024" s="23" t="s">
        <v>638</v>
      </c>
      <c r="G3024" s="23" t="s">
        <v>1787</v>
      </c>
      <c r="H3024" s="24">
        <v>47118</v>
      </c>
      <c r="I3024" s="24">
        <v>47118</v>
      </c>
      <c r="J3024" s="23" t="s">
        <v>2708</v>
      </c>
      <c r="K3024" s="23" t="s">
        <v>2708</v>
      </c>
      <c r="L3024" s="23">
        <v>3</v>
      </c>
      <c r="M3024" s="23" t="s">
        <v>78</v>
      </c>
      <c r="N3024" s="23" t="s">
        <v>78</v>
      </c>
      <c r="O3024" s="23">
        <v>1245.42</v>
      </c>
      <c r="P3024" s="23" t="s">
        <v>79</v>
      </c>
      <c r="Q3024" s="23" t="s">
        <v>83</v>
      </c>
      <c r="R3024" s="23">
        <v>11100176</v>
      </c>
      <c r="S3024" s="24">
        <v>46122</v>
      </c>
      <c r="T3024" s="24">
        <v>46062</v>
      </c>
      <c r="U3024" s="24" t="s">
        <v>80</v>
      </c>
      <c r="X3024" s="24">
        <v>46036</v>
      </c>
      <c r="Y3024" s="23">
        <v>1111</v>
      </c>
      <c r="Z3024" s="23">
        <v>11400704</v>
      </c>
      <c r="AA3024" s="23">
        <v>335103</v>
      </c>
      <c r="AB3024" s="24">
        <v>46052</v>
      </c>
    </row>
    <row r="3025" spans="3:28" x14ac:dyDescent="0.2">
      <c r="C3025" s="23">
        <v>1100576299</v>
      </c>
      <c r="E3025" s="23">
        <v>230</v>
      </c>
      <c r="F3025" s="23" t="s">
        <v>3599</v>
      </c>
      <c r="G3025" s="23" t="s">
        <v>4027</v>
      </c>
      <c r="H3025" s="24">
        <v>47118</v>
      </c>
      <c r="I3025" s="24">
        <v>47118</v>
      </c>
      <c r="J3025" s="23" t="s">
        <v>2708</v>
      </c>
      <c r="K3025" s="23" t="s">
        <v>2708</v>
      </c>
      <c r="L3025" s="23">
        <v>1</v>
      </c>
      <c r="M3025" s="23" t="s">
        <v>78</v>
      </c>
      <c r="N3025" s="23" t="s">
        <v>78</v>
      </c>
      <c r="O3025" s="23">
        <v>419.22</v>
      </c>
      <c r="P3025" s="23" t="s">
        <v>79</v>
      </c>
      <c r="Q3025" s="23" t="s">
        <v>83</v>
      </c>
      <c r="R3025" s="23">
        <v>11100176</v>
      </c>
      <c r="S3025" s="24">
        <v>46122</v>
      </c>
      <c r="T3025" s="24">
        <v>46062</v>
      </c>
      <c r="U3025" s="24" t="s">
        <v>80</v>
      </c>
      <c r="X3025" s="24">
        <v>46036</v>
      </c>
      <c r="Y3025" s="23">
        <v>1111</v>
      </c>
      <c r="Z3025" s="23">
        <v>11400704</v>
      </c>
      <c r="AA3025" s="23">
        <v>335103</v>
      </c>
      <c r="AB3025" s="24">
        <v>46052</v>
      </c>
    </row>
    <row r="3026" spans="3:28" x14ac:dyDescent="0.2">
      <c r="C3026" s="23">
        <v>1100576299</v>
      </c>
      <c r="E3026" s="23">
        <v>240</v>
      </c>
      <c r="F3026" s="23" t="s">
        <v>1093</v>
      </c>
      <c r="G3026" s="23" t="s">
        <v>1094</v>
      </c>
      <c r="H3026" s="24">
        <v>47118</v>
      </c>
      <c r="I3026" s="24">
        <v>47118</v>
      </c>
      <c r="J3026" s="23" t="s">
        <v>2708</v>
      </c>
      <c r="K3026" s="23" t="s">
        <v>2708</v>
      </c>
      <c r="L3026" s="23">
        <v>2</v>
      </c>
      <c r="M3026" s="23" t="s">
        <v>78</v>
      </c>
      <c r="N3026" s="23" t="s">
        <v>78</v>
      </c>
      <c r="O3026" s="23">
        <v>1880.88</v>
      </c>
      <c r="P3026" s="23" t="s">
        <v>79</v>
      </c>
      <c r="Q3026" s="23" t="s">
        <v>83</v>
      </c>
      <c r="R3026" s="23">
        <v>11100176</v>
      </c>
      <c r="S3026" s="24">
        <v>46122</v>
      </c>
      <c r="T3026" s="24">
        <v>46062</v>
      </c>
      <c r="U3026" s="24" t="s">
        <v>80</v>
      </c>
      <c r="X3026" s="24">
        <v>46036</v>
      </c>
      <c r="Y3026" s="23">
        <v>1111</v>
      </c>
      <c r="Z3026" s="23">
        <v>11400704</v>
      </c>
      <c r="AA3026" s="23">
        <v>335103</v>
      </c>
      <c r="AB3026" s="24">
        <v>46052</v>
      </c>
    </row>
    <row r="3027" spans="3:28" x14ac:dyDescent="0.2">
      <c r="C3027" s="23">
        <v>1100576299</v>
      </c>
      <c r="E3027" s="23">
        <v>250</v>
      </c>
      <c r="F3027" s="23" t="s">
        <v>828</v>
      </c>
      <c r="G3027" s="23" t="s">
        <v>829</v>
      </c>
      <c r="H3027" s="24">
        <v>47118</v>
      </c>
      <c r="I3027" s="24">
        <v>47118</v>
      </c>
      <c r="J3027" s="23" t="s">
        <v>2708</v>
      </c>
      <c r="K3027" s="23" t="s">
        <v>2708</v>
      </c>
      <c r="L3027" s="23">
        <v>4</v>
      </c>
      <c r="M3027" s="23" t="s">
        <v>78</v>
      </c>
      <c r="N3027" s="23" t="s">
        <v>78</v>
      </c>
      <c r="O3027" s="23">
        <v>644.64</v>
      </c>
      <c r="P3027" s="23" t="s">
        <v>79</v>
      </c>
      <c r="Q3027" s="23" t="s">
        <v>83</v>
      </c>
      <c r="R3027" s="23">
        <v>11100176</v>
      </c>
      <c r="S3027" s="24">
        <v>46122</v>
      </c>
      <c r="T3027" s="24">
        <v>46062</v>
      </c>
      <c r="U3027" s="24" t="s">
        <v>80</v>
      </c>
      <c r="X3027" s="24">
        <v>46036</v>
      </c>
      <c r="Y3027" s="23">
        <v>1111</v>
      </c>
      <c r="Z3027" s="23">
        <v>11400704</v>
      </c>
      <c r="AA3027" s="23">
        <v>335103</v>
      </c>
      <c r="AB3027" s="24">
        <v>46052</v>
      </c>
    </row>
    <row r="3028" spans="3:28" x14ac:dyDescent="0.2">
      <c r="C3028" s="23">
        <v>1100576299</v>
      </c>
      <c r="E3028" s="23">
        <v>260</v>
      </c>
      <c r="F3028" s="23" t="s">
        <v>3994</v>
      </c>
      <c r="G3028" s="23" t="s">
        <v>3995</v>
      </c>
      <c r="H3028" s="24">
        <v>47118</v>
      </c>
      <c r="I3028" s="24">
        <v>47118</v>
      </c>
      <c r="J3028" s="23" t="s">
        <v>2708</v>
      </c>
      <c r="K3028" s="23" t="s">
        <v>2708</v>
      </c>
      <c r="L3028" s="23">
        <v>2</v>
      </c>
      <c r="M3028" s="23" t="s">
        <v>78</v>
      </c>
      <c r="N3028" s="23" t="s">
        <v>78</v>
      </c>
      <c r="O3028" s="23">
        <v>177.48</v>
      </c>
      <c r="P3028" s="23" t="s">
        <v>79</v>
      </c>
      <c r="Q3028" s="23" t="s">
        <v>83</v>
      </c>
      <c r="R3028" s="23">
        <v>11100176</v>
      </c>
      <c r="S3028" s="24">
        <v>46122</v>
      </c>
      <c r="T3028" s="24">
        <v>46062</v>
      </c>
      <c r="U3028" s="24" t="s">
        <v>80</v>
      </c>
      <c r="X3028" s="24">
        <v>46036</v>
      </c>
      <c r="Y3028" s="23">
        <v>1111</v>
      </c>
      <c r="Z3028" s="23">
        <v>11400704</v>
      </c>
      <c r="AA3028" s="23">
        <v>335103</v>
      </c>
      <c r="AB3028" s="24">
        <v>46052</v>
      </c>
    </row>
    <row r="3029" spans="3:28" x14ac:dyDescent="0.2">
      <c r="C3029" s="23">
        <v>1100576299</v>
      </c>
      <c r="E3029" s="23">
        <v>270</v>
      </c>
      <c r="F3029" s="23" t="s">
        <v>651</v>
      </c>
      <c r="G3029" s="23" t="s">
        <v>652</v>
      </c>
      <c r="H3029" s="24">
        <v>47118</v>
      </c>
      <c r="I3029" s="24">
        <v>47118</v>
      </c>
      <c r="J3029" s="23" t="s">
        <v>2708</v>
      </c>
      <c r="K3029" s="23" t="s">
        <v>2708</v>
      </c>
      <c r="L3029" s="23">
        <v>1</v>
      </c>
      <c r="M3029" s="23" t="s">
        <v>78</v>
      </c>
      <c r="N3029" s="23" t="s">
        <v>78</v>
      </c>
      <c r="O3029" s="23">
        <v>350.88</v>
      </c>
      <c r="P3029" s="23" t="s">
        <v>79</v>
      </c>
      <c r="Q3029" s="23" t="s">
        <v>83</v>
      </c>
      <c r="R3029" s="23">
        <v>11100176</v>
      </c>
      <c r="S3029" s="24">
        <v>46122</v>
      </c>
      <c r="T3029" s="24">
        <v>46062</v>
      </c>
      <c r="U3029" s="24" t="s">
        <v>80</v>
      </c>
      <c r="X3029" s="24">
        <v>46036</v>
      </c>
      <c r="Y3029" s="23">
        <v>1111</v>
      </c>
      <c r="Z3029" s="23">
        <v>11400704</v>
      </c>
      <c r="AA3029" s="23">
        <v>335103</v>
      </c>
      <c r="AB3029" s="24">
        <v>46052</v>
      </c>
    </row>
    <row r="3030" spans="3:28" x14ac:dyDescent="0.2">
      <c r="C3030" s="23">
        <v>1100576299</v>
      </c>
      <c r="E3030" s="23">
        <v>280</v>
      </c>
      <c r="F3030" s="23" t="s">
        <v>952</v>
      </c>
      <c r="G3030" s="23" t="s">
        <v>953</v>
      </c>
      <c r="H3030" s="24">
        <v>47118</v>
      </c>
      <c r="I3030" s="24">
        <v>47118</v>
      </c>
      <c r="J3030" s="23" t="s">
        <v>2708</v>
      </c>
      <c r="K3030" s="23" t="s">
        <v>2708</v>
      </c>
      <c r="L3030" s="23">
        <v>2</v>
      </c>
      <c r="M3030" s="23" t="s">
        <v>78</v>
      </c>
      <c r="N3030" s="23" t="s">
        <v>78</v>
      </c>
      <c r="O3030" s="23">
        <v>526.32000000000005</v>
      </c>
      <c r="P3030" s="23" t="s">
        <v>79</v>
      </c>
      <c r="Q3030" s="23" t="s">
        <v>83</v>
      </c>
      <c r="R3030" s="23">
        <v>11100176</v>
      </c>
      <c r="S3030" s="24">
        <v>46122</v>
      </c>
      <c r="T3030" s="24">
        <v>46062</v>
      </c>
      <c r="U3030" s="24" t="s">
        <v>80</v>
      </c>
      <c r="X3030" s="24">
        <v>46036</v>
      </c>
      <c r="Y3030" s="23">
        <v>1111</v>
      </c>
      <c r="Z3030" s="23">
        <v>11400704</v>
      </c>
      <c r="AA3030" s="23">
        <v>335103</v>
      </c>
      <c r="AB3030" s="24">
        <v>46052</v>
      </c>
    </row>
    <row r="3031" spans="3:28" x14ac:dyDescent="0.2">
      <c r="C3031" s="23">
        <v>1100576299</v>
      </c>
      <c r="E3031" s="23">
        <v>290</v>
      </c>
      <c r="F3031" s="23" t="s">
        <v>954</v>
      </c>
      <c r="G3031" s="23" t="s">
        <v>955</v>
      </c>
      <c r="H3031" s="24">
        <v>47118</v>
      </c>
      <c r="I3031" s="24">
        <v>47118</v>
      </c>
      <c r="J3031" s="23" t="s">
        <v>2708</v>
      </c>
      <c r="K3031" s="23" t="s">
        <v>2708</v>
      </c>
      <c r="L3031" s="23">
        <v>2</v>
      </c>
      <c r="M3031" s="23" t="s">
        <v>78</v>
      </c>
      <c r="N3031" s="23" t="s">
        <v>78</v>
      </c>
      <c r="O3031" s="23">
        <v>218.28</v>
      </c>
      <c r="P3031" s="23" t="s">
        <v>79</v>
      </c>
      <c r="Q3031" s="23" t="s">
        <v>83</v>
      </c>
      <c r="R3031" s="23">
        <v>11100176</v>
      </c>
      <c r="S3031" s="24">
        <v>46122</v>
      </c>
      <c r="T3031" s="24">
        <v>46062</v>
      </c>
      <c r="U3031" s="24" t="s">
        <v>80</v>
      </c>
      <c r="X3031" s="24">
        <v>46036</v>
      </c>
      <c r="Y3031" s="23">
        <v>1111</v>
      </c>
      <c r="Z3031" s="23">
        <v>11400704</v>
      </c>
      <c r="AA3031" s="23">
        <v>335103</v>
      </c>
      <c r="AB3031" s="24">
        <v>46052</v>
      </c>
    </row>
    <row r="3032" spans="3:28" x14ac:dyDescent="0.2">
      <c r="C3032" s="23">
        <v>1100576299</v>
      </c>
      <c r="E3032" s="23">
        <v>300</v>
      </c>
      <c r="F3032" s="23" t="s">
        <v>4028</v>
      </c>
      <c r="G3032" s="23" t="s">
        <v>4029</v>
      </c>
      <c r="H3032" s="24">
        <v>47118</v>
      </c>
      <c r="I3032" s="24">
        <v>47118</v>
      </c>
      <c r="J3032" s="23" t="s">
        <v>2708</v>
      </c>
      <c r="K3032" s="23" t="s">
        <v>2708</v>
      </c>
      <c r="L3032" s="23">
        <v>1</v>
      </c>
      <c r="M3032" s="23" t="s">
        <v>78</v>
      </c>
      <c r="N3032" s="23" t="s">
        <v>78</v>
      </c>
      <c r="O3032" s="23">
        <v>7039.02</v>
      </c>
      <c r="P3032" s="23" t="s">
        <v>79</v>
      </c>
      <c r="Q3032" s="23" t="s">
        <v>83</v>
      </c>
      <c r="R3032" s="23">
        <v>11100176</v>
      </c>
      <c r="S3032" s="24">
        <v>46122</v>
      </c>
      <c r="T3032" s="24">
        <v>46062</v>
      </c>
      <c r="U3032" s="24" t="s">
        <v>80</v>
      </c>
      <c r="X3032" s="24">
        <v>46036</v>
      </c>
      <c r="Y3032" s="23">
        <v>1111</v>
      </c>
      <c r="Z3032" s="23">
        <v>11400704</v>
      </c>
      <c r="AA3032" s="23">
        <v>335103</v>
      </c>
      <c r="AB3032" s="24">
        <v>46052</v>
      </c>
    </row>
    <row r="3033" spans="3:28" x14ac:dyDescent="0.2">
      <c r="C3033" s="23">
        <v>1100576299</v>
      </c>
      <c r="E3033" s="23">
        <v>310</v>
      </c>
      <c r="F3033" s="23" t="s">
        <v>4030</v>
      </c>
      <c r="G3033" s="23" t="s">
        <v>4031</v>
      </c>
      <c r="H3033" s="24">
        <v>47118</v>
      </c>
      <c r="I3033" s="24">
        <v>47118</v>
      </c>
      <c r="J3033" s="23" t="s">
        <v>2708</v>
      </c>
      <c r="K3033" s="23" t="s">
        <v>2708</v>
      </c>
      <c r="L3033" s="23">
        <v>1</v>
      </c>
      <c r="M3033" s="23" t="s">
        <v>78</v>
      </c>
      <c r="N3033" s="23" t="s">
        <v>78</v>
      </c>
      <c r="O3033" s="23">
        <v>2061.42</v>
      </c>
      <c r="P3033" s="23" t="s">
        <v>79</v>
      </c>
      <c r="Q3033" s="23" t="s">
        <v>83</v>
      </c>
      <c r="R3033" s="23">
        <v>11100176</v>
      </c>
      <c r="S3033" s="24">
        <v>46122</v>
      </c>
      <c r="T3033" s="24">
        <v>46062</v>
      </c>
      <c r="U3033" s="24" t="s">
        <v>80</v>
      </c>
      <c r="X3033" s="24">
        <v>46036</v>
      </c>
      <c r="Y3033" s="23">
        <v>1111</v>
      </c>
      <c r="Z3033" s="23">
        <v>11400704</v>
      </c>
      <c r="AA3033" s="23">
        <v>335103</v>
      </c>
      <c r="AB3033" s="24">
        <v>46052</v>
      </c>
    </row>
    <row r="3034" spans="3:28" x14ac:dyDescent="0.2">
      <c r="C3034" s="23">
        <v>1100576299</v>
      </c>
      <c r="E3034" s="23">
        <v>320</v>
      </c>
      <c r="F3034" s="23" t="s">
        <v>4032</v>
      </c>
      <c r="G3034" s="23" t="s">
        <v>4033</v>
      </c>
      <c r="H3034" s="24">
        <v>47118</v>
      </c>
      <c r="I3034" s="24">
        <v>47118</v>
      </c>
      <c r="J3034" s="23" t="s">
        <v>2708</v>
      </c>
      <c r="K3034" s="23" t="s">
        <v>2708</v>
      </c>
      <c r="L3034" s="23">
        <v>1</v>
      </c>
      <c r="M3034" s="23" t="s">
        <v>78</v>
      </c>
      <c r="N3034" s="23" t="s">
        <v>78</v>
      </c>
      <c r="O3034" s="23">
        <v>2410.2600000000002</v>
      </c>
      <c r="P3034" s="23" t="s">
        <v>79</v>
      </c>
      <c r="Q3034" s="23" t="s">
        <v>83</v>
      </c>
      <c r="R3034" s="23">
        <v>11100176</v>
      </c>
      <c r="S3034" s="24">
        <v>46122</v>
      </c>
      <c r="T3034" s="24">
        <v>46062</v>
      </c>
      <c r="U3034" s="24" t="s">
        <v>80</v>
      </c>
      <c r="X3034" s="24">
        <v>46036</v>
      </c>
      <c r="Y3034" s="23">
        <v>1111</v>
      </c>
      <c r="Z3034" s="23">
        <v>11400704</v>
      </c>
      <c r="AA3034" s="23">
        <v>335103</v>
      </c>
      <c r="AB3034" s="24">
        <v>46052</v>
      </c>
    </row>
    <row r="3035" spans="3:28" x14ac:dyDescent="0.2">
      <c r="C3035" s="23">
        <v>1100576299</v>
      </c>
      <c r="E3035" s="23">
        <v>330</v>
      </c>
      <c r="F3035" s="23" t="s">
        <v>1937</v>
      </c>
      <c r="G3035" s="23" t="s">
        <v>1938</v>
      </c>
      <c r="H3035" s="24">
        <v>47118</v>
      </c>
      <c r="I3035" s="24">
        <v>47118</v>
      </c>
      <c r="J3035" s="23" t="s">
        <v>2708</v>
      </c>
      <c r="K3035" s="23" t="s">
        <v>2708</v>
      </c>
      <c r="L3035" s="23">
        <v>3</v>
      </c>
      <c r="M3035" s="23" t="s">
        <v>78</v>
      </c>
      <c r="N3035" s="23" t="s">
        <v>78</v>
      </c>
      <c r="O3035" s="23">
        <v>422.28</v>
      </c>
      <c r="P3035" s="23" t="s">
        <v>79</v>
      </c>
      <c r="Q3035" s="23" t="s">
        <v>83</v>
      </c>
      <c r="R3035" s="23">
        <v>11100176</v>
      </c>
      <c r="S3035" s="24">
        <v>46122</v>
      </c>
      <c r="T3035" s="24">
        <v>46062</v>
      </c>
      <c r="U3035" s="24" t="s">
        <v>80</v>
      </c>
      <c r="X3035" s="24">
        <v>46036</v>
      </c>
      <c r="Y3035" s="23">
        <v>1111</v>
      </c>
      <c r="Z3035" s="23">
        <v>11400704</v>
      </c>
      <c r="AA3035" s="23">
        <v>335103</v>
      </c>
      <c r="AB3035" s="24">
        <v>46052</v>
      </c>
    </row>
    <row r="3036" spans="3:28" x14ac:dyDescent="0.2">
      <c r="C3036" s="23">
        <v>1100576299</v>
      </c>
      <c r="E3036" s="23">
        <v>340</v>
      </c>
      <c r="F3036" s="23" t="s">
        <v>4034</v>
      </c>
      <c r="G3036" s="23" t="s">
        <v>4035</v>
      </c>
      <c r="H3036" s="24">
        <v>47118</v>
      </c>
      <c r="I3036" s="24">
        <v>47118</v>
      </c>
      <c r="J3036" s="23" t="s">
        <v>2708</v>
      </c>
      <c r="K3036" s="23" t="s">
        <v>2708</v>
      </c>
      <c r="L3036" s="23">
        <v>1</v>
      </c>
      <c r="M3036" s="23" t="s">
        <v>78</v>
      </c>
      <c r="N3036" s="23" t="s">
        <v>78</v>
      </c>
      <c r="O3036" s="23">
        <v>398.82</v>
      </c>
      <c r="P3036" s="23" t="s">
        <v>79</v>
      </c>
      <c r="Q3036" s="23" t="s">
        <v>83</v>
      </c>
      <c r="R3036" s="23">
        <v>11100176</v>
      </c>
      <c r="S3036" s="24">
        <v>46122</v>
      </c>
      <c r="T3036" s="24">
        <v>46062</v>
      </c>
      <c r="U3036" s="24" t="s">
        <v>80</v>
      </c>
      <c r="X3036" s="24">
        <v>46036</v>
      </c>
      <c r="Y3036" s="23">
        <v>1111</v>
      </c>
      <c r="Z3036" s="23">
        <v>11400704</v>
      </c>
      <c r="AA3036" s="23">
        <v>335103</v>
      </c>
      <c r="AB3036" s="24">
        <v>46052</v>
      </c>
    </row>
    <row r="3037" spans="3:28" x14ac:dyDescent="0.2">
      <c r="C3037" s="23">
        <v>1100576299</v>
      </c>
      <c r="E3037" s="23">
        <v>350</v>
      </c>
      <c r="F3037" s="23" t="s">
        <v>1080</v>
      </c>
      <c r="G3037" s="23" t="s">
        <v>1948</v>
      </c>
      <c r="H3037" s="24">
        <v>47118</v>
      </c>
      <c r="I3037" s="24">
        <v>47118</v>
      </c>
      <c r="J3037" s="23" t="s">
        <v>2708</v>
      </c>
      <c r="K3037" s="23" t="s">
        <v>2708</v>
      </c>
      <c r="L3037" s="23">
        <v>5</v>
      </c>
      <c r="M3037" s="23" t="s">
        <v>78</v>
      </c>
      <c r="N3037" s="23" t="s">
        <v>78</v>
      </c>
      <c r="O3037" s="23">
        <v>19165.8</v>
      </c>
      <c r="P3037" s="23" t="s">
        <v>79</v>
      </c>
      <c r="Q3037" s="23" t="s">
        <v>83</v>
      </c>
      <c r="R3037" s="23">
        <v>11100176</v>
      </c>
      <c r="S3037" s="24">
        <v>46122</v>
      </c>
      <c r="T3037" s="24">
        <v>46062</v>
      </c>
      <c r="U3037" s="24" t="s">
        <v>80</v>
      </c>
      <c r="X3037" s="24">
        <v>46036</v>
      </c>
      <c r="Y3037" s="23">
        <v>1111</v>
      </c>
      <c r="Z3037" s="23">
        <v>11400704</v>
      </c>
      <c r="AA3037" s="23">
        <v>335103</v>
      </c>
      <c r="AB3037" s="24">
        <v>46052</v>
      </c>
    </row>
    <row r="3038" spans="3:28" x14ac:dyDescent="0.2">
      <c r="C3038" s="23">
        <v>1100576299</v>
      </c>
      <c r="E3038" s="23">
        <v>360</v>
      </c>
      <c r="F3038" s="23" t="s">
        <v>4036</v>
      </c>
      <c r="G3038" s="23" t="s">
        <v>4037</v>
      </c>
      <c r="H3038" s="24">
        <v>47118</v>
      </c>
      <c r="I3038" s="24">
        <v>47118</v>
      </c>
      <c r="J3038" s="23" t="s">
        <v>2708</v>
      </c>
      <c r="K3038" s="23" t="s">
        <v>2708</v>
      </c>
      <c r="L3038" s="23">
        <v>2</v>
      </c>
      <c r="M3038" s="23" t="s">
        <v>78</v>
      </c>
      <c r="N3038" s="23" t="s">
        <v>78</v>
      </c>
      <c r="O3038" s="23">
        <v>255</v>
      </c>
      <c r="P3038" s="23" t="s">
        <v>79</v>
      </c>
      <c r="Q3038" s="23" t="s">
        <v>83</v>
      </c>
      <c r="R3038" s="23">
        <v>11100176</v>
      </c>
      <c r="S3038" s="24">
        <v>46122</v>
      </c>
      <c r="T3038" s="24">
        <v>46062</v>
      </c>
      <c r="U3038" s="24" t="s">
        <v>80</v>
      </c>
      <c r="X3038" s="24">
        <v>46036</v>
      </c>
      <c r="Y3038" s="23">
        <v>1111</v>
      </c>
      <c r="Z3038" s="23">
        <v>11400704</v>
      </c>
      <c r="AA3038" s="23">
        <v>335103</v>
      </c>
      <c r="AB3038" s="24">
        <v>46052</v>
      </c>
    </row>
    <row r="3039" spans="3:28" x14ac:dyDescent="0.2">
      <c r="C3039" s="23">
        <v>1100576299</v>
      </c>
      <c r="E3039" s="23">
        <v>370</v>
      </c>
      <c r="F3039" s="23" t="s">
        <v>899</v>
      </c>
      <c r="G3039" s="23" t="s">
        <v>2249</v>
      </c>
      <c r="H3039" s="24">
        <v>47118</v>
      </c>
      <c r="I3039" s="24">
        <v>47118</v>
      </c>
      <c r="J3039" s="23" t="s">
        <v>2708</v>
      </c>
      <c r="K3039" s="23" t="s">
        <v>2708</v>
      </c>
      <c r="L3039" s="23">
        <v>3</v>
      </c>
      <c r="M3039" s="23" t="s">
        <v>78</v>
      </c>
      <c r="N3039" s="23" t="s">
        <v>78</v>
      </c>
      <c r="O3039" s="23">
        <v>10936.44</v>
      </c>
      <c r="P3039" s="23" t="s">
        <v>79</v>
      </c>
      <c r="Q3039" s="23" t="s">
        <v>83</v>
      </c>
      <c r="R3039" s="23">
        <v>11100176</v>
      </c>
      <c r="S3039" s="24">
        <v>46122</v>
      </c>
      <c r="T3039" s="24">
        <v>46062</v>
      </c>
      <c r="U3039" s="24" t="s">
        <v>80</v>
      </c>
      <c r="X3039" s="24">
        <v>46036</v>
      </c>
      <c r="Y3039" s="23">
        <v>1111</v>
      </c>
      <c r="Z3039" s="23">
        <v>11400704</v>
      </c>
      <c r="AA3039" s="23">
        <v>335103</v>
      </c>
      <c r="AB3039" s="24">
        <v>46052</v>
      </c>
    </row>
    <row r="3040" spans="3:28" x14ac:dyDescent="0.2">
      <c r="C3040" s="23">
        <v>1100576299</v>
      </c>
      <c r="E3040" s="23">
        <v>380</v>
      </c>
      <c r="F3040" s="23" t="s">
        <v>1991</v>
      </c>
      <c r="G3040" s="23" t="s">
        <v>1992</v>
      </c>
      <c r="H3040" s="24">
        <v>47118</v>
      </c>
      <c r="I3040" s="24">
        <v>47118</v>
      </c>
      <c r="J3040" s="23" t="s">
        <v>2708</v>
      </c>
      <c r="K3040" s="23" t="s">
        <v>2708</v>
      </c>
      <c r="L3040" s="23">
        <v>2</v>
      </c>
      <c r="M3040" s="23" t="s">
        <v>78</v>
      </c>
      <c r="N3040" s="23" t="s">
        <v>78</v>
      </c>
      <c r="O3040" s="23">
        <v>199.92</v>
      </c>
      <c r="P3040" s="23" t="s">
        <v>79</v>
      </c>
      <c r="Q3040" s="23" t="s">
        <v>83</v>
      </c>
      <c r="R3040" s="23">
        <v>11100176</v>
      </c>
      <c r="S3040" s="24">
        <v>46122</v>
      </c>
      <c r="T3040" s="24">
        <v>46062</v>
      </c>
      <c r="U3040" s="24" t="s">
        <v>80</v>
      </c>
      <c r="X3040" s="24">
        <v>46036</v>
      </c>
      <c r="Y3040" s="23">
        <v>1111</v>
      </c>
      <c r="Z3040" s="23">
        <v>11400704</v>
      </c>
      <c r="AA3040" s="23">
        <v>335103</v>
      </c>
      <c r="AB3040" s="24">
        <v>46052</v>
      </c>
    </row>
    <row r="3041" spans="2:28" x14ac:dyDescent="0.2">
      <c r="C3041" s="23">
        <v>1100576299</v>
      </c>
      <c r="E3041" s="23">
        <v>390</v>
      </c>
      <c r="F3041" s="23" t="s">
        <v>4038</v>
      </c>
      <c r="G3041" s="23" t="s">
        <v>4039</v>
      </c>
      <c r="H3041" s="24">
        <v>47118</v>
      </c>
      <c r="I3041" s="24">
        <v>47118</v>
      </c>
      <c r="J3041" s="23" t="s">
        <v>2708</v>
      </c>
      <c r="K3041" s="23" t="s">
        <v>2708</v>
      </c>
      <c r="L3041" s="23">
        <v>2</v>
      </c>
      <c r="M3041" s="23" t="s">
        <v>78</v>
      </c>
      <c r="N3041" s="23" t="s">
        <v>78</v>
      </c>
      <c r="O3041" s="23">
        <v>14854.3</v>
      </c>
      <c r="P3041" s="23" t="s">
        <v>79</v>
      </c>
      <c r="Q3041" s="23" t="s">
        <v>83</v>
      </c>
      <c r="R3041" s="23">
        <v>11100176</v>
      </c>
      <c r="S3041" s="24">
        <v>46122</v>
      </c>
      <c r="T3041" s="24">
        <v>46062</v>
      </c>
      <c r="U3041" s="24" t="s">
        <v>80</v>
      </c>
      <c r="X3041" s="24">
        <v>46036</v>
      </c>
      <c r="Y3041" s="23">
        <v>1111</v>
      </c>
      <c r="Z3041" s="23">
        <v>11400704</v>
      </c>
      <c r="AA3041" s="23">
        <v>335103</v>
      </c>
      <c r="AB3041" s="24">
        <v>46052</v>
      </c>
    </row>
    <row r="3042" spans="2:28" x14ac:dyDescent="0.2">
      <c r="B3042" s="23" t="s">
        <v>81</v>
      </c>
      <c r="C3042" s="23">
        <v>1100576299</v>
      </c>
      <c r="H3042" s="24">
        <v>47118</v>
      </c>
      <c r="O3042" s="23">
        <v>89088.87</v>
      </c>
      <c r="P3042" s="23" t="s">
        <v>79</v>
      </c>
    </row>
    <row r="3043" spans="2:28" x14ac:dyDescent="0.2">
      <c r="C3043" s="23">
        <v>1100576464</v>
      </c>
      <c r="E3043" s="23">
        <v>10</v>
      </c>
      <c r="F3043" s="23" t="s">
        <v>4040</v>
      </c>
      <c r="G3043" s="23" t="s">
        <v>4041</v>
      </c>
      <c r="H3043" s="24">
        <v>47118</v>
      </c>
      <c r="I3043" s="24">
        <v>47118</v>
      </c>
      <c r="J3043" s="23" t="s">
        <v>4042</v>
      </c>
      <c r="K3043" s="23" t="s">
        <v>4042</v>
      </c>
      <c r="L3043" s="23">
        <v>1</v>
      </c>
      <c r="M3043" s="23" t="s">
        <v>78</v>
      </c>
      <c r="N3043" s="23" t="s">
        <v>78</v>
      </c>
      <c r="O3043" s="23">
        <v>2448.27</v>
      </c>
      <c r="P3043" s="23" t="s">
        <v>79</v>
      </c>
      <c r="Q3043" s="23" t="s">
        <v>83</v>
      </c>
      <c r="R3043" s="23">
        <v>11100176</v>
      </c>
      <c r="S3043" s="24">
        <v>46119</v>
      </c>
      <c r="T3043" s="24">
        <v>46063</v>
      </c>
      <c r="U3043" s="24">
        <v>47116</v>
      </c>
      <c r="X3043" s="24">
        <v>46058</v>
      </c>
      <c r="Y3043" s="23">
        <v>1111</v>
      </c>
      <c r="Z3043" s="23">
        <v>11600001</v>
      </c>
      <c r="AA3043" s="23">
        <v>5251</v>
      </c>
      <c r="AB3043" s="24">
        <v>46050</v>
      </c>
    </row>
    <row r="3044" spans="2:28" x14ac:dyDescent="0.2">
      <c r="C3044" s="23">
        <v>1100576464</v>
      </c>
      <c r="E3044" s="23">
        <v>20</v>
      </c>
      <c r="F3044" s="23" t="s">
        <v>4043</v>
      </c>
      <c r="G3044" s="23" t="s">
        <v>4044</v>
      </c>
      <c r="H3044" s="24">
        <v>47118</v>
      </c>
      <c r="I3044" s="24">
        <v>47118</v>
      </c>
      <c r="J3044" s="23" t="s">
        <v>4042</v>
      </c>
      <c r="K3044" s="23" t="s">
        <v>4042</v>
      </c>
      <c r="L3044" s="23">
        <v>1</v>
      </c>
      <c r="M3044" s="23" t="s">
        <v>78</v>
      </c>
      <c r="N3044" s="23" t="s">
        <v>78</v>
      </c>
      <c r="O3044" s="23">
        <v>2191.35</v>
      </c>
      <c r="P3044" s="23" t="s">
        <v>79</v>
      </c>
      <c r="Q3044" s="23" t="s">
        <v>83</v>
      </c>
      <c r="R3044" s="23">
        <v>11100176</v>
      </c>
      <c r="S3044" s="24">
        <v>46119</v>
      </c>
      <c r="T3044" s="24">
        <v>46063</v>
      </c>
      <c r="U3044" s="24">
        <v>47116</v>
      </c>
      <c r="X3044" s="24">
        <v>46058</v>
      </c>
      <c r="Y3044" s="23">
        <v>1111</v>
      </c>
      <c r="Z3044" s="23">
        <v>11600001</v>
      </c>
      <c r="AA3044" s="23">
        <v>5251</v>
      </c>
      <c r="AB3044" s="24">
        <v>46050</v>
      </c>
    </row>
    <row r="3045" spans="2:28" x14ac:dyDescent="0.2">
      <c r="C3045" s="23">
        <v>1100576464</v>
      </c>
      <c r="E3045" s="23">
        <v>30</v>
      </c>
      <c r="F3045" s="23" t="s">
        <v>82</v>
      </c>
      <c r="G3045" s="23" t="s">
        <v>139</v>
      </c>
      <c r="H3045" s="24">
        <v>47118</v>
      </c>
      <c r="I3045" s="24">
        <v>47118</v>
      </c>
      <c r="J3045" s="23" t="s">
        <v>4042</v>
      </c>
      <c r="K3045" s="23" t="s">
        <v>4042</v>
      </c>
      <c r="L3045" s="23">
        <v>1</v>
      </c>
      <c r="M3045" s="23" t="s">
        <v>78</v>
      </c>
      <c r="N3045" s="23" t="s">
        <v>78</v>
      </c>
      <c r="O3045" s="23">
        <v>243.74</v>
      </c>
      <c r="P3045" s="23" t="s">
        <v>79</v>
      </c>
      <c r="Q3045" s="23" t="s">
        <v>83</v>
      </c>
      <c r="R3045" s="23">
        <v>11100176</v>
      </c>
      <c r="S3045" s="24">
        <v>46119</v>
      </c>
      <c r="T3045" s="24">
        <v>46063</v>
      </c>
      <c r="U3045" s="24">
        <v>47116</v>
      </c>
      <c r="X3045" s="24">
        <v>46058</v>
      </c>
      <c r="Y3045" s="23">
        <v>1111</v>
      </c>
      <c r="Z3045" s="23">
        <v>11600001</v>
      </c>
      <c r="AA3045" s="23">
        <v>5251</v>
      </c>
      <c r="AB3045" s="24">
        <v>46050</v>
      </c>
    </row>
    <row r="3046" spans="2:28" x14ac:dyDescent="0.2">
      <c r="B3046" s="23" t="s">
        <v>81</v>
      </c>
      <c r="C3046" s="23">
        <v>1100576464</v>
      </c>
      <c r="H3046" s="24">
        <v>47118</v>
      </c>
      <c r="O3046" s="23">
        <v>4883.3599999999997</v>
      </c>
      <c r="P3046" s="23" t="s">
        <v>79</v>
      </c>
    </row>
    <row r="3047" spans="2:28" x14ac:dyDescent="0.2">
      <c r="C3047" s="23">
        <v>1100576563</v>
      </c>
      <c r="E3047" s="23">
        <v>10</v>
      </c>
      <c r="F3047" s="23">
        <v>3849059</v>
      </c>
      <c r="G3047" s="23" t="s">
        <v>4045</v>
      </c>
      <c r="H3047" s="24">
        <v>47118</v>
      </c>
      <c r="I3047" s="24">
        <v>47118</v>
      </c>
      <c r="J3047" s="23" t="s">
        <v>253</v>
      </c>
      <c r="K3047" s="23" t="s">
        <v>253</v>
      </c>
      <c r="L3047" s="23">
        <v>100</v>
      </c>
      <c r="M3047" s="23" t="s">
        <v>32</v>
      </c>
      <c r="N3047" s="23" t="s">
        <v>32</v>
      </c>
      <c r="O3047" s="23">
        <v>781</v>
      </c>
      <c r="P3047" s="23" t="s">
        <v>79</v>
      </c>
      <c r="Q3047" s="23" t="s">
        <v>83</v>
      </c>
      <c r="R3047" s="23">
        <v>11100176</v>
      </c>
      <c r="S3047" s="24">
        <v>46093</v>
      </c>
      <c r="T3047" s="24">
        <v>46064</v>
      </c>
      <c r="U3047" s="24">
        <v>47116</v>
      </c>
      <c r="X3047" s="24">
        <v>46066</v>
      </c>
      <c r="Y3047" s="23">
        <v>1111</v>
      </c>
      <c r="Z3047" s="23">
        <v>11400704</v>
      </c>
      <c r="AA3047" s="23">
        <v>3951</v>
      </c>
      <c r="AB3047" s="24">
        <v>46056</v>
      </c>
    </row>
    <row r="3048" spans="2:28" x14ac:dyDescent="0.2">
      <c r="B3048" s="23" t="s">
        <v>81</v>
      </c>
      <c r="C3048" s="23">
        <v>1100576563</v>
      </c>
      <c r="H3048" s="24">
        <v>47118</v>
      </c>
      <c r="O3048" s="23">
        <v>781</v>
      </c>
      <c r="P3048" s="23" t="s">
        <v>79</v>
      </c>
    </row>
    <row r="3049" spans="2:28" x14ac:dyDescent="0.2">
      <c r="C3049" s="23">
        <v>1100576570</v>
      </c>
      <c r="E3049" s="23">
        <v>20</v>
      </c>
      <c r="F3049" s="23" t="s">
        <v>2202</v>
      </c>
      <c r="G3049" s="23" t="s">
        <v>4046</v>
      </c>
      <c r="H3049" s="24">
        <v>47118</v>
      </c>
      <c r="I3049" s="24">
        <v>47118</v>
      </c>
      <c r="J3049" s="23" t="s">
        <v>685</v>
      </c>
      <c r="K3049" s="23" t="s">
        <v>685</v>
      </c>
      <c r="L3049" s="23">
        <v>1</v>
      </c>
      <c r="M3049" s="23" t="s">
        <v>78</v>
      </c>
      <c r="N3049" s="23" t="s">
        <v>78</v>
      </c>
      <c r="O3049" s="23">
        <v>6678</v>
      </c>
      <c r="P3049" s="23" t="s">
        <v>79</v>
      </c>
      <c r="Q3049" s="23" t="s">
        <v>83</v>
      </c>
      <c r="R3049" s="23">
        <v>11100008</v>
      </c>
      <c r="S3049" s="24" t="s">
        <v>80</v>
      </c>
      <c r="T3049" s="24">
        <v>46064</v>
      </c>
      <c r="U3049" s="24">
        <v>47116</v>
      </c>
      <c r="X3049" s="24">
        <v>46064</v>
      </c>
      <c r="Y3049" s="23">
        <v>1111</v>
      </c>
      <c r="Z3049" s="23">
        <v>11100172</v>
      </c>
      <c r="AA3049" s="23">
        <v>5055</v>
      </c>
      <c r="AB3049" s="24">
        <v>46064</v>
      </c>
    </row>
    <row r="3050" spans="2:28" x14ac:dyDescent="0.2">
      <c r="B3050" s="23" t="s">
        <v>81</v>
      </c>
      <c r="C3050" s="23">
        <v>1100576570</v>
      </c>
      <c r="H3050" s="24">
        <v>47118</v>
      </c>
      <c r="O3050" s="23">
        <v>6678</v>
      </c>
      <c r="P3050" s="23" t="s">
        <v>79</v>
      </c>
    </row>
    <row r="3051" spans="2:28" x14ac:dyDescent="0.2">
      <c r="C3051" s="23">
        <v>1100576911</v>
      </c>
      <c r="E3051" s="23">
        <v>10</v>
      </c>
      <c r="F3051" s="23" t="s">
        <v>4047</v>
      </c>
      <c r="G3051" s="23" t="s">
        <v>4048</v>
      </c>
      <c r="H3051" s="24">
        <v>47118</v>
      </c>
      <c r="I3051" s="24">
        <v>47118</v>
      </c>
      <c r="J3051" s="23" t="s">
        <v>3053</v>
      </c>
      <c r="K3051" s="23" t="s">
        <v>3053</v>
      </c>
      <c r="L3051" s="23">
        <v>1</v>
      </c>
      <c r="M3051" s="23" t="s">
        <v>78</v>
      </c>
      <c r="N3051" s="23" t="s">
        <v>78</v>
      </c>
      <c r="O3051" s="23">
        <v>462</v>
      </c>
      <c r="P3051" s="23" t="s">
        <v>79</v>
      </c>
      <c r="Q3051" s="23" t="s">
        <v>83</v>
      </c>
      <c r="R3051" s="23">
        <v>11100008</v>
      </c>
      <c r="S3051" s="24">
        <v>46104</v>
      </c>
      <c r="T3051" s="24">
        <v>46069</v>
      </c>
      <c r="U3051" s="24" t="s">
        <v>80</v>
      </c>
      <c r="X3051" s="24">
        <v>46066</v>
      </c>
      <c r="Y3051" s="23">
        <v>1111</v>
      </c>
      <c r="Z3051" s="23">
        <v>11400895</v>
      </c>
      <c r="AA3051" s="23">
        <v>3951</v>
      </c>
      <c r="AB3051" s="24">
        <v>46066</v>
      </c>
    </row>
    <row r="3052" spans="2:28" x14ac:dyDescent="0.2">
      <c r="B3052" s="23" t="s">
        <v>81</v>
      </c>
      <c r="C3052" s="23">
        <v>1100576911</v>
      </c>
      <c r="H3052" s="24">
        <v>47118</v>
      </c>
      <c r="O3052" s="23">
        <v>462</v>
      </c>
      <c r="P3052" s="23" t="s">
        <v>79</v>
      </c>
    </row>
    <row r="3053" spans="2:28" x14ac:dyDescent="0.2">
      <c r="C3053" s="23">
        <v>1100576946</v>
      </c>
      <c r="E3053" s="23">
        <v>20</v>
      </c>
      <c r="F3053" s="23" t="s">
        <v>82</v>
      </c>
      <c r="G3053" s="23" t="s">
        <v>139</v>
      </c>
      <c r="H3053" s="24">
        <v>47118</v>
      </c>
      <c r="I3053" s="24">
        <v>47118</v>
      </c>
      <c r="J3053" s="23" t="s">
        <v>2663</v>
      </c>
      <c r="K3053" s="23" t="s">
        <v>2663</v>
      </c>
      <c r="L3053" s="23">
        <v>1</v>
      </c>
      <c r="M3053" s="23" t="s">
        <v>78</v>
      </c>
      <c r="N3053" s="23" t="s">
        <v>78</v>
      </c>
      <c r="O3053" s="23">
        <v>0.01</v>
      </c>
      <c r="P3053" s="23" t="s">
        <v>79</v>
      </c>
      <c r="Q3053" s="23" t="s">
        <v>83</v>
      </c>
      <c r="R3053" s="23">
        <v>11100176</v>
      </c>
      <c r="S3053" s="24">
        <v>46072</v>
      </c>
      <c r="T3053" s="24">
        <v>46069</v>
      </c>
      <c r="U3053" s="24" t="s">
        <v>80</v>
      </c>
      <c r="X3053" s="24">
        <v>46066</v>
      </c>
      <c r="Y3053" s="23">
        <v>1111</v>
      </c>
      <c r="Z3053" s="23">
        <v>11600003</v>
      </c>
      <c r="AA3053" s="23">
        <v>3351</v>
      </c>
      <c r="AB3053" s="24">
        <v>46065</v>
      </c>
    </row>
    <row r="3054" spans="2:28" x14ac:dyDescent="0.2">
      <c r="C3054" s="23">
        <v>1100576946</v>
      </c>
      <c r="E3054" s="23">
        <v>30</v>
      </c>
      <c r="F3054" s="23" t="s">
        <v>240</v>
      </c>
      <c r="G3054" s="23" t="s">
        <v>241</v>
      </c>
      <c r="H3054" s="24">
        <v>47118</v>
      </c>
      <c r="I3054" s="24">
        <v>47118</v>
      </c>
      <c r="J3054" s="23" t="s">
        <v>2663</v>
      </c>
      <c r="K3054" s="23" t="s">
        <v>2663</v>
      </c>
      <c r="L3054" s="23">
        <v>3</v>
      </c>
      <c r="M3054" s="23" t="s">
        <v>78</v>
      </c>
      <c r="N3054" s="23" t="s">
        <v>78</v>
      </c>
      <c r="O3054" s="23">
        <v>1296.45</v>
      </c>
      <c r="P3054" s="23" t="s">
        <v>79</v>
      </c>
      <c r="Q3054" s="23" t="s">
        <v>83</v>
      </c>
      <c r="R3054" s="23">
        <v>11100176</v>
      </c>
      <c r="S3054" s="24">
        <v>46072</v>
      </c>
      <c r="T3054" s="24">
        <v>46069</v>
      </c>
      <c r="U3054" s="24" t="s">
        <v>80</v>
      </c>
      <c r="X3054" s="24">
        <v>46066</v>
      </c>
      <c r="Y3054" s="23">
        <v>1111</v>
      </c>
      <c r="Z3054" s="23">
        <v>11600003</v>
      </c>
      <c r="AA3054" s="23">
        <v>3351</v>
      </c>
      <c r="AB3054" s="24">
        <v>46065</v>
      </c>
    </row>
    <row r="3055" spans="2:28" x14ac:dyDescent="0.2">
      <c r="B3055" s="23" t="s">
        <v>81</v>
      </c>
      <c r="C3055" s="23">
        <v>1100576946</v>
      </c>
      <c r="H3055" s="24">
        <v>47118</v>
      </c>
      <c r="O3055" s="23">
        <v>1296.46</v>
      </c>
      <c r="P3055" s="23" t="s">
        <v>79</v>
      </c>
    </row>
    <row r="3056" spans="2:28" x14ac:dyDescent="0.2">
      <c r="C3056" s="23">
        <v>1100577032</v>
      </c>
      <c r="E3056" s="23">
        <v>10</v>
      </c>
      <c r="F3056" s="23" t="s">
        <v>4050</v>
      </c>
      <c r="G3056" s="23" t="s">
        <v>4051</v>
      </c>
      <c r="H3056" s="24">
        <v>47118</v>
      </c>
      <c r="I3056" s="24">
        <v>47118</v>
      </c>
      <c r="J3056" s="23" t="s">
        <v>219</v>
      </c>
      <c r="K3056" s="23" t="s">
        <v>219</v>
      </c>
      <c r="L3056" s="23">
        <v>2</v>
      </c>
      <c r="M3056" s="23" t="s">
        <v>78</v>
      </c>
      <c r="N3056" s="23" t="s">
        <v>78</v>
      </c>
      <c r="O3056" s="23">
        <v>6244</v>
      </c>
      <c r="P3056" s="23" t="s">
        <v>79</v>
      </c>
      <c r="Q3056" s="23" t="s">
        <v>83</v>
      </c>
      <c r="R3056" s="23">
        <v>11100176</v>
      </c>
      <c r="S3056" s="24">
        <v>47118</v>
      </c>
      <c r="T3056" s="24">
        <v>46070</v>
      </c>
      <c r="U3056" s="24" t="s">
        <v>80</v>
      </c>
      <c r="X3056" s="24">
        <v>46034</v>
      </c>
      <c r="Y3056" s="23">
        <v>1111</v>
      </c>
      <c r="Z3056" s="23">
        <v>11400704</v>
      </c>
      <c r="AA3056" s="23">
        <v>3951</v>
      </c>
      <c r="AB3056" s="24">
        <v>46034</v>
      </c>
    </row>
    <row r="3057" spans="2:28" x14ac:dyDescent="0.2">
      <c r="B3057" s="23" t="s">
        <v>81</v>
      </c>
      <c r="C3057" s="23">
        <v>1100577032</v>
      </c>
      <c r="H3057" s="24">
        <v>47118</v>
      </c>
      <c r="O3057" s="23">
        <v>6244</v>
      </c>
      <c r="P3057" s="23" t="s">
        <v>79</v>
      </c>
    </row>
    <row r="3058" spans="2:28" x14ac:dyDescent="0.2">
      <c r="C3058" s="23">
        <v>1100577055</v>
      </c>
      <c r="E3058" s="23">
        <v>10</v>
      </c>
      <c r="F3058" s="23" t="s">
        <v>4052</v>
      </c>
      <c r="G3058" s="23" t="s">
        <v>4053</v>
      </c>
      <c r="H3058" s="24">
        <v>47118</v>
      </c>
      <c r="I3058" s="24">
        <v>47118</v>
      </c>
      <c r="J3058" s="23" t="s">
        <v>2180</v>
      </c>
      <c r="K3058" s="23" t="s">
        <v>2180</v>
      </c>
      <c r="L3058" s="23">
        <v>1</v>
      </c>
      <c r="M3058" s="23" t="s">
        <v>78</v>
      </c>
      <c r="N3058" s="23" t="s">
        <v>78</v>
      </c>
      <c r="O3058" s="23">
        <v>4790.4799999999996</v>
      </c>
      <c r="P3058" s="23" t="s">
        <v>79</v>
      </c>
      <c r="Q3058" s="23" t="s">
        <v>83</v>
      </c>
      <c r="R3058" s="23">
        <v>11100176</v>
      </c>
      <c r="S3058" s="24">
        <v>46113</v>
      </c>
      <c r="T3058" s="24">
        <v>46071</v>
      </c>
      <c r="U3058" s="24">
        <v>47116</v>
      </c>
      <c r="X3058" s="24">
        <v>46050</v>
      </c>
      <c r="Y3058" s="23">
        <v>1111</v>
      </c>
      <c r="Z3058" s="23">
        <v>11600001</v>
      </c>
      <c r="AA3058" s="23">
        <v>3351</v>
      </c>
      <c r="AB3058" s="24">
        <v>46057</v>
      </c>
    </row>
    <row r="3059" spans="2:28" x14ac:dyDescent="0.2">
      <c r="C3059" s="23">
        <v>1100577055</v>
      </c>
      <c r="E3059" s="23">
        <v>20</v>
      </c>
      <c r="F3059" s="23" t="s">
        <v>82</v>
      </c>
      <c r="G3059" s="23" t="s">
        <v>139</v>
      </c>
      <c r="H3059" s="24">
        <v>47118</v>
      </c>
      <c r="I3059" s="24">
        <v>47118</v>
      </c>
      <c r="J3059" s="23" t="s">
        <v>2180</v>
      </c>
      <c r="K3059" s="23" t="s">
        <v>2180</v>
      </c>
      <c r="L3059" s="23">
        <v>1</v>
      </c>
      <c r="M3059" s="23" t="s">
        <v>78</v>
      </c>
      <c r="N3059" s="23" t="s">
        <v>78</v>
      </c>
      <c r="O3059" s="23">
        <v>74</v>
      </c>
      <c r="P3059" s="23" t="s">
        <v>79</v>
      </c>
      <c r="Q3059" s="23" t="s">
        <v>83</v>
      </c>
      <c r="R3059" s="23">
        <v>11100176</v>
      </c>
      <c r="S3059" s="24" t="s">
        <v>80</v>
      </c>
      <c r="T3059" s="24">
        <v>46071</v>
      </c>
      <c r="U3059" s="24">
        <v>47116</v>
      </c>
      <c r="X3059" s="24">
        <v>46050</v>
      </c>
      <c r="Y3059" s="23">
        <v>1111</v>
      </c>
      <c r="Z3059" s="23">
        <v>11600001</v>
      </c>
      <c r="AA3059" s="23">
        <v>3351</v>
      </c>
      <c r="AB3059" s="24">
        <v>46057</v>
      </c>
    </row>
    <row r="3060" spans="2:28" x14ac:dyDescent="0.2">
      <c r="B3060" s="23" t="s">
        <v>81</v>
      </c>
      <c r="C3060" s="23">
        <v>1100577055</v>
      </c>
      <c r="H3060" s="24">
        <v>47118</v>
      </c>
      <c r="O3060" s="23">
        <v>4864.4799999999996</v>
      </c>
      <c r="P3060" s="23" t="s">
        <v>79</v>
      </c>
    </row>
    <row r="3061" spans="2:28" x14ac:dyDescent="0.2">
      <c r="C3061" s="23">
        <v>1100577061</v>
      </c>
      <c r="E3061" s="23">
        <v>30</v>
      </c>
      <c r="F3061" s="23" t="s">
        <v>82</v>
      </c>
      <c r="G3061" s="23" t="s">
        <v>139</v>
      </c>
      <c r="H3061" s="24">
        <v>47118</v>
      </c>
      <c r="I3061" s="24">
        <v>47118</v>
      </c>
      <c r="J3061" s="23" t="s">
        <v>794</v>
      </c>
      <c r="K3061" s="23" t="s">
        <v>794</v>
      </c>
      <c r="L3061" s="23">
        <v>1</v>
      </c>
      <c r="M3061" s="23" t="s">
        <v>78</v>
      </c>
      <c r="N3061" s="23" t="s">
        <v>78</v>
      </c>
      <c r="O3061" s="23">
        <v>0.01</v>
      </c>
      <c r="P3061" s="23" t="s">
        <v>79</v>
      </c>
      <c r="Q3061" s="23" t="s">
        <v>83</v>
      </c>
      <c r="R3061" s="23">
        <v>11100008</v>
      </c>
      <c r="S3061" s="24" t="s">
        <v>80</v>
      </c>
      <c r="T3061" s="24">
        <v>46071</v>
      </c>
      <c r="U3061" s="24">
        <v>47116</v>
      </c>
      <c r="X3061" s="24">
        <v>46071</v>
      </c>
      <c r="Y3061" s="23">
        <v>1111</v>
      </c>
      <c r="Z3061" s="23">
        <v>11100172</v>
      </c>
      <c r="AA3061" s="23">
        <v>3355</v>
      </c>
      <c r="AB3061" s="24">
        <v>46071</v>
      </c>
    </row>
    <row r="3062" spans="2:28" x14ac:dyDescent="0.2">
      <c r="B3062" s="23" t="s">
        <v>81</v>
      </c>
      <c r="C3062" s="23">
        <v>1100577061</v>
      </c>
      <c r="H3062" s="24">
        <v>47118</v>
      </c>
      <c r="O3062" s="23">
        <v>0.01</v>
      </c>
      <c r="P3062" s="23" t="s">
        <v>79</v>
      </c>
    </row>
    <row r="3063" spans="2:28" x14ac:dyDescent="0.2">
      <c r="C3063" s="23">
        <v>1100577196</v>
      </c>
      <c r="E3063" s="23">
        <v>30</v>
      </c>
      <c r="F3063" s="23" t="s">
        <v>82</v>
      </c>
      <c r="G3063" s="23" t="s">
        <v>139</v>
      </c>
      <c r="H3063" s="24">
        <v>47118</v>
      </c>
      <c r="I3063" s="24">
        <v>47118</v>
      </c>
      <c r="J3063" s="23" t="s">
        <v>1777</v>
      </c>
      <c r="K3063" s="23" t="s">
        <v>1777</v>
      </c>
      <c r="L3063" s="23">
        <v>1</v>
      </c>
      <c r="M3063" s="23" t="s">
        <v>78</v>
      </c>
      <c r="N3063" s="23" t="s">
        <v>78</v>
      </c>
      <c r="O3063" s="23">
        <v>0.01</v>
      </c>
      <c r="P3063" s="23" t="s">
        <v>79</v>
      </c>
      <c r="Q3063" s="23" t="s">
        <v>83</v>
      </c>
      <c r="R3063" s="23">
        <v>11100008</v>
      </c>
      <c r="S3063" s="24" t="s">
        <v>80</v>
      </c>
      <c r="T3063" s="24">
        <v>46072</v>
      </c>
      <c r="U3063" s="24">
        <v>47116</v>
      </c>
      <c r="X3063" s="24">
        <v>46072</v>
      </c>
      <c r="Y3063" s="23">
        <v>1111</v>
      </c>
      <c r="Z3063" s="23">
        <v>11100172</v>
      </c>
      <c r="AA3063" s="23">
        <v>3355</v>
      </c>
      <c r="AB3063" s="24">
        <v>46072</v>
      </c>
    </row>
    <row r="3064" spans="2:28" x14ac:dyDescent="0.2">
      <c r="B3064" s="23" t="s">
        <v>81</v>
      </c>
      <c r="C3064" s="23">
        <v>1100577196</v>
      </c>
      <c r="H3064" s="24">
        <v>47118</v>
      </c>
      <c r="O3064" s="23">
        <v>0.01</v>
      </c>
      <c r="P3064" s="23" t="s">
        <v>79</v>
      </c>
    </row>
    <row r="3065" spans="2:28" x14ac:dyDescent="0.2">
      <c r="C3065" s="23">
        <v>1100577249</v>
      </c>
      <c r="E3065" s="23">
        <v>10</v>
      </c>
      <c r="F3065" s="23" t="s">
        <v>1145</v>
      </c>
      <c r="G3065" s="23" t="s">
        <v>1146</v>
      </c>
      <c r="H3065" s="24">
        <v>47118</v>
      </c>
      <c r="I3065" s="24">
        <v>47118</v>
      </c>
      <c r="J3065" s="23" t="s">
        <v>1147</v>
      </c>
      <c r="K3065" s="23" t="s">
        <v>1147</v>
      </c>
      <c r="L3065" s="23">
        <v>2</v>
      </c>
      <c r="M3065" s="23" t="s">
        <v>78</v>
      </c>
      <c r="N3065" s="23" t="s">
        <v>78</v>
      </c>
      <c r="O3065" s="23">
        <v>2111.4</v>
      </c>
      <c r="P3065" s="23" t="s">
        <v>79</v>
      </c>
      <c r="Q3065" s="23" t="s">
        <v>83</v>
      </c>
      <c r="R3065" s="23">
        <v>11100176</v>
      </c>
      <c r="S3065" s="24">
        <v>46108</v>
      </c>
      <c r="T3065" s="24">
        <v>46072</v>
      </c>
      <c r="U3065" s="24">
        <v>47116</v>
      </c>
      <c r="X3065" s="24">
        <v>46069</v>
      </c>
      <c r="Y3065" s="23">
        <v>1111</v>
      </c>
      <c r="Z3065" s="23">
        <v>11400704</v>
      </c>
      <c r="AA3065" s="23">
        <v>505103</v>
      </c>
      <c r="AB3065" s="24">
        <v>46069</v>
      </c>
    </row>
    <row r="3066" spans="2:28" x14ac:dyDescent="0.2">
      <c r="B3066" s="23" t="s">
        <v>81</v>
      </c>
      <c r="C3066" s="23">
        <v>1100577249</v>
      </c>
      <c r="H3066" s="24">
        <v>47118</v>
      </c>
      <c r="O3066" s="23">
        <v>2111.4</v>
      </c>
      <c r="P3066" s="23" t="s">
        <v>79</v>
      </c>
    </row>
    <row r="3067" spans="2:28" x14ac:dyDescent="0.2">
      <c r="C3067" s="23">
        <v>1100577254</v>
      </c>
      <c r="E3067" s="23">
        <v>10</v>
      </c>
      <c r="F3067" s="23" t="s">
        <v>130</v>
      </c>
      <c r="G3067" s="23" t="s">
        <v>4059</v>
      </c>
      <c r="H3067" s="24">
        <v>47118</v>
      </c>
      <c r="I3067" s="24">
        <v>47118</v>
      </c>
      <c r="J3067" s="23" t="s">
        <v>308</v>
      </c>
      <c r="K3067" s="23" t="s">
        <v>308</v>
      </c>
      <c r="L3067" s="23">
        <v>1</v>
      </c>
      <c r="M3067" s="23" t="s">
        <v>131</v>
      </c>
      <c r="N3067" s="23" t="s">
        <v>131</v>
      </c>
      <c r="O3067" s="23">
        <v>0</v>
      </c>
      <c r="P3067" s="23" t="s">
        <v>79</v>
      </c>
      <c r="Q3067" s="23" t="s">
        <v>83</v>
      </c>
      <c r="R3067" s="23">
        <v>11100008</v>
      </c>
      <c r="S3067" s="24" t="s">
        <v>80</v>
      </c>
      <c r="T3067" s="24">
        <v>46072</v>
      </c>
      <c r="U3067" s="24">
        <v>47116</v>
      </c>
      <c r="X3067" s="24">
        <v>46072</v>
      </c>
      <c r="Y3067" s="23">
        <v>1111</v>
      </c>
      <c r="Z3067" s="23">
        <v>11400797</v>
      </c>
      <c r="AA3067" s="23">
        <v>5021</v>
      </c>
      <c r="AB3067" s="24">
        <v>46072</v>
      </c>
    </row>
    <row r="3068" spans="2:28" x14ac:dyDescent="0.2">
      <c r="B3068" s="23" t="s">
        <v>81</v>
      </c>
      <c r="C3068" s="23">
        <v>1100577254</v>
      </c>
      <c r="H3068" s="24">
        <v>47118</v>
      </c>
      <c r="O3068" s="23">
        <v>0</v>
      </c>
      <c r="P3068" s="23" t="s">
        <v>79</v>
      </c>
    </row>
    <row r="3069" spans="2:28" x14ac:dyDescent="0.2">
      <c r="C3069" s="23">
        <v>1100577337</v>
      </c>
      <c r="E3069" s="23">
        <v>10</v>
      </c>
      <c r="F3069" s="23" t="s">
        <v>87</v>
      </c>
      <c r="G3069" s="23" t="s">
        <v>4060</v>
      </c>
      <c r="H3069" s="24">
        <v>47118</v>
      </c>
      <c r="I3069" s="24">
        <v>47118</v>
      </c>
      <c r="J3069" s="23" t="s">
        <v>2299</v>
      </c>
      <c r="K3069" s="23" t="s">
        <v>2299</v>
      </c>
      <c r="L3069" s="23">
        <v>1</v>
      </c>
      <c r="M3069" s="23" t="s">
        <v>78</v>
      </c>
      <c r="N3069" s="23" t="s">
        <v>78</v>
      </c>
      <c r="O3069" s="23">
        <v>1184.9000000000001</v>
      </c>
      <c r="P3069" s="23" t="s">
        <v>79</v>
      </c>
      <c r="Q3069" s="23" t="s">
        <v>83</v>
      </c>
      <c r="R3069" s="23">
        <v>11100008</v>
      </c>
      <c r="S3069" s="24">
        <v>46129</v>
      </c>
      <c r="T3069" s="24">
        <v>46073</v>
      </c>
      <c r="U3069" s="24" t="s">
        <v>80</v>
      </c>
      <c r="X3069" s="24">
        <v>46069</v>
      </c>
      <c r="Y3069" s="23">
        <v>1111</v>
      </c>
      <c r="Z3069" s="23">
        <v>11400606</v>
      </c>
      <c r="AA3069" s="23">
        <v>3351</v>
      </c>
      <c r="AB3069" s="24">
        <v>46069</v>
      </c>
    </row>
    <row r="3070" spans="2:28" x14ac:dyDescent="0.2">
      <c r="C3070" s="23">
        <v>1100577337</v>
      </c>
      <c r="E3070" s="23">
        <v>30</v>
      </c>
      <c r="F3070" s="23" t="s">
        <v>84</v>
      </c>
      <c r="G3070" s="23" t="s">
        <v>123</v>
      </c>
      <c r="H3070" s="24">
        <v>47118</v>
      </c>
      <c r="I3070" s="24">
        <v>47118</v>
      </c>
      <c r="J3070" s="23" t="s">
        <v>2299</v>
      </c>
      <c r="K3070" s="23" t="s">
        <v>2299</v>
      </c>
      <c r="L3070" s="23">
        <v>1</v>
      </c>
      <c r="M3070" s="23" t="s">
        <v>78</v>
      </c>
      <c r="N3070" s="23" t="s">
        <v>78</v>
      </c>
      <c r="O3070" s="23">
        <v>0.01</v>
      </c>
      <c r="P3070" s="23" t="s">
        <v>79</v>
      </c>
      <c r="Q3070" s="23" t="s">
        <v>83</v>
      </c>
      <c r="R3070" s="23">
        <v>11100008</v>
      </c>
      <c r="S3070" s="24" t="s">
        <v>80</v>
      </c>
      <c r="T3070" s="24">
        <v>46073</v>
      </c>
      <c r="U3070" s="24" t="s">
        <v>80</v>
      </c>
      <c r="X3070" s="24">
        <v>46069</v>
      </c>
      <c r="Y3070" s="23">
        <v>1111</v>
      </c>
      <c r="Z3070" s="23">
        <v>11400606</v>
      </c>
      <c r="AA3070" s="23">
        <v>3351</v>
      </c>
      <c r="AB3070" s="24">
        <v>46069</v>
      </c>
    </row>
    <row r="3071" spans="2:28" x14ac:dyDescent="0.2">
      <c r="B3071" s="23" t="s">
        <v>81</v>
      </c>
      <c r="C3071" s="23">
        <v>1100577337</v>
      </c>
      <c r="H3071" s="24">
        <v>47118</v>
      </c>
      <c r="O3071" s="23">
        <v>1184.9100000000001</v>
      </c>
      <c r="P3071" s="23" t="s">
        <v>79</v>
      </c>
    </row>
    <row r="3072" spans="2:28" x14ac:dyDescent="0.2">
      <c r="C3072" s="23">
        <v>1100577434</v>
      </c>
      <c r="E3072" s="23">
        <v>10</v>
      </c>
      <c r="F3072" s="23" t="s">
        <v>87</v>
      </c>
      <c r="G3072" s="23" t="s">
        <v>4061</v>
      </c>
      <c r="H3072" s="24">
        <v>47118</v>
      </c>
      <c r="I3072" s="24">
        <v>47118</v>
      </c>
      <c r="J3072" s="23" t="s">
        <v>503</v>
      </c>
      <c r="K3072" s="23" t="s">
        <v>503</v>
      </c>
      <c r="L3072" s="23">
        <v>5</v>
      </c>
      <c r="M3072" s="23" t="s">
        <v>78</v>
      </c>
      <c r="N3072" s="23" t="s">
        <v>78</v>
      </c>
      <c r="O3072" s="23">
        <v>43685</v>
      </c>
      <c r="P3072" s="23" t="s">
        <v>79</v>
      </c>
      <c r="Q3072" s="23" t="s">
        <v>83</v>
      </c>
      <c r="R3072" s="23">
        <v>11100008</v>
      </c>
      <c r="S3072" s="24" t="s">
        <v>80</v>
      </c>
      <c r="T3072" s="24">
        <v>46073</v>
      </c>
      <c r="U3072" s="24" t="s">
        <v>80</v>
      </c>
      <c r="X3072" s="24" t="s">
        <v>80</v>
      </c>
      <c r="Y3072" s="23">
        <v>1111</v>
      </c>
      <c r="Z3072" s="23">
        <v>11400606</v>
      </c>
      <c r="AA3072" s="23">
        <v>505803</v>
      </c>
      <c r="AB3072" s="24" t="s">
        <v>80</v>
      </c>
    </row>
    <row r="3073" spans="2:28" x14ac:dyDescent="0.2">
      <c r="C3073" s="23">
        <v>1100577434</v>
      </c>
      <c r="E3073" s="23">
        <v>20</v>
      </c>
      <c r="F3073" s="23" t="s">
        <v>84</v>
      </c>
      <c r="G3073" s="23" t="s">
        <v>123</v>
      </c>
      <c r="H3073" s="24">
        <v>47118</v>
      </c>
      <c r="I3073" s="24">
        <v>47118</v>
      </c>
      <c r="J3073" s="23" t="s">
        <v>503</v>
      </c>
      <c r="K3073" s="23" t="s">
        <v>503</v>
      </c>
      <c r="L3073" s="23">
        <v>1</v>
      </c>
      <c r="M3073" s="23" t="s">
        <v>78</v>
      </c>
      <c r="N3073" s="23" t="s">
        <v>78</v>
      </c>
      <c r="O3073" s="23">
        <v>0.01</v>
      </c>
      <c r="P3073" s="23" t="s">
        <v>79</v>
      </c>
      <c r="Q3073" s="23" t="s">
        <v>83</v>
      </c>
      <c r="R3073" s="23">
        <v>11100008</v>
      </c>
      <c r="S3073" s="24" t="s">
        <v>80</v>
      </c>
      <c r="T3073" s="24">
        <v>46073</v>
      </c>
      <c r="U3073" s="24" t="s">
        <v>80</v>
      </c>
      <c r="X3073" s="24">
        <v>46071</v>
      </c>
      <c r="Y3073" s="23">
        <v>1111</v>
      </c>
      <c r="Z3073" s="23">
        <v>11400606</v>
      </c>
      <c r="AA3073" s="23">
        <v>505803</v>
      </c>
      <c r="AB3073" s="24">
        <v>46073</v>
      </c>
    </row>
    <row r="3074" spans="2:28" x14ac:dyDescent="0.2">
      <c r="C3074" s="23">
        <v>1100577434</v>
      </c>
      <c r="E3074" s="23">
        <v>30</v>
      </c>
      <c r="F3074" s="23" t="s">
        <v>82</v>
      </c>
      <c r="G3074" s="23" t="s">
        <v>139</v>
      </c>
      <c r="H3074" s="24">
        <v>47118</v>
      </c>
      <c r="I3074" s="24">
        <v>47118</v>
      </c>
      <c r="J3074" s="23" t="s">
        <v>503</v>
      </c>
      <c r="K3074" s="23" t="s">
        <v>503</v>
      </c>
      <c r="L3074" s="23">
        <v>1</v>
      </c>
      <c r="M3074" s="23" t="s">
        <v>78</v>
      </c>
      <c r="N3074" s="23" t="s">
        <v>78</v>
      </c>
      <c r="O3074" s="23">
        <v>0.01</v>
      </c>
      <c r="P3074" s="23" t="s">
        <v>79</v>
      </c>
      <c r="Q3074" s="23" t="s">
        <v>83</v>
      </c>
      <c r="R3074" s="23">
        <v>11100008</v>
      </c>
      <c r="S3074" s="24" t="s">
        <v>80</v>
      </c>
      <c r="T3074" s="24">
        <v>46073</v>
      </c>
      <c r="U3074" s="24" t="s">
        <v>80</v>
      </c>
      <c r="X3074" s="24">
        <v>46071</v>
      </c>
      <c r="Y3074" s="23">
        <v>1111</v>
      </c>
      <c r="Z3074" s="23">
        <v>11400606</v>
      </c>
      <c r="AA3074" s="23">
        <v>505803</v>
      </c>
      <c r="AB3074" s="24">
        <v>46073</v>
      </c>
    </row>
    <row r="3075" spans="2:28" x14ac:dyDescent="0.2">
      <c r="C3075" s="23">
        <v>1100577434</v>
      </c>
      <c r="E3075" s="23">
        <v>40</v>
      </c>
      <c r="F3075" s="23" t="s">
        <v>96</v>
      </c>
      <c r="G3075" s="23" t="s">
        <v>97</v>
      </c>
      <c r="H3075" s="24">
        <v>47118</v>
      </c>
      <c r="I3075" s="24">
        <v>47118</v>
      </c>
      <c r="J3075" s="23" t="s">
        <v>503</v>
      </c>
      <c r="K3075" s="23" t="s">
        <v>503</v>
      </c>
      <c r="L3075" s="23">
        <v>1</v>
      </c>
      <c r="M3075" s="23" t="s">
        <v>78</v>
      </c>
      <c r="N3075" s="23" t="s">
        <v>78</v>
      </c>
      <c r="O3075" s="23">
        <v>0.01</v>
      </c>
      <c r="P3075" s="23" t="s">
        <v>79</v>
      </c>
      <c r="Q3075" s="23" t="s">
        <v>83</v>
      </c>
      <c r="R3075" s="23">
        <v>11100008</v>
      </c>
      <c r="S3075" s="24" t="s">
        <v>80</v>
      </c>
      <c r="T3075" s="24">
        <v>46073</v>
      </c>
      <c r="U3075" s="24" t="s">
        <v>80</v>
      </c>
      <c r="X3075" s="24">
        <v>46071</v>
      </c>
      <c r="Y3075" s="23">
        <v>1111</v>
      </c>
      <c r="Z3075" s="23">
        <v>11400606</v>
      </c>
      <c r="AA3075" s="23">
        <v>505803</v>
      </c>
      <c r="AB3075" s="24">
        <v>46073</v>
      </c>
    </row>
    <row r="3076" spans="2:28" x14ac:dyDescent="0.2">
      <c r="B3076" s="23" t="s">
        <v>81</v>
      </c>
      <c r="C3076" s="23">
        <v>1100577434</v>
      </c>
      <c r="H3076" s="24">
        <v>47118</v>
      </c>
      <c r="O3076" s="23">
        <v>43685.03</v>
      </c>
      <c r="P3076" s="23" t="s">
        <v>79</v>
      </c>
    </row>
    <row r="3077" spans="2:28" x14ac:dyDescent="0.2">
      <c r="C3077" s="23">
        <v>1100577452</v>
      </c>
      <c r="E3077" s="23">
        <v>10</v>
      </c>
      <c r="F3077" s="23" t="s">
        <v>691</v>
      </c>
      <c r="G3077" s="23" t="s">
        <v>1891</v>
      </c>
      <c r="H3077" s="24">
        <v>47118</v>
      </c>
      <c r="I3077" s="24">
        <v>47118</v>
      </c>
      <c r="J3077" s="23" t="s">
        <v>685</v>
      </c>
      <c r="K3077" s="23" t="s">
        <v>685</v>
      </c>
      <c r="L3077" s="23">
        <v>3</v>
      </c>
      <c r="M3077" s="23" t="s">
        <v>78</v>
      </c>
      <c r="N3077" s="23" t="s">
        <v>78</v>
      </c>
      <c r="O3077" s="23">
        <v>2029.62</v>
      </c>
      <c r="P3077" s="23" t="s">
        <v>79</v>
      </c>
      <c r="Q3077" s="23" t="s">
        <v>83</v>
      </c>
      <c r="R3077" s="23">
        <v>11100008</v>
      </c>
      <c r="S3077" s="24">
        <v>46136</v>
      </c>
      <c r="T3077" s="24">
        <v>46074</v>
      </c>
      <c r="U3077" s="24">
        <v>47116</v>
      </c>
      <c r="X3077" s="24">
        <v>46062</v>
      </c>
      <c r="Y3077" s="23">
        <v>1111</v>
      </c>
      <c r="Z3077" s="23">
        <v>11400704</v>
      </c>
      <c r="AA3077" s="23">
        <v>505103</v>
      </c>
      <c r="AB3077" s="24">
        <v>46062</v>
      </c>
    </row>
    <row r="3078" spans="2:28" x14ac:dyDescent="0.2">
      <c r="C3078" s="23">
        <v>1100577452</v>
      </c>
      <c r="E3078" s="23">
        <v>20</v>
      </c>
      <c r="F3078" s="23" t="s">
        <v>743</v>
      </c>
      <c r="G3078" s="23" t="s">
        <v>1946</v>
      </c>
      <c r="H3078" s="24">
        <v>47118</v>
      </c>
      <c r="I3078" s="24">
        <v>47118</v>
      </c>
      <c r="J3078" s="23" t="s">
        <v>685</v>
      </c>
      <c r="K3078" s="23" t="s">
        <v>685</v>
      </c>
      <c r="L3078" s="23">
        <v>2</v>
      </c>
      <c r="M3078" s="23" t="s">
        <v>78</v>
      </c>
      <c r="N3078" s="23" t="s">
        <v>78</v>
      </c>
      <c r="O3078" s="23">
        <v>3328.98</v>
      </c>
      <c r="P3078" s="23" t="s">
        <v>79</v>
      </c>
      <c r="Q3078" s="23" t="s">
        <v>83</v>
      </c>
      <c r="R3078" s="23">
        <v>11100008</v>
      </c>
      <c r="S3078" s="24">
        <v>46136</v>
      </c>
      <c r="T3078" s="24">
        <v>46074</v>
      </c>
      <c r="U3078" s="24">
        <v>47116</v>
      </c>
      <c r="X3078" s="24">
        <v>46062</v>
      </c>
      <c r="Y3078" s="23">
        <v>1111</v>
      </c>
      <c r="Z3078" s="23">
        <v>11400704</v>
      </c>
      <c r="AA3078" s="23">
        <v>505103</v>
      </c>
      <c r="AB3078" s="24">
        <v>46062</v>
      </c>
    </row>
    <row r="3079" spans="2:28" x14ac:dyDescent="0.2">
      <c r="C3079" s="23">
        <v>1100577452</v>
      </c>
      <c r="E3079" s="23">
        <v>30</v>
      </c>
      <c r="F3079" s="23" t="s">
        <v>847</v>
      </c>
      <c r="G3079" s="23" t="s">
        <v>848</v>
      </c>
      <c r="H3079" s="24">
        <v>47118</v>
      </c>
      <c r="I3079" s="24">
        <v>47118</v>
      </c>
      <c r="J3079" s="23" t="s">
        <v>685</v>
      </c>
      <c r="K3079" s="23" t="s">
        <v>685</v>
      </c>
      <c r="L3079" s="23">
        <v>4</v>
      </c>
      <c r="M3079" s="23" t="s">
        <v>78</v>
      </c>
      <c r="N3079" s="23" t="s">
        <v>78</v>
      </c>
      <c r="O3079" s="23">
        <v>2915.4</v>
      </c>
      <c r="P3079" s="23" t="s">
        <v>79</v>
      </c>
      <c r="Q3079" s="23" t="s">
        <v>83</v>
      </c>
      <c r="R3079" s="23">
        <v>11100008</v>
      </c>
      <c r="S3079" s="24">
        <v>46101</v>
      </c>
      <c r="T3079" s="24">
        <v>46074</v>
      </c>
      <c r="U3079" s="24">
        <v>47116</v>
      </c>
      <c r="X3079" s="24">
        <v>46062</v>
      </c>
      <c r="Y3079" s="23">
        <v>1111</v>
      </c>
      <c r="Z3079" s="23">
        <v>11400704</v>
      </c>
      <c r="AA3079" s="23">
        <v>505103</v>
      </c>
      <c r="AB3079" s="24">
        <v>46062</v>
      </c>
    </row>
    <row r="3080" spans="2:28" x14ac:dyDescent="0.2">
      <c r="B3080" s="23" t="s">
        <v>81</v>
      </c>
      <c r="C3080" s="23">
        <v>1100577452</v>
      </c>
      <c r="H3080" s="24">
        <v>47118</v>
      </c>
      <c r="O3080" s="23">
        <v>8274</v>
      </c>
      <c r="P3080" s="23" t="s">
        <v>79</v>
      </c>
    </row>
    <row r="3081" spans="2:28" x14ac:dyDescent="0.2">
      <c r="C3081" s="23">
        <v>1100577458</v>
      </c>
      <c r="E3081" s="23">
        <v>10</v>
      </c>
      <c r="F3081" s="23" t="s">
        <v>692</v>
      </c>
      <c r="G3081" s="23" t="s">
        <v>1795</v>
      </c>
      <c r="H3081" s="24">
        <v>47118</v>
      </c>
      <c r="I3081" s="24">
        <v>47118</v>
      </c>
      <c r="J3081" s="23" t="s">
        <v>685</v>
      </c>
      <c r="K3081" s="23" t="s">
        <v>685</v>
      </c>
      <c r="L3081" s="23">
        <v>1</v>
      </c>
      <c r="M3081" s="23" t="s">
        <v>78</v>
      </c>
      <c r="N3081" s="23" t="s">
        <v>78</v>
      </c>
      <c r="O3081" s="23">
        <v>3918.89</v>
      </c>
      <c r="P3081" s="23" t="s">
        <v>79</v>
      </c>
      <c r="Q3081" s="23" t="s">
        <v>83</v>
      </c>
      <c r="R3081" s="23">
        <v>11100176</v>
      </c>
      <c r="S3081" s="24">
        <v>46080</v>
      </c>
      <c r="T3081" s="24">
        <v>46074</v>
      </c>
      <c r="U3081" s="24">
        <v>47116</v>
      </c>
      <c r="X3081" s="24">
        <v>46071</v>
      </c>
      <c r="Y3081" s="23">
        <v>1111</v>
      </c>
      <c r="Z3081" s="23">
        <v>11400745</v>
      </c>
      <c r="AA3081" s="23">
        <v>505103</v>
      </c>
      <c r="AB3081" s="24">
        <v>46071</v>
      </c>
    </row>
    <row r="3082" spans="2:28" x14ac:dyDescent="0.2">
      <c r="C3082" s="23">
        <v>1100577458</v>
      </c>
      <c r="E3082" s="23">
        <v>20</v>
      </c>
      <c r="F3082" s="23" t="s">
        <v>769</v>
      </c>
      <c r="G3082" s="23" t="s">
        <v>770</v>
      </c>
      <c r="H3082" s="24">
        <v>47118</v>
      </c>
      <c r="I3082" s="24">
        <v>47118</v>
      </c>
      <c r="J3082" s="23" t="s">
        <v>685</v>
      </c>
      <c r="K3082" s="23" t="s">
        <v>685</v>
      </c>
      <c r="L3082" s="23">
        <v>6</v>
      </c>
      <c r="M3082" s="23" t="s">
        <v>78</v>
      </c>
      <c r="N3082" s="23" t="s">
        <v>78</v>
      </c>
      <c r="O3082" s="23">
        <v>272.39999999999998</v>
      </c>
      <c r="P3082" s="23" t="s">
        <v>79</v>
      </c>
      <c r="Q3082" s="23" t="s">
        <v>83</v>
      </c>
      <c r="R3082" s="23">
        <v>11100176</v>
      </c>
      <c r="S3082" s="24">
        <v>46080</v>
      </c>
      <c r="T3082" s="24">
        <v>46074</v>
      </c>
      <c r="U3082" s="24">
        <v>47116</v>
      </c>
      <c r="X3082" s="24">
        <v>46071</v>
      </c>
      <c r="Y3082" s="23">
        <v>1111</v>
      </c>
      <c r="Z3082" s="23">
        <v>11400745</v>
      </c>
      <c r="AA3082" s="23">
        <v>505103</v>
      </c>
      <c r="AB3082" s="24">
        <v>46071</v>
      </c>
    </row>
    <row r="3083" spans="2:28" x14ac:dyDescent="0.2">
      <c r="B3083" s="23" t="s">
        <v>81</v>
      </c>
      <c r="C3083" s="23">
        <v>1100577458</v>
      </c>
      <c r="H3083" s="24">
        <v>47118</v>
      </c>
      <c r="O3083" s="23">
        <v>4191.29</v>
      </c>
      <c r="P3083" s="23" t="s">
        <v>79</v>
      </c>
    </row>
    <row r="3084" spans="2:28" x14ac:dyDescent="0.2">
      <c r="C3084" s="23">
        <v>1100577537</v>
      </c>
      <c r="E3084" s="23">
        <v>10</v>
      </c>
      <c r="F3084" s="23" t="s">
        <v>87</v>
      </c>
      <c r="G3084" s="23" t="s">
        <v>4062</v>
      </c>
      <c r="H3084" s="24">
        <v>47118</v>
      </c>
      <c r="I3084" s="24">
        <v>47118</v>
      </c>
      <c r="J3084" s="23" t="s">
        <v>2302</v>
      </c>
      <c r="K3084" s="23" t="s">
        <v>2302</v>
      </c>
      <c r="L3084" s="23">
        <v>1</v>
      </c>
      <c r="M3084" s="23" t="s">
        <v>78</v>
      </c>
      <c r="N3084" s="23" t="s">
        <v>78</v>
      </c>
      <c r="O3084" s="23">
        <v>620</v>
      </c>
      <c r="P3084" s="23" t="s">
        <v>79</v>
      </c>
      <c r="Q3084" s="23" t="s">
        <v>83</v>
      </c>
      <c r="R3084" s="23">
        <v>11100008</v>
      </c>
      <c r="S3084" s="24" t="s">
        <v>80</v>
      </c>
      <c r="T3084" s="24">
        <v>46075</v>
      </c>
      <c r="U3084" s="24" t="s">
        <v>80</v>
      </c>
      <c r="X3084" s="24" t="s">
        <v>80</v>
      </c>
      <c r="Y3084" s="23">
        <v>1111</v>
      </c>
      <c r="Z3084" s="23">
        <v>11400606</v>
      </c>
      <c r="AA3084" s="23">
        <v>5158</v>
      </c>
      <c r="AB3084" s="24" t="s">
        <v>80</v>
      </c>
    </row>
    <row r="3085" spans="2:28" x14ac:dyDescent="0.2">
      <c r="C3085" s="23">
        <v>1100577537</v>
      </c>
      <c r="E3085" s="23">
        <v>20</v>
      </c>
      <c r="F3085" s="23" t="s">
        <v>84</v>
      </c>
      <c r="G3085" s="23" t="s">
        <v>123</v>
      </c>
      <c r="H3085" s="24">
        <v>47118</v>
      </c>
      <c r="I3085" s="24">
        <v>47118</v>
      </c>
      <c r="J3085" s="23" t="s">
        <v>2302</v>
      </c>
      <c r="K3085" s="23" t="s">
        <v>2302</v>
      </c>
      <c r="L3085" s="23">
        <v>1</v>
      </c>
      <c r="M3085" s="23" t="s">
        <v>78</v>
      </c>
      <c r="N3085" s="23" t="s">
        <v>78</v>
      </c>
      <c r="O3085" s="23">
        <v>0.01</v>
      </c>
      <c r="P3085" s="23" t="s">
        <v>79</v>
      </c>
      <c r="Q3085" s="23" t="s">
        <v>83</v>
      </c>
      <c r="R3085" s="23">
        <v>11100008</v>
      </c>
      <c r="S3085" s="24" t="s">
        <v>80</v>
      </c>
      <c r="T3085" s="24">
        <v>46075</v>
      </c>
      <c r="U3085" s="24" t="s">
        <v>80</v>
      </c>
      <c r="X3085" s="24">
        <v>46055</v>
      </c>
      <c r="Y3085" s="23">
        <v>1111</v>
      </c>
      <c r="Z3085" s="23">
        <v>11400606</v>
      </c>
      <c r="AA3085" s="23">
        <v>5158</v>
      </c>
      <c r="AB3085" s="24">
        <v>46074</v>
      </c>
    </row>
    <row r="3086" spans="2:28" x14ac:dyDescent="0.2">
      <c r="C3086" s="23">
        <v>1100577537</v>
      </c>
      <c r="E3086" s="23">
        <v>30</v>
      </c>
      <c r="F3086" s="23" t="s">
        <v>82</v>
      </c>
      <c r="G3086" s="23" t="s">
        <v>139</v>
      </c>
      <c r="H3086" s="24">
        <v>47118</v>
      </c>
      <c r="I3086" s="24">
        <v>47118</v>
      </c>
      <c r="J3086" s="23" t="s">
        <v>2302</v>
      </c>
      <c r="K3086" s="23" t="s">
        <v>2302</v>
      </c>
      <c r="L3086" s="23">
        <v>1</v>
      </c>
      <c r="M3086" s="23" t="s">
        <v>78</v>
      </c>
      <c r="N3086" s="23" t="s">
        <v>78</v>
      </c>
      <c r="O3086" s="23">
        <v>0.01</v>
      </c>
      <c r="P3086" s="23" t="s">
        <v>79</v>
      </c>
      <c r="Q3086" s="23" t="s">
        <v>83</v>
      </c>
      <c r="R3086" s="23">
        <v>11100008</v>
      </c>
      <c r="S3086" s="24" t="s">
        <v>80</v>
      </c>
      <c r="T3086" s="24">
        <v>46075</v>
      </c>
      <c r="U3086" s="24" t="s">
        <v>80</v>
      </c>
      <c r="X3086" s="24">
        <v>46055</v>
      </c>
      <c r="Y3086" s="23">
        <v>1111</v>
      </c>
      <c r="Z3086" s="23">
        <v>11400606</v>
      </c>
      <c r="AA3086" s="23">
        <v>5158</v>
      </c>
      <c r="AB3086" s="24">
        <v>46074</v>
      </c>
    </row>
    <row r="3087" spans="2:28" x14ac:dyDescent="0.2">
      <c r="C3087" s="23">
        <v>1100577537</v>
      </c>
      <c r="E3087" s="23">
        <v>40</v>
      </c>
      <c r="F3087" s="23" t="s">
        <v>96</v>
      </c>
      <c r="G3087" s="23" t="s">
        <v>97</v>
      </c>
      <c r="H3087" s="24">
        <v>47118</v>
      </c>
      <c r="I3087" s="24">
        <v>47118</v>
      </c>
      <c r="J3087" s="23" t="s">
        <v>2302</v>
      </c>
      <c r="K3087" s="23" t="s">
        <v>2302</v>
      </c>
      <c r="L3087" s="23">
        <v>1</v>
      </c>
      <c r="M3087" s="23" t="s">
        <v>78</v>
      </c>
      <c r="N3087" s="23" t="s">
        <v>78</v>
      </c>
      <c r="O3087" s="23">
        <v>0.01</v>
      </c>
      <c r="P3087" s="23" t="s">
        <v>79</v>
      </c>
      <c r="Q3087" s="23" t="s">
        <v>83</v>
      </c>
      <c r="R3087" s="23">
        <v>11100008</v>
      </c>
      <c r="S3087" s="24" t="s">
        <v>80</v>
      </c>
      <c r="T3087" s="24">
        <v>46075</v>
      </c>
      <c r="U3087" s="24" t="s">
        <v>80</v>
      </c>
      <c r="X3087" s="24">
        <v>46055</v>
      </c>
      <c r="Y3087" s="23">
        <v>1111</v>
      </c>
      <c r="Z3087" s="23">
        <v>11400606</v>
      </c>
      <c r="AA3087" s="23">
        <v>5158</v>
      </c>
      <c r="AB3087" s="24">
        <v>46074</v>
      </c>
    </row>
    <row r="3088" spans="2:28" x14ac:dyDescent="0.2">
      <c r="B3088" s="23" t="s">
        <v>81</v>
      </c>
      <c r="C3088" s="23">
        <v>1100577537</v>
      </c>
      <c r="H3088" s="24">
        <v>47118</v>
      </c>
      <c r="O3088" s="23">
        <v>620.03</v>
      </c>
      <c r="P3088" s="23" t="s">
        <v>79</v>
      </c>
    </row>
    <row r="3089" spans="2:28" x14ac:dyDescent="0.2">
      <c r="C3089" s="23">
        <v>1100577682</v>
      </c>
      <c r="E3089" s="23">
        <v>10</v>
      </c>
      <c r="F3089" s="23" t="s">
        <v>765</v>
      </c>
      <c r="G3089" s="23" t="s">
        <v>766</v>
      </c>
      <c r="H3089" s="24">
        <v>47118</v>
      </c>
      <c r="I3089" s="24">
        <v>47118</v>
      </c>
      <c r="J3089" s="23" t="s">
        <v>4063</v>
      </c>
      <c r="K3089" s="23" t="s">
        <v>4063</v>
      </c>
      <c r="L3089" s="23">
        <v>2</v>
      </c>
      <c r="M3089" s="23" t="s">
        <v>78</v>
      </c>
      <c r="N3089" s="23" t="s">
        <v>78</v>
      </c>
      <c r="O3089" s="23">
        <v>500</v>
      </c>
      <c r="P3089" s="23" t="s">
        <v>79</v>
      </c>
      <c r="Q3089" s="23" t="s">
        <v>83</v>
      </c>
      <c r="R3089" s="23">
        <v>11100176</v>
      </c>
      <c r="S3089" s="24">
        <v>46104</v>
      </c>
      <c r="T3089" s="24">
        <v>46076</v>
      </c>
      <c r="U3089" s="24">
        <v>46083</v>
      </c>
      <c r="X3089" s="24">
        <v>46072</v>
      </c>
      <c r="Y3089" s="23">
        <v>1111</v>
      </c>
      <c r="Z3089" s="23">
        <v>11400797</v>
      </c>
      <c r="AA3089" s="23">
        <v>375103</v>
      </c>
      <c r="AB3089" s="24">
        <v>46072</v>
      </c>
    </row>
    <row r="3090" spans="2:28" x14ac:dyDescent="0.2">
      <c r="C3090" s="23">
        <v>1100577682</v>
      </c>
      <c r="E3090" s="23">
        <v>20</v>
      </c>
      <c r="F3090" s="23" t="s">
        <v>94</v>
      </c>
      <c r="G3090" s="23" t="s">
        <v>95</v>
      </c>
      <c r="H3090" s="24">
        <v>47118</v>
      </c>
      <c r="I3090" s="24">
        <v>47118</v>
      </c>
      <c r="J3090" s="23" t="s">
        <v>4063</v>
      </c>
      <c r="K3090" s="23" t="s">
        <v>4063</v>
      </c>
      <c r="L3090" s="23">
        <v>1</v>
      </c>
      <c r="M3090" s="23" t="s">
        <v>78</v>
      </c>
      <c r="N3090" s="23" t="s">
        <v>78</v>
      </c>
      <c r="O3090" s="23">
        <v>19.89</v>
      </c>
      <c r="P3090" s="23" t="s">
        <v>79</v>
      </c>
      <c r="Q3090" s="23" t="s">
        <v>83</v>
      </c>
      <c r="R3090" s="23">
        <v>11100176</v>
      </c>
      <c r="S3090" s="24" t="s">
        <v>80</v>
      </c>
      <c r="T3090" s="24">
        <v>46076</v>
      </c>
      <c r="U3090" s="24">
        <v>46083</v>
      </c>
      <c r="X3090" s="24">
        <v>46072</v>
      </c>
      <c r="Y3090" s="23">
        <v>1111</v>
      </c>
      <c r="Z3090" s="23">
        <v>11400797</v>
      </c>
      <c r="AA3090" s="23">
        <v>375103</v>
      </c>
      <c r="AB3090" s="24">
        <v>46072</v>
      </c>
    </row>
    <row r="3091" spans="2:28" x14ac:dyDescent="0.2">
      <c r="B3091" s="23" t="s">
        <v>81</v>
      </c>
      <c r="C3091" s="23">
        <v>1100577682</v>
      </c>
      <c r="H3091" s="24">
        <v>47118</v>
      </c>
      <c r="O3091" s="23">
        <v>519.89</v>
      </c>
      <c r="P3091" s="23" t="s">
        <v>79</v>
      </c>
    </row>
    <row r="3092" spans="2:28" x14ac:dyDescent="0.2">
      <c r="C3092" s="23">
        <v>1100577736</v>
      </c>
      <c r="E3092" s="23">
        <v>10</v>
      </c>
      <c r="F3092" s="23" t="s">
        <v>87</v>
      </c>
      <c r="G3092" s="23" t="s">
        <v>3398</v>
      </c>
      <c r="H3092" s="24">
        <v>47118</v>
      </c>
      <c r="I3092" s="24">
        <v>47118</v>
      </c>
      <c r="J3092" s="23" t="s">
        <v>3399</v>
      </c>
      <c r="K3092" s="23" t="s">
        <v>3399</v>
      </c>
      <c r="L3092" s="23">
        <v>1</v>
      </c>
      <c r="M3092" s="23" t="s">
        <v>78</v>
      </c>
      <c r="N3092" s="23" t="s">
        <v>78</v>
      </c>
      <c r="O3092" s="23">
        <v>2051</v>
      </c>
      <c r="P3092" s="23" t="s">
        <v>79</v>
      </c>
      <c r="Q3092" s="23" t="s">
        <v>83</v>
      </c>
      <c r="R3092" s="23">
        <v>11100176</v>
      </c>
      <c r="S3092" s="24" t="s">
        <v>80</v>
      </c>
      <c r="T3092" s="24">
        <v>46076</v>
      </c>
      <c r="U3092" s="24" t="s">
        <v>80</v>
      </c>
      <c r="X3092" s="24" t="s">
        <v>80</v>
      </c>
      <c r="Y3092" s="23">
        <v>1111</v>
      </c>
      <c r="Z3092" s="23">
        <v>11400606</v>
      </c>
      <c r="AA3092" s="23">
        <v>3358</v>
      </c>
      <c r="AB3092" s="24" t="s">
        <v>80</v>
      </c>
    </row>
    <row r="3093" spans="2:28" x14ac:dyDescent="0.2">
      <c r="C3093" s="23">
        <v>1100577736</v>
      </c>
      <c r="E3093" s="23">
        <v>20</v>
      </c>
      <c r="F3093" s="23" t="s">
        <v>87</v>
      </c>
      <c r="G3093" s="23" t="s">
        <v>4064</v>
      </c>
      <c r="H3093" s="24">
        <v>47118</v>
      </c>
      <c r="I3093" s="24">
        <v>47118</v>
      </c>
      <c r="J3093" s="23" t="s">
        <v>3399</v>
      </c>
      <c r="K3093" s="23" t="s">
        <v>3399</v>
      </c>
      <c r="L3093" s="23">
        <v>1</v>
      </c>
      <c r="M3093" s="23" t="s">
        <v>78</v>
      </c>
      <c r="N3093" s="23" t="s">
        <v>78</v>
      </c>
      <c r="O3093" s="23">
        <v>2059</v>
      </c>
      <c r="P3093" s="23" t="s">
        <v>79</v>
      </c>
      <c r="Q3093" s="23" t="s">
        <v>83</v>
      </c>
      <c r="R3093" s="23">
        <v>11100176</v>
      </c>
      <c r="S3093" s="24" t="s">
        <v>80</v>
      </c>
      <c r="T3093" s="24">
        <v>46076</v>
      </c>
      <c r="U3093" s="24" t="s">
        <v>80</v>
      </c>
      <c r="X3093" s="24" t="s">
        <v>80</v>
      </c>
      <c r="Y3093" s="23">
        <v>1111</v>
      </c>
      <c r="Z3093" s="23">
        <v>11400606</v>
      </c>
      <c r="AA3093" s="23">
        <v>3358</v>
      </c>
      <c r="AB3093" s="24" t="s">
        <v>80</v>
      </c>
    </row>
    <row r="3094" spans="2:28" x14ac:dyDescent="0.2">
      <c r="C3094" s="23">
        <v>1100577736</v>
      </c>
      <c r="E3094" s="23">
        <v>30</v>
      </c>
      <c r="F3094" s="23" t="s">
        <v>96</v>
      </c>
      <c r="G3094" s="23" t="s">
        <v>97</v>
      </c>
      <c r="H3094" s="24">
        <v>47118</v>
      </c>
      <c r="I3094" s="24">
        <v>47118</v>
      </c>
      <c r="J3094" s="23" t="s">
        <v>3399</v>
      </c>
      <c r="K3094" s="23" t="s">
        <v>3399</v>
      </c>
      <c r="L3094" s="23">
        <v>1</v>
      </c>
      <c r="M3094" s="23" t="s">
        <v>78</v>
      </c>
      <c r="N3094" s="23" t="s">
        <v>78</v>
      </c>
      <c r="O3094" s="23">
        <v>0.01</v>
      </c>
      <c r="P3094" s="23" t="s">
        <v>79</v>
      </c>
      <c r="Q3094" s="23" t="s">
        <v>83</v>
      </c>
      <c r="R3094" s="23">
        <v>11100176</v>
      </c>
      <c r="S3094" s="24" t="s">
        <v>80</v>
      </c>
      <c r="T3094" s="24">
        <v>46076</v>
      </c>
      <c r="U3094" s="24" t="s">
        <v>80</v>
      </c>
      <c r="X3094" s="24">
        <v>46073</v>
      </c>
      <c r="Y3094" s="23">
        <v>1111</v>
      </c>
      <c r="Z3094" s="23">
        <v>11400606</v>
      </c>
      <c r="AA3094" s="23">
        <v>3358</v>
      </c>
      <c r="AB3094" s="24">
        <v>46076</v>
      </c>
    </row>
    <row r="3095" spans="2:28" x14ac:dyDescent="0.2">
      <c r="C3095" s="23">
        <v>1100577736</v>
      </c>
      <c r="E3095" s="23">
        <v>40</v>
      </c>
      <c r="F3095" s="23" t="s">
        <v>84</v>
      </c>
      <c r="G3095" s="23" t="s">
        <v>123</v>
      </c>
      <c r="H3095" s="24">
        <v>47118</v>
      </c>
      <c r="I3095" s="24">
        <v>46152</v>
      </c>
      <c r="J3095" s="23" t="s">
        <v>3399</v>
      </c>
      <c r="K3095" s="23" t="s">
        <v>3399</v>
      </c>
      <c r="L3095" s="23">
        <v>1</v>
      </c>
      <c r="M3095" s="23" t="s">
        <v>78</v>
      </c>
      <c r="N3095" s="23" t="s">
        <v>78</v>
      </c>
      <c r="O3095" s="23">
        <v>0.01</v>
      </c>
      <c r="P3095" s="23" t="s">
        <v>79</v>
      </c>
      <c r="Q3095" s="23" t="s">
        <v>83</v>
      </c>
      <c r="R3095" s="23">
        <v>11100176</v>
      </c>
      <c r="S3095" s="24" t="s">
        <v>80</v>
      </c>
      <c r="T3095" s="24">
        <v>46076</v>
      </c>
      <c r="U3095" s="24" t="s">
        <v>80</v>
      </c>
      <c r="X3095" s="24">
        <v>46073</v>
      </c>
      <c r="Y3095" s="23">
        <v>1111</v>
      </c>
      <c r="Z3095" s="23">
        <v>11400606</v>
      </c>
      <c r="AA3095" s="23">
        <v>3358</v>
      </c>
      <c r="AB3095" s="24">
        <v>46076</v>
      </c>
    </row>
    <row r="3096" spans="2:28" x14ac:dyDescent="0.2">
      <c r="C3096" s="23">
        <v>1100577736</v>
      </c>
      <c r="E3096" s="23">
        <v>50</v>
      </c>
      <c r="F3096" s="23" t="s">
        <v>82</v>
      </c>
      <c r="G3096" s="23" t="s">
        <v>139</v>
      </c>
      <c r="H3096" s="24">
        <v>47118</v>
      </c>
      <c r="I3096" s="24">
        <v>47118</v>
      </c>
      <c r="J3096" s="23" t="s">
        <v>3399</v>
      </c>
      <c r="K3096" s="23" t="s">
        <v>3399</v>
      </c>
      <c r="L3096" s="23">
        <v>1</v>
      </c>
      <c r="M3096" s="23" t="s">
        <v>78</v>
      </c>
      <c r="N3096" s="23" t="s">
        <v>78</v>
      </c>
      <c r="O3096" s="23">
        <v>0.01</v>
      </c>
      <c r="P3096" s="23" t="s">
        <v>79</v>
      </c>
      <c r="Q3096" s="23" t="s">
        <v>83</v>
      </c>
      <c r="R3096" s="23">
        <v>11100176</v>
      </c>
      <c r="S3096" s="24" t="s">
        <v>80</v>
      </c>
      <c r="T3096" s="24">
        <v>46076</v>
      </c>
      <c r="U3096" s="24" t="s">
        <v>80</v>
      </c>
      <c r="X3096" s="24">
        <v>46073</v>
      </c>
      <c r="Y3096" s="23">
        <v>1111</v>
      </c>
      <c r="Z3096" s="23">
        <v>11400606</v>
      </c>
      <c r="AA3096" s="23">
        <v>3358</v>
      </c>
      <c r="AB3096" s="24">
        <v>46076</v>
      </c>
    </row>
    <row r="3097" spans="2:28" x14ac:dyDescent="0.2">
      <c r="B3097" s="23" t="s">
        <v>81</v>
      </c>
      <c r="C3097" s="23">
        <v>1100577736</v>
      </c>
      <c r="H3097" s="24">
        <v>47118</v>
      </c>
      <c r="O3097" s="23">
        <v>4110.03</v>
      </c>
      <c r="P3097" s="23" t="s">
        <v>79</v>
      </c>
    </row>
    <row r="3098" spans="2:28" x14ac:dyDescent="0.2">
      <c r="C3098" s="23">
        <v>1100577739</v>
      </c>
      <c r="E3098" s="23">
        <v>10</v>
      </c>
      <c r="F3098" s="23" t="s">
        <v>87</v>
      </c>
      <c r="G3098" s="23" t="s">
        <v>4065</v>
      </c>
      <c r="H3098" s="24">
        <v>47118</v>
      </c>
      <c r="I3098" s="24">
        <v>47118</v>
      </c>
      <c r="J3098" s="23" t="s">
        <v>552</v>
      </c>
      <c r="K3098" s="23" t="s">
        <v>552</v>
      </c>
      <c r="L3098" s="23">
        <v>2</v>
      </c>
      <c r="M3098" s="23" t="s">
        <v>78</v>
      </c>
      <c r="N3098" s="23" t="s">
        <v>78</v>
      </c>
      <c r="O3098" s="23">
        <v>7230</v>
      </c>
      <c r="P3098" s="23" t="s">
        <v>79</v>
      </c>
      <c r="Q3098" s="23" t="s">
        <v>83</v>
      </c>
      <c r="R3098" s="23">
        <v>11100176</v>
      </c>
      <c r="S3098" s="24" t="s">
        <v>80</v>
      </c>
      <c r="T3098" s="24">
        <v>46076</v>
      </c>
      <c r="U3098" s="24" t="s">
        <v>80</v>
      </c>
      <c r="X3098" s="24" t="s">
        <v>80</v>
      </c>
      <c r="Y3098" s="23">
        <v>1111</v>
      </c>
      <c r="Z3098" s="23">
        <v>11400606</v>
      </c>
      <c r="AA3098" s="23">
        <v>335803</v>
      </c>
      <c r="AB3098" s="24" t="s">
        <v>80</v>
      </c>
    </row>
    <row r="3099" spans="2:28" x14ac:dyDescent="0.2">
      <c r="C3099" s="23">
        <v>1100577739</v>
      </c>
      <c r="E3099" s="23">
        <v>20</v>
      </c>
      <c r="F3099" s="23" t="s">
        <v>87</v>
      </c>
      <c r="G3099" s="23" t="s">
        <v>4066</v>
      </c>
      <c r="H3099" s="24">
        <v>47118</v>
      </c>
      <c r="I3099" s="24">
        <v>47118</v>
      </c>
      <c r="J3099" s="23" t="s">
        <v>552</v>
      </c>
      <c r="K3099" s="23" t="s">
        <v>552</v>
      </c>
      <c r="L3099" s="23">
        <v>4</v>
      </c>
      <c r="M3099" s="23" t="s">
        <v>78</v>
      </c>
      <c r="N3099" s="23" t="s">
        <v>78</v>
      </c>
      <c r="O3099" s="23">
        <v>3620</v>
      </c>
      <c r="P3099" s="23" t="s">
        <v>79</v>
      </c>
      <c r="Q3099" s="23" t="s">
        <v>83</v>
      </c>
      <c r="R3099" s="23">
        <v>11100176</v>
      </c>
      <c r="S3099" s="24" t="s">
        <v>80</v>
      </c>
      <c r="T3099" s="24">
        <v>46076</v>
      </c>
      <c r="U3099" s="24" t="s">
        <v>80</v>
      </c>
      <c r="X3099" s="24" t="s">
        <v>80</v>
      </c>
      <c r="Y3099" s="23">
        <v>1111</v>
      </c>
      <c r="Z3099" s="23">
        <v>11400606</v>
      </c>
      <c r="AA3099" s="23">
        <v>335803</v>
      </c>
      <c r="AB3099" s="24" t="s">
        <v>80</v>
      </c>
    </row>
    <row r="3100" spans="2:28" x14ac:dyDescent="0.2">
      <c r="C3100" s="23">
        <v>1100577739</v>
      </c>
      <c r="E3100" s="23">
        <v>30</v>
      </c>
      <c r="F3100" s="23" t="s">
        <v>87</v>
      </c>
      <c r="G3100" s="23" t="s">
        <v>4067</v>
      </c>
      <c r="H3100" s="24">
        <v>47118</v>
      </c>
      <c r="I3100" s="24">
        <v>47118</v>
      </c>
      <c r="J3100" s="23" t="s">
        <v>552</v>
      </c>
      <c r="K3100" s="23" t="s">
        <v>552</v>
      </c>
      <c r="L3100" s="23">
        <v>4</v>
      </c>
      <c r="M3100" s="23" t="s">
        <v>78</v>
      </c>
      <c r="N3100" s="23" t="s">
        <v>78</v>
      </c>
      <c r="O3100" s="23">
        <v>1536</v>
      </c>
      <c r="P3100" s="23" t="s">
        <v>79</v>
      </c>
      <c r="Q3100" s="23" t="s">
        <v>83</v>
      </c>
      <c r="R3100" s="23">
        <v>11100176</v>
      </c>
      <c r="S3100" s="24" t="s">
        <v>80</v>
      </c>
      <c r="T3100" s="24">
        <v>46076</v>
      </c>
      <c r="U3100" s="24" t="s">
        <v>80</v>
      </c>
      <c r="X3100" s="24" t="s">
        <v>80</v>
      </c>
      <c r="Y3100" s="23">
        <v>1111</v>
      </c>
      <c r="Z3100" s="23">
        <v>11400606</v>
      </c>
      <c r="AA3100" s="23">
        <v>335803</v>
      </c>
      <c r="AB3100" s="24" t="s">
        <v>80</v>
      </c>
    </row>
    <row r="3101" spans="2:28" x14ac:dyDescent="0.2">
      <c r="C3101" s="23">
        <v>1100577739</v>
      </c>
      <c r="E3101" s="23">
        <v>40</v>
      </c>
      <c r="F3101" s="23" t="s">
        <v>87</v>
      </c>
      <c r="G3101" s="23" t="s">
        <v>4068</v>
      </c>
      <c r="H3101" s="24">
        <v>47118</v>
      </c>
      <c r="I3101" s="24">
        <v>47118</v>
      </c>
      <c r="J3101" s="23" t="s">
        <v>552</v>
      </c>
      <c r="K3101" s="23" t="s">
        <v>552</v>
      </c>
      <c r="L3101" s="23">
        <v>4</v>
      </c>
      <c r="M3101" s="23" t="s">
        <v>78</v>
      </c>
      <c r="N3101" s="23" t="s">
        <v>78</v>
      </c>
      <c r="O3101" s="23">
        <v>300</v>
      </c>
      <c r="P3101" s="23" t="s">
        <v>79</v>
      </c>
      <c r="Q3101" s="23" t="s">
        <v>83</v>
      </c>
      <c r="R3101" s="23">
        <v>11100176</v>
      </c>
      <c r="S3101" s="24" t="s">
        <v>80</v>
      </c>
      <c r="T3101" s="24">
        <v>46076</v>
      </c>
      <c r="U3101" s="24" t="s">
        <v>80</v>
      </c>
      <c r="X3101" s="24" t="s">
        <v>80</v>
      </c>
      <c r="Y3101" s="23">
        <v>1111</v>
      </c>
      <c r="Z3101" s="23">
        <v>11400606</v>
      </c>
      <c r="AA3101" s="23">
        <v>335803</v>
      </c>
      <c r="AB3101" s="24" t="s">
        <v>80</v>
      </c>
    </row>
    <row r="3102" spans="2:28" x14ac:dyDescent="0.2">
      <c r="C3102" s="23">
        <v>1100577739</v>
      </c>
      <c r="E3102" s="23">
        <v>50</v>
      </c>
      <c r="F3102" s="23" t="s">
        <v>87</v>
      </c>
      <c r="G3102" s="23" t="s">
        <v>4069</v>
      </c>
      <c r="H3102" s="24">
        <v>47118</v>
      </c>
      <c r="I3102" s="24">
        <v>47118</v>
      </c>
      <c r="J3102" s="23" t="s">
        <v>552</v>
      </c>
      <c r="K3102" s="23" t="s">
        <v>552</v>
      </c>
      <c r="L3102" s="23">
        <v>2</v>
      </c>
      <c r="M3102" s="23" t="s">
        <v>78</v>
      </c>
      <c r="N3102" s="23" t="s">
        <v>78</v>
      </c>
      <c r="O3102" s="23">
        <v>150</v>
      </c>
      <c r="P3102" s="23" t="s">
        <v>79</v>
      </c>
      <c r="Q3102" s="23" t="s">
        <v>83</v>
      </c>
      <c r="R3102" s="23">
        <v>11100176</v>
      </c>
      <c r="S3102" s="24" t="s">
        <v>80</v>
      </c>
      <c r="T3102" s="24">
        <v>46076</v>
      </c>
      <c r="U3102" s="24" t="s">
        <v>80</v>
      </c>
      <c r="X3102" s="24" t="s">
        <v>80</v>
      </c>
      <c r="Y3102" s="23">
        <v>1111</v>
      </c>
      <c r="Z3102" s="23">
        <v>11400606</v>
      </c>
      <c r="AA3102" s="23">
        <v>335803</v>
      </c>
      <c r="AB3102" s="24" t="s">
        <v>80</v>
      </c>
    </row>
    <row r="3103" spans="2:28" x14ac:dyDescent="0.2">
      <c r="C3103" s="23">
        <v>1100577739</v>
      </c>
      <c r="E3103" s="23">
        <v>60</v>
      </c>
      <c r="F3103" s="23" t="s">
        <v>87</v>
      </c>
      <c r="G3103" s="23" t="s">
        <v>4070</v>
      </c>
      <c r="H3103" s="24">
        <v>47118</v>
      </c>
      <c r="I3103" s="24">
        <v>47118</v>
      </c>
      <c r="J3103" s="23" t="s">
        <v>552</v>
      </c>
      <c r="K3103" s="23" t="s">
        <v>552</v>
      </c>
      <c r="L3103" s="23">
        <v>2</v>
      </c>
      <c r="M3103" s="23" t="s">
        <v>78</v>
      </c>
      <c r="N3103" s="23" t="s">
        <v>78</v>
      </c>
      <c r="O3103" s="23">
        <v>9828</v>
      </c>
      <c r="P3103" s="23" t="s">
        <v>79</v>
      </c>
      <c r="Q3103" s="23" t="s">
        <v>83</v>
      </c>
      <c r="R3103" s="23">
        <v>11100176</v>
      </c>
      <c r="S3103" s="24" t="s">
        <v>80</v>
      </c>
      <c r="T3103" s="24">
        <v>46076</v>
      </c>
      <c r="U3103" s="24" t="s">
        <v>80</v>
      </c>
      <c r="X3103" s="24" t="s">
        <v>80</v>
      </c>
      <c r="Y3103" s="23">
        <v>1111</v>
      </c>
      <c r="Z3103" s="23">
        <v>11400606</v>
      </c>
      <c r="AA3103" s="23">
        <v>335803</v>
      </c>
      <c r="AB3103" s="24" t="s">
        <v>80</v>
      </c>
    </row>
    <row r="3104" spans="2:28" x14ac:dyDescent="0.2">
      <c r="C3104" s="23">
        <v>1100577739</v>
      </c>
      <c r="E3104" s="23">
        <v>70</v>
      </c>
      <c r="F3104" s="23" t="s">
        <v>87</v>
      </c>
      <c r="G3104" s="23" t="s">
        <v>4067</v>
      </c>
      <c r="H3104" s="24">
        <v>47118</v>
      </c>
      <c r="I3104" s="24">
        <v>47118</v>
      </c>
      <c r="J3104" s="23" t="s">
        <v>552</v>
      </c>
      <c r="K3104" s="23" t="s">
        <v>552</v>
      </c>
      <c r="L3104" s="23">
        <v>2</v>
      </c>
      <c r="M3104" s="23" t="s">
        <v>78</v>
      </c>
      <c r="N3104" s="23" t="s">
        <v>78</v>
      </c>
      <c r="O3104" s="23">
        <v>768</v>
      </c>
      <c r="P3104" s="23" t="s">
        <v>79</v>
      </c>
      <c r="Q3104" s="23" t="s">
        <v>83</v>
      </c>
      <c r="R3104" s="23">
        <v>11100176</v>
      </c>
      <c r="S3104" s="24" t="s">
        <v>80</v>
      </c>
      <c r="T3104" s="24">
        <v>46076</v>
      </c>
      <c r="U3104" s="24" t="s">
        <v>80</v>
      </c>
      <c r="X3104" s="24" t="s">
        <v>80</v>
      </c>
      <c r="Y3104" s="23">
        <v>1111</v>
      </c>
      <c r="Z3104" s="23">
        <v>11400606</v>
      </c>
      <c r="AA3104" s="23">
        <v>335803</v>
      </c>
      <c r="AB3104" s="24" t="s">
        <v>80</v>
      </c>
    </row>
    <row r="3105" spans="2:28" x14ac:dyDescent="0.2">
      <c r="C3105" s="23">
        <v>1100577739</v>
      </c>
      <c r="E3105" s="23">
        <v>80</v>
      </c>
      <c r="F3105" s="23" t="s">
        <v>87</v>
      </c>
      <c r="G3105" s="23" t="s">
        <v>4069</v>
      </c>
      <c r="H3105" s="24">
        <v>47118</v>
      </c>
      <c r="I3105" s="24">
        <v>47118</v>
      </c>
      <c r="J3105" s="23" t="s">
        <v>552</v>
      </c>
      <c r="K3105" s="23" t="s">
        <v>552</v>
      </c>
      <c r="L3105" s="23">
        <v>2</v>
      </c>
      <c r="M3105" s="23" t="s">
        <v>78</v>
      </c>
      <c r="N3105" s="23" t="s">
        <v>78</v>
      </c>
      <c r="O3105" s="23">
        <v>150</v>
      </c>
      <c r="P3105" s="23" t="s">
        <v>79</v>
      </c>
      <c r="Q3105" s="23" t="s">
        <v>83</v>
      </c>
      <c r="R3105" s="23">
        <v>11100176</v>
      </c>
      <c r="S3105" s="24" t="s">
        <v>80</v>
      </c>
      <c r="T3105" s="24">
        <v>46076</v>
      </c>
      <c r="U3105" s="24" t="s">
        <v>80</v>
      </c>
      <c r="X3105" s="24" t="s">
        <v>80</v>
      </c>
      <c r="Y3105" s="23">
        <v>1111</v>
      </c>
      <c r="Z3105" s="23">
        <v>11400606</v>
      </c>
      <c r="AA3105" s="23">
        <v>335803</v>
      </c>
      <c r="AB3105" s="24" t="s">
        <v>80</v>
      </c>
    </row>
    <row r="3106" spans="2:28" x14ac:dyDescent="0.2">
      <c r="C3106" s="23">
        <v>1100577739</v>
      </c>
      <c r="E3106" s="23">
        <v>90</v>
      </c>
      <c r="F3106" s="23" t="s">
        <v>87</v>
      </c>
      <c r="G3106" s="23" t="s">
        <v>4070</v>
      </c>
      <c r="H3106" s="24">
        <v>47118</v>
      </c>
      <c r="I3106" s="24">
        <v>47118</v>
      </c>
      <c r="J3106" s="23" t="s">
        <v>552</v>
      </c>
      <c r="K3106" s="23" t="s">
        <v>552</v>
      </c>
      <c r="L3106" s="23">
        <v>2</v>
      </c>
      <c r="M3106" s="23" t="s">
        <v>78</v>
      </c>
      <c r="N3106" s="23" t="s">
        <v>78</v>
      </c>
      <c r="O3106" s="23">
        <v>9828</v>
      </c>
      <c r="P3106" s="23" t="s">
        <v>79</v>
      </c>
      <c r="Q3106" s="23" t="s">
        <v>83</v>
      </c>
      <c r="R3106" s="23">
        <v>11100176</v>
      </c>
      <c r="S3106" s="24" t="s">
        <v>80</v>
      </c>
      <c r="T3106" s="24">
        <v>46076</v>
      </c>
      <c r="U3106" s="24" t="s">
        <v>80</v>
      </c>
      <c r="X3106" s="24" t="s">
        <v>80</v>
      </c>
      <c r="Y3106" s="23">
        <v>1111</v>
      </c>
      <c r="Z3106" s="23">
        <v>11400606</v>
      </c>
      <c r="AA3106" s="23">
        <v>335803</v>
      </c>
      <c r="AB3106" s="24" t="s">
        <v>80</v>
      </c>
    </row>
    <row r="3107" spans="2:28" x14ac:dyDescent="0.2">
      <c r="C3107" s="23">
        <v>1100577739</v>
      </c>
      <c r="E3107" s="23">
        <v>100</v>
      </c>
      <c r="F3107" s="23" t="s">
        <v>87</v>
      </c>
      <c r="G3107" s="23" t="s">
        <v>4067</v>
      </c>
      <c r="H3107" s="24">
        <v>47118</v>
      </c>
      <c r="I3107" s="24">
        <v>47118</v>
      </c>
      <c r="J3107" s="23" t="s">
        <v>552</v>
      </c>
      <c r="K3107" s="23" t="s">
        <v>552</v>
      </c>
      <c r="L3107" s="23">
        <v>2</v>
      </c>
      <c r="M3107" s="23" t="s">
        <v>78</v>
      </c>
      <c r="N3107" s="23" t="s">
        <v>78</v>
      </c>
      <c r="O3107" s="23">
        <v>768</v>
      </c>
      <c r="P3107" s="23" t="s">
        <v>79</v>
      </c>
      <c r="Q3107" s="23" t="s">
        <v>83</v>
      </c>
      <c r="R3107" s="23">
        <v>11100176</v>
      </c>
      <c r="S3107" s="24" t="s">
        <v>80</v>
      </c>
      <c r="T3107" s="24">
        <v>46076</v>
      </c>
      <c r="U3107" s="24" t="s">
        <v>80</v>
      </c>
      <c r="X3107" s="24" t="s">
        <v>80</v>
      </c>
      <c r="Y3107" s="23">
        <v>1111</v>
      </c>
      <c r="Z3107" s="23">
        <v>11400606</v>
      </c>
      <c r="AA3107" s="23">
        <v>335803</v>
      </c>
      <c r="AB3107" s="24" t="s">
        <v>80</v>
      </c>
    </row>
    <row r="3108" spans="2:28" x14ac:dyDescent="0.2">
      <c r="C3108" s="23">
        <v>1100577739</v>
      </c>
      <c r="E3108" s="23">
        <v>110</v>
      </c>
      <c r="F3108" s="23" t="s">
        <v>87</v>
      </c>
      <c r="G3108" s="23" t="s">
        <v>4069</v>
      </c>
      <c r="H3108" s="24">
        <v>47118</v>
      </c>
      <c r="I3108" s="24">
        <v>47118</v>
      </c>
      <c r="J3108" s="23" t="s">
        <v>552</v>
      </c>
      <c r="K3108" s="23" t="s">
        <v>552</v>
      </c>
      <c r="L3108" s="23">
        <v>2</v>
      </c>
      <c r="M3108" s="23" t="s">
        <v>78</v>
      </c>
      <c r="N3108" s="23" t="s">
        <v>78</v>
      </c>
      <c r="O3108" s="23">
        <v>150</v>
      </c>
      <c r="P3108" s="23" t="s">
        <v>79</v>
      </c>
      <c r="Q3108" s="23" t="s">
        <v>83</v>
      </c>
      <c r="R3108" s="23">
        <v>11100176</v>
      </c>
      <c r="S3108" s="24" t="s">
        <v>80</v>
      </c>
      <c r="T3108" s="24">
        <v>46076</v>
      </c>
      <c r="U3108" s="24" t="s">
        <v>80</v>
      </c>
      <c r="X3108" s="24" t="s">
        <v>80</v>
      </c>
      <c r="Y3108" s="23">
        <v>1111</v>
      </c>
      <c r="Z3108" s="23">
        <v>11400606</v>
      </c>
      <c r="AA3108" s="23">
        <v>335803</v>
      </c>
      <c r="AB3108" s="24" t="s">
        <v>80</v>
      </c>
    </row>
    <row r="3109" spans="2:28" x14ac:dyDescent="0.2">
      <c r="C3109" s="23">
        <v>1100577739</v>
      </c>
      <c r="E3109" s="23">
        <v>120</v>
      </c>
      <c r="F3109" s="23" t="s">
        <v>87</v>
      </c>
      <c r="G3109" s="23" t="s">
        <v>4071</v>
      </c>
      <c r="H3109" s="24">
        <v>47118</v>
      </c>
      <c r="I3109" s="24">
        <v>47118</v>
      </c>
      <c r="J3109" s="23" t="s">
        <v>552</v>
      </c>
      <c r="K3109" s="23" t="s">
        <v>552</v>
      </c>
      <c r="L3109" s="23">
        <v>20</v>
      </c>
      <c r="M3109" s="23" t="s">
        <v>78</v>
      </c>
      <c r="N3109" s="23" t="s">
        <v>78</v>
      </c>
      <c r="O3109" s="23">
        <v>3260</v>
      </c>
      <c r="P3109" s="23" t="s">
        <v>79</v>
      </c>
      <c r="Q3109" s="23" t="s">
        <v>83</v>
      </c>
      <c r="R3109" s="23">
        <v>11100176</v>
      </c>
      <c r="S3109" s="24" t="s">
        <v>80</v>
      </c>
      <c r="T3109" s="24">
        <v>46076</v>
      </c>
      <c r="U3109" s="24" t="s">
        <v>80</v>
      </c>
      <c r="X3109" s="24" t="s">
        <v>80</v>
      </c>
      <c r="Y3109" s="23">
        <v>1111</v>
      </c>
      <c r="Z3109" s="23">
        <v>11400606</v>
      </c>
      <c r="AA3109" s="23">
        <v>335803</v>
      </c>
      <c r="AB3109" s="24" t="s">
        <v>80</v>
      </c>
    </row>
    <row r="3110" spans="2:28" x14ac:dyDescent="0.2">
      <c r="C3110" s="23">
        <v>1100577739</v>
      </c>
      <c r="E3110" s="23">
        <v>130</v>
      </c>
      <c r="F3110" s="23" t="s">
        <v>96</v>
      </c>
      <c r="G3110" s="23" t="s">
        <v>97</v>
      </c>
      <c r="H3110" s="24">
        <v>47118</v>
      </c>
      <c r="I3110" s="24">
        <v>47118</v>
      </c>
      <c r="J3110" s="23" t="s">
        <v>552</v>
      </c>
      <c r="K3110" s="23" t="s">
        <v>552</v>
      </c>
      <c r="L3110" s="23">
        <v>1</v>
      </c>
      <c r="M3110" s="23" t="s">
        <v>78</v>
      </c>
      <c r="N3110" s="23" t="s">
        <v>78</v>
      </c>
      <c r="O3110" s="23">
        <v>0.01</v>
      </c>
      <c r="P3110" s="23" t="s">
        <v>79</v>
      </c>
      <c r="Q3110" s="23" t="s">
        <v>83</v>
      </c>
      <c r="R3110" s="23">
        <v>11100176</v>
      </c>
      <c r="S3110" s="24" t="s">
        <v>80</v>
      </c>
      <c r="T3110" s="24">
        <v>46076</v>
      </c>
      <c r="U3110" s="24" t="s">
        <v>80</v>
      </c>
      <c r="X3110" s="24">
        <v>46076</v>
      </c>
      <c r="Y3110" s="23">
        <v>1111</v>
      </c>
      <c r="Z3110" s="23">
        <v>11400606</v>
      </c>
      <c r="AA3110" s="23">
        <v>335803</v>
      </c>
      <c r="AB3110" s="24">
        <v>46076</v>
      </c>
    </row>
    <row r="3111" spans="2:28" x14ac:dyDescent="0.2">
      <c r="C3111" s="23">
        <v>1100577739</v>
      </c>
      <c r="E3111" s="23">
        <v>140</v>
      </c>
      <c r="F3111" s="23" t="s">
        <v>84</v>
      </c>
      <c r="G3111" s="23" t="s">
        <v>123</v>
      </c>
      <c r="H3111" s="24">
        <v>47118</v>
      </c>
      <c r="I3111" s="24">
        <v>47118</v>
      </c>
      <c r="J3111" s="23" t="s">
        <v>552</v>
      </c>
      <c r="K3111" s="23" t="s">
        <v>552</v>
      </c>
      <c r="L3111" s="23">
        <v>1</v>
      </c>
      <c r="M3111" s="23" t="s">
        <v>78</v>
      </c>
      <c r="N3111" s="23" t="s">
        <v>78</v>
      </c>
      <c r="O3111" s="23">
        <v>0.01</v>
      </c>
      <c r="P3111" s="23" t="s">
        <v>79</v>
      </c>
      <c r="Q3111" s="23" t="s">
        <v>83</v>
      </c>
      <c r="R3111" s="23">
        <v>11100176</v>
      </c>
      <c r="S3111" s="24" t="s">
        <v>80</v>
      </c>
      <c r="T3111" s="24">
        <v>46076</v>
      </c>
      <c r="U3111" s="24" t="s">
        <v>80</v>
      </c>
      <c r="X3111" s="24">
        <v>46076</v>
      </c>
      <c r="Y3111" s="23">
        <v>1111</v>
      </c>
      <c r="Z3111" s="23">
        <v>11400606</v>
      </c>
      <c r="AA3111" s="23">
        <v>335803</v>
      </c>
      <c r="AB3111" s="24">
        <v>46076</v>
      </c>
    </row>
    <row r="3112" spans="2:28" x14ac:dyDescent="0.2">
      <c r="B3112" s="23" t="s">
        <v>81</v>
      </c>
      <c r="C3112" s="23">
        <v>1100577739</v>
      </c>
      <c r="H3112" s="24">
        <v>47118</v>
      </c>
      <c r="O3112" s="23">
        <v>37588.019999999997</v>
      </c>
      <c r="P3112" s="23" t="s">
        <v>79</v>
      </c>
    </row>
    <row r="3113" spans="2:28" x14ac:dyDescent="0.2">
      <c r="C3113" s="23">
        <v>1100577796</v>
      </c>
      <c r="E3113" s="23">
        <v>30</v>
      </c>
      <c r="F3113" s="23" t="s">
        <v>82</v>
      </c>
      <c r="G3113" s="23" t="s">
        <v>139</v>
      </c>
      <c r="H3113" s="24">
        <v>47118</v>
      </c>
      <c r="I3113" s="24">
        <v>47118</v>
      </c>
      <c r="J3113" s="23" t="s">
        <v>308</v>
      </c>
      <c r="K3113" s="23" t="s">
        <v>308</v>
      </c>
      <c r="L3113" s="23">
        <v>1</v>
      </c>
      <c r="M3113" s="23" t="s">
        <v>78</v>
      </c>
      <c r="N3113" s="23" t="s">
        <v>78</v>
      </c>
      <c r="O3113" s="23">
        <v>0.01</v>
      </c>
      <c r="P3113" s="23" t="s">
        <v>79</v>
      </c>
      <c r="Q3113" s="23" t="s">
        <v>83</v>
      </c>
      <c r="S3113" s="24" t="s">
        <v>80</v>
      </c>
      <c r="T3113" s="24">
        <v>46077</v>
      </c>
      <c r="U3113" s="24">
        <v>47116</v>
      </c>
      <c r="X3113" s="24">
        <v>46077</v>
      </c>
      <c r="Y3113" s="23">
        <v>1111</v>
      </c>
      <c r="Z3113" s="23">
        <v>11100042</v>
      </c>
      <c r="AA3113" s="23">
        <v>5055</v>
      </c>
      <c r="AB3113" s="24">
        <v>46077</v>
      </c>
    </row>
    <row r="3114" spans="2:28" x14ac:dyDescent="0.2">
      <c r="B3114" s="23" t="s">
        <v>81</v>
      </c>
      <c r="C3114" s="23">
        <v>1100577796</v>
      </c>
      <c r="H3114" s="24">
        <v>47118</v>
      </c>
      <c r="O3114" s="23">
        <v>0.01</v>
      </c>
      <c r="P3114" s="23" t="s">
        <v>79</v>
      </c>
    </row>
    <row r="3115" spans="2:28" x14ac:dyDescent="0.2">
      <c r="C3115" s="23">
        <v>1100577898</v>
      </c>
      <c r="E3115" s="23">
        <v>20</v>
      </c>
      <c r="F3115" s="23" t="s">
        <v>192</v>
      </c>
      <c r="G3115" s="23" t="s">
        <v>4072</v>
      </c>
      <c r="H3115" s="24">
        <v>47118</v>
      </c>
      <c r="I3115" s="24">
        <v>47118</v>
      </c>
      <c r="J3115" s="23" t="s">
        <v>1254</v>
      </c>
      <c r="K3115" s="23" t="s">
        <v>1254</v>
      </c>
      <c r="L3115" s="23">
        <v>1</v>
      </c>
      <c r="M3115" s="23" t="s">
        <v>78</v>
      </c>
      <c r="N3115" s="23" t="s">
        <v>78</v>
      </c>
      <c r="O3115" s="23">
        <v>0</v>
      </c>
      <c r="P3115" s="23" t="s">
        <v>79</v>
      </c>
      <c r="Q3115" s="23" t="s">
        <v>83</v>
      </c>
      <c r="S3115" s="24" t="s">
        <v>80</v>
      </c>
      <c r="T3115" s="24">
        <v>46078</v>
      </c>
      <c r="U3115" s="24">
        <v>47116</v>
      </c>
      <c r="X3115" s="24">
        <v>46078</v>
      </c>
      <c r="Y3115" s="23">
        <v>1111</v>
      </c>
      <c r="Z3115" s="23">
        <v>11100172</v>
      </c>
      <c r="AA3115" s="23">
        <v>3353</v>
      </c>
      <c r="AB3115" s="24">
        <v>46078</v>
      </c>
    </row>
    <row r="3116" spans="2:28" x14ac:dyDescent="0.2">
      <c r="B3116" s="23" t="s">
        <v>81</v>
      </c>
      <c r="C3116" s="23">
        <v>1100577898</v>
      </c>
      <c r="H3116" s="24">
        <v>47118</v>
      </c>
      <c r="O3116" s="23">
        <v>0</v>
      </c>
      <c r="P3116" s="23" t="s">
        <v>79</v>
      </c>
    </row>
    <row r="3117" spans="2:28" x14ac:dyDescent="0.2">
      <c r="C3117" s="23">
        <v>1100577947</v>
      </c>
      <c r="E3117" s="23">
        <v>30</v>
      </c>
      <c r="F3117" s="23" t="s">
        <v>82</v>
      </c>
      <c r="G3117" s="23" t="s">
        <v>139</v>
      </c>
      <c r="H3117" s="24">
        <v>47118</v>
      </c>
      <c r="I3117" s="24">
        <v>47118</v>
      </c>
      <c r="J3117" s="23" t="s">
        <v>1049</v>
      </c>
      <c r="K3117" s="23" t="s">
        <v>1049</v>
      </c>
      <c r="L3117" s="23">
        <v>1</v>
      </c>
      <c r="M3117" s="23" t="s">
        <v>78</v>
      </c>
      <c r="N3117" s="23" t="s">
        <v>78</v>
      </c>
      <c r="O3117" s="23">
        <v>0.01</v>
      </c>
      <c r="P3117" s="23" t="s">
        <v>79</v>
      </c>
      <c r="Q3117" s="23" t="s">
        <v>83</v>
      </c>
      <c r="S3117" s="24" t="s">
        <v>80</v>
      </c>
      <c r="T3117" s="24">
        <v>46078</v>
      </c>
      <c r="U3117" s="24">
        <v>47116</v>
      </c>
      <c r="X3117" s="24">
        <v>46078</v>
      </c>
      <c r="Y3117" s="23">
        <v>1111</v>
      </c>
      <c r="Z3117" s="23">
        <v>11100042</v>
      </c>
      <c r="AA3117" s="23">
        <v>3553</v>
      </c>
      <c r="AB3117" s="24">
        <v>46078</v>
      </c>
    </row>
    <row r="3118" spans="2:28" x14ac:dyDescent="0.2">
      <c r="B3118" s="23" t="s">
        <v>81</v>
      </c>
      <c r="C3118" s="23">
        <v>1100577947</v>
      </c>
      <c r="H3118" s="24">
        <v>47118</v>
      </c>
      <c r="O3118" s="23">
        <v>0.01</v>
      </c>
      <c r="P3118" s="23" t="s">
        <v>79</v>
      </c>
    </row>
    <row r="3119" spans="2:28" x14ac:dyDescent="0.2">
      <c r="C3119" s="23">
        <v>1100577958</v>
      </c>
      <c r="E3119" s="23">
        <v>10</v>
      </c>
      <c r="F3119" s="23" t="s">
        <v>87</v>
      </c>
      <c r="G3119" s="23" t="s">
        <v>4073</v>
      </c>
      <c r="H3119" s="24">
        <v>47118</v>
      </c>
      <c r="I3119" s="24">
        <v>47118</v>
      </c>
      <c r="J3119" s="23" t="s">
        <v>195</v>
      </c>
      <c r="K3119" s="23" t="s">
        <v>195</v>
      </c>
      <c r="L3119" s="23">
        <v>1</v>
      </c>
      <c r="M3119" s="23" t="s">
        <v>78</v>
      </c>
      <c r="N3119" s="23" t="s">
        <v>78</v>
      </c>
      <c r="O3119" s="23">
        <v>7838</v>
      </c>
      <c r="P3119" s="23" t="s">
        <v>79</v>
      </c>
      <c r="Q3119" s="23" t="s">
        <v>83</v>
      </c>
      <c r="R3119" s="23">
        <v>11100176</v>
      </c>
      <c r="S3119" s="24" t="s">
        <v>80</v>
      </c>
      <c r="T3119" s="24">
        <v>46078</v>
      </c>
      <c r="U3119" s="24" t="s">
        <v>80</v>
      </c>
      <c r="X3119" s="24" t="s">
        <v>80</v>
      </c>
      <c r="Y3119" s="23">
        <v>1111</v>
      </c>
      <c r="Z3119" s="23">
        <v>11400606</v>
      </c>
      <c r="AA3119" s="23">
        <v>3358</v>
      </c>
      <c r="AB3119" s="24" t="s">
        <v>80</v>
      </c>
    </row>
    <row r="3120" spans="2:28" x14ac:dyDescent="0.2">
      <c r="C3120" s="23">
        <v>1100577958</v>
      </c>
      <c r="E3120" s="23">
        <v>20</v>
      </c>
      <c r="F3120" s="23" t="s">
        <v>96</v>
      </c>
      <c r="G3120" s="23" t="s">
        <v>97</v>
      </c>
      <c r="H3120" s="24">
        <v>47118</v>
      </c>
      <c r="I3120" s="24">
        <v>47118</v>
      </c>
      <c r="J3120" s="23" t="s">
        <v>195</v>
      </c>
      <c r="K3120" s="23" t="s">
        <v>195</v>
      </c>
      <c r="L3120" s="23">
        <v>1</v>
      </c>
      <c r="M3120" s="23" t="s">
        <v>78</v>
      </c>
      <c r="N3120" s="23" t="s">
        <v>78</v>
      </c>
      <c r="O3120" s="23">
        <v>0.01</v>
      </c>
      <c r="P3120" s="23" t="s">
        <v>79</v>
      </c>
      <c r="Q3120" s="23" t="s">
        <v>83</v>
      </c>
      <c r="R3120" s="23">
        <v>11100176</v>
      </c>
      <c r="S3120" s="24" t="s">
        <v>80</v>
      </c>
      <c r="T3120" s="24">
        <v>46078</v>
      </c>
      <c r="U3120" s="24" t="s">
        <v>80</v>
      </c>
      <c r="X3120" s="24">
        <v>46072</v>
      </c>
      <c r="Y3120" s="23">
        <v>1111</v>
      </c>
      <c r="Z3120" s="23">
        <v>11400606</v>
      </c>
      <c r="AA3120" s="23">
        <v>3358</v>
      </c>
      <c r="AB3120" s="24">
        <v>46078</v>
      </c>
    </row>
    <row r="3121" spans="2:28" x14ac:dyDescent="0.2">
      <c r="C3121" s="23">
        <v>1100577958</v>
      </c>
      <c r="E3121" s="23">
        <v>30</v>
      </c>
      <c r="F3121" s="23" t="s">
        <v>84</v>
      </c>
      <c r="G3121" s="23" t="s">
        <v>123</v>
      </c>
      <c r="H3121" s="24">
        <v>47118</v>
      </c>
      <c r="I3121" s="24">
        <v>47118</v>
      </c>
      <c r="J3121" s="23" t="s">
        <v>195</v>
      </c>
      <c r="K3121" s="23" t="s">
        <v>195</v>
      </c>
      <c r="L3121" s="23">
        <v>1</v>
      </c>
      <c r="M3121" s="23" t="s">
        <v>78</v>
      </c>
      <c r="N3121" s="23" t="s">
        <v>78</v>
      </c>
      <c r="O3121" s="23">
        <v>0.01</v>
      </c>
      <c r="P3121" s="23" t="s">
        <v>79</v>
      </c>
      <c r="Q3121" s="23" t="s">
        <v>83</v>
      </c>
      <c r="R3121" s="23">
        <v>11100176</v>
      </c>
      <c r="S3121" s="24" t="s">
        <v>80</v>
      </c>
      <c r="T3121" s="24">
        <v>46078</v>
      </c>
      <c r="U3121" s="24" t="s">
        <v>80</v>
      </c>
      <c r="X3121" s="24">
        <v>46072</v>
      </c>
      <c r="Y3121" s="23">
        <v>1111</v>
      </c>
      <c r="Z3121" s="23">
        <v>11400606</v>
      </c>
      <c r="AA3121" s="23">
        <v>3358</v>
      </c>
      <c r="AB3121" s="24">
        <v>46078</v>
      </c>
    </row>
    <row r="3122" spans="2:28" x14ac:dyDescent="0.2">
      <c r="C3122" s="23">
        <v>1100577958</v>
      </c>
      <c r="E3122" s="23">
        <v>40</v>
      </c>
      <c r="F3122" s="23" t="s">
        <v>82</v>
      </c>
      <c r="G3122" s="23" t="s">
        <v>139</v>
      </c>
      <c r="H3122" s="24">
        <v>47118</v>
      </c>
      <c r="I3122" s="24">
        <v>47118</v>
      </c>
      <c r="J3122" s="23" t="s">
        <v>195</v>
      </c>
      <c r="K3122" s="23" t="s">
        <v>195</v>
      </c>
      <c r="L3122" s="23">
        <v>1</v>
      </c>
      <c r="M3122" s="23" t="s">
        <v>78</v>
      </c>
      <c r="N3122" s="23" t="s">
        <v>78</v>
      </c>
      <c r="O3122" s="23">
        <v>0.01</v>
      </c>
      <c r="P3122" s="23" t="s">
        <v>79</v>
      </c>
      <c r="Q3122" s="23" t="s">
        <v>83</v>
      </c>
      <c r="R3122" s="23">
        <v>11100176</v>
      </c>
      <c r="S3122" s="24" t="s">
        <v>80</v>
      </c>
      <c r="T3122" s="24">
        <v>46078</v>
      </c>
      <c r="U3122" s="24" t="s">
        <v>80</v>
      </c>
      <c r="X3122" s="24">
        <v>46072</v>
      </c>
      <c r="Y3122" s="23">
        <v>1111</v>
      </c>
      <c r="Z3122" s="23">
        <v>11400606</v>
      </c>
      <c r="AA3122" s="23">
        <v>3358</v>
      </c>
      <c r="AB3122" s="24">
        <v>46078</v>
      </c>
    </row>
    <row r="3123" spans="2:28" x14ac:dyDescent="0.2">
      <c r="B3123" s="23" t="s">
        <v>81</v>
      </c>
      <c r="C3123" s="23">
        <v>1100577958</v>
      </c>
      <c r="H3123" s="24">
        <v>47118</v>
      </c>
      <c r="O3123" s="23">
        <v>7838.03</v>
      </c>
      <c r="P3123" s="23" t="s">
        <v>79</v>
      </c>
    </row>
    <row r="3124" spans="2:28" x14ac:dyDescent="0.2">
      <c r="C3124" s="23">
        <v>1100578016</v>
      </c>
      <c r="E3124" s="23">
        <v>10</v>
      </c>
      <c r="F3124" s="23" t="s">
        <v>873</v>
      </c>
      <c r="G3124" s="23" t="s">
        <v>874</v>
      </c>
      <c r="H3124" s="24">
        <v>47118</v>
      </c>
      <c r="I3124" s="24">
        <v>47118</v>
      </c>
      <c r="J3124" s="23" t="s">
        <v>4074</v>
      </c>
      <c r="K3124" s="23" t="s">
        <v>4074</v>
      </c>
      <c r="L3124" s="23">
        <v>2</v>
      </c>
      <c r="M3124" s="23" t="s">
        <v>78</v>
      </c>
      <c r="N3124" s="23" t="s">
        <v>78</v>
      </c>
      <c r="O3124" s="23">
        <v>2306.14</v>
      </c>
      <c r="P3124" s="23" t="s">
        <v>79</v>
      </c>
      <c r="Q3124" s="23" t="s">
        <v>83</v>
      </c>
      <c r="R3124" s="23">
        <v>11100176</v>
      </c>
      <c r="S3124" s="24">
        <v>46150</v>
      </c>
      <c r="T3124" s="24">
        <v>46078</v>
      </c>
      <c r="U3124" s="24">
        <v>47116</v>
      </c>
      <c r="X3124" s="24">
        <v>46064</v>
      </c>
      <c r="Y3124" s="23">
        <v>1111</v>
      </c>
      <c r="Z3124" s="23">
        <v>11400704</v>
      </c>
      <c r="AA3124" s="23">
        <v>3151</v>
      </c>
      <c r="AB3124" s="24">
        <v>46063</v>
      </c>
    </row>
    <row r="3125" spans="2:28" x14ac:dyDescent="0.2">
      <c r="C3125" s="23">
        <v>1100578016</v>
      </c>
      <c r="E3125" s="23">
        <v>20</v>
      </c>
      <c r="F3125" s="23" t="s">
        <v>209</v>
      </c>
      <c r="G3125" s="23" t="s">
        <v>210</v>
      </c>
      <c r="H3125" s="24">
        <v>47118</v>
      </c>
      <c r="I3125" s="24">
        <v>47118</v>
      </c>
      <c r="J3125" s="23" t="s">
        <v>4074</v>
      </c>
      <c r="K3125" s="23" t="s">
        <v>4074</v>
      </c>
      <c r="L3125" s="23">
        <v>1</v>
      </c>
      <c r="M3125" s="23" t="s">
        <v>78</v>
      </c>
      <c r="N3125" s="23" t="s">
        <v>78</v>
      </c>
      <c r="O3125" s="23">
        <v>13.15</v>
      </c>
      <c r="P3125" s="23" t="s">
        <v>79</v>
      </c>
      <c r="Q3125" s="23" t="s">
        <v>83</v>
      </c>
      <c r="R3125" s="23">
        <v>11100176</v>
      </c>
      <c r="S3125" s="24" t="s">
        <v>80</v>
      </c>
      <c r="T3125" s="24">
        <v>46078</v>
      </c>
      <c r="U3125" s="24">
        <v>47116</v>
      </c>
      <c r="X3125" s="24">
        <v>46064</v>
      </c>
      <c r="Y3125" s="23">
        <v>1111</v>
      </c>
      <c r="Z3125" s="23">
        <v>11400704</v>
      </c>
      <c r="AA3125" s="23">
        <v>3151</v>
      </c>
      <c r="AB3125" s="24">
        <v>46063</v>
      </c>
    </row>
    <row r="3126" spans="2:28" x14ac:dyDescent="0.2">
      <c r="B3126" s="23" t="s">
        <v>81</v>
      </c>
      <c r="C3126" s="23">
        <v>1100578016</v>
      </c>
      <c r="H3126" s="24">
        <v>47118</v>
      </c>
      <c r="O3126" s="23">
        <v>2319.29</v>
      </c>
      <c r="P3126" s="23" t="s">
        <v>79</v>
      </c>
    </row>
    <row r="3127" spans="2:28" x14ac:dyDescent="0.2">
      <c r="C3127" s="23">
        <v>1100578020</v>
      </c>
      <c r="E3127" s="23">
        <v>10</v>
      </c>
      <c r="F3127" s="23" t="s">
        <v>273</v>
      </c>
      <c r="G3127" s="23" t="s">
        <v>274</v>
      </c>
      <c r="H3127" s="24">
        <v>47118</v>
      </c>
      <c r="I3127" s="24">
        <v>47118</v>
      </c>
      <c r="J3127" s="23" t="s">
        <v>4075</v>
      </c>
      <c r="K3127" s="23" t="s">
        <v>4075</v>
      </c>
      <c r="L3127" s="23">
        <v>2</v>
      </c>
      <c r="M3127" s="23" t="s">
        <v>78</v>
      </c>
      <c r="N3127" s="23" t="s">
        <v>78</v>
      </c>
      <c r="O3127" s="23">
        <v>1517.26</v>
      </c>
      <c r="P3127" s="23" t="s">
        <v>79</v>
      </c>
      <c r="Q3127" s="23" t="s">
        <v>83</v>
      </c>
      <c r="R3127" s="23">
        <v>11100176</v>
      </c>
      <c r="S3127" s="24">
        <v>46099</v>
      </c>
      <c r="T3127" s="24">
        <v>46079</v>
      </c>
      <c r="U3127" s="24">
        <v>47116</v>
      </c>
      <c r="X3127" s="24">
        <v>46076</v>
      </c>
      <c r="Y3127" s="23">
        <v>1111</v>
      </c>
      <c r="Z3127" s="23">
        <v>11600001</v>
      </c>
      <c r="AA3127" s="23">
        <v>3351</v>
      </c>
      <c r="AB3127" s="24">
        <v>46077</v>
      </c>
    </row>
    <row r="3128" spans="2:28" x14ac:dyDescent="0.2">
      <c r="C3128" s="23">
        <v>1100578020</v>
      </c>
      <c r="E3128" s="23">
        <v>20</v>
      </c>
      <c r="F3128" s="23" t="s">
        <v>240</v>
      </c>
      <c r="G3128" s="23" t="s">
        <v>241</v>
      </c>
      <c r="H3128" s="24">
        <v>47118</v>
      </c>
      <c r="I3128" s="24">
        <v>47118</v>
      </c>
      <c r="J3128" s="23" t="s">
        <v>4075</v>
      </c>
      <c r="K3128" s="23" t="s">
        <v>4075</v>
      </c>
      <c r="L3128" s="23">
        <v>2</v>
      </c>
      <c r="M3128" s="23" t="s">
        <v>78</v>
      </c>
      <c r="N3128" s="23" t="s">
        <v>78</v>
      </c>
      <c r="O3128" s="23">
        <v>864.3</v>
      </c>
      <c r="P3128" s="23" t="s">
        <v>79</v>
      </c>
      <c r="Q3128" s="23" t="s">
        <v>83</v>
      </c>
      <c r="R3128" s="23">
        <v>11100176</v>
      </c>
      <c r="S3128" s="24">
        <v>46099</v>
      </c>
      <c r="T3128" s="24">
        <v>46079</v>
      </c>
      <c r="U3128" s="24">
        <v>47116</v>
      </c>
      <c r="X3128" s="24">
        <v>46076</v>
      </c>
      <c r="Y3128" s="23">
        <v>1111</v>
      </c>
      <c r="Z3128" s="23">
        <v>11600001</v>
      </c>
      <c r="AA3128" s="23">
        <v>3351</v>
      </c>
      <c r="AB3128" s="24">
        <v>46077</v>
      </c>
    </row>
    <row r="3129" spans="2:28" x14ac:dyDescent="0.2">
      <c r="C3129" s="23">
        <v>1100578020</v>
      </c>
      <c r="E3129" s="23">
        <v>30</v>
      </c>
      <c r="F3129" s="23" t="s">
        <v>209</v>
      </c>
      <c r="G3129" s="23" t="s">
        <v>210</v>
      </c>
      <c r="H3129" s="24">
        <v>47118</v>
      </c>
      <c r="I3129" s="24">
        <v>47118</v>
      </c>
      <c r="J3129" s="23" t="s">
        <v>4075</v>
      </c>
      <c r="K3129" s="23" t="s">
        <v>4075</v>
      </c>
      <c r="L3129" s="23">
        <v>1</v>
      </c>
      <c r="M3129" s="23" t="s">
        <v>78</v>
      </c>
      <c r="N3129" s="23" t="s">
        <v>78</v>
      </c>
      <c r="O3129" s="23">
        <v>78</v>
      </c>
      <c r="P3129" s="23" t="s">
        <v>79</v>
      </c>
      <c r="Q3129" s="23" t="s">
        <v>83</v>
      </c>
      <c r="R3129" s="23">
        <v>11100176</v>
      </c>
      <c r="S3129" s="24">
        <v>46099</v>
      </c>
      <c r="T3129" s="24">
        <v>46079</v>
      </c>
      <c r="U3129" s="24">
        <v>47116</v>
      </c>
      <c r="X3129" s="24">
        <v>46076</v>
      </c>
      <c r="Y3129" s="23">
        <v>1111</v>
      </c>
      <c r="Z3129" s="23">
        <v>11600001</v>
      </c>
      <c r="AA3129" s="23">
        <v>3351</v>
      </c>
      <c r="AB3129" s="24">
        <v>46077</v>
      </c>
    </row>
    <row r="3130" spans="2:28" x14ac:dyDescent="0.2">
      <c r="B3130" s="23" t="s">
        <v>81</v>
      </c>
      <c r="C3130" s="23">
        <v>1100578020</v>
      </c>
      <c r="H3130" s="24">
        <v>47118</v>
      </c>
      <c r="O3130" s="23">
        <v>2459.56</v>
      </c>
      <c r="P3130" s="23" t="s">
        <v>79</v>
      </c>
    </row>
    <row r="3131" spans="2:28" x14ac:dyDescent="0.2">
      <c r="C3131" s="23">
        <v>1100578044</v>
      </c>
      <c r="E3131" s="23">
        <v>30</v>
      </c>
      <c r="F3131" s="23" t="s">
        <v>82</v>
      </c>
      <c r="G3131" s="23" t="s">
        <v>139</v>
      </c>
      <c r="H3131" s="24">
        <v>47118</v>
      </c>
      <c r="I3131" s="24">
        <v>46079</v>
      </c>
      <c r="J3131" s="23" t="s">
        <v>887</v>
      </c>
      <c r="K3131" s="23" t="s">
        <v>887</v>
      </c>
      <c r="L3131" s="23">
        <v>1</v>
      </c>
      <c r="M3131" s="23" t="s">
        <v>78</v>
      </c>
      <c r="N3131" s="23" t="s">
        <v>78</v>
      </c>
      <c r="O3131" s="23">
        <v>0.01</v>
      </c>
      <c r="P3131" s="23" t="s">
        <v>79</v>
      </c>
      <c r="Q3131" s="23" t="s">
        <v>83</v>
      </c>
      <c r="S3131" s="24" t="s">
        <v>80</v>
      </c>
      <c r="T3131" s="24">
        <v>46079</v>
      </c>
      <c r="U3131" s="24">
        <v>47116</v>
      </c>
      <c r="X3131" s="24">
        <v>46079</v>
      </c>
      <c r="Y3131" s="23">
        <v>1111</v>
      </c>
      <c r="Z3131" s="23">
        <v>11100042</v>
      </c>
      <c r="AA3131" s="23">
        <v>3155</v>
      </c>
      <c r="AB3131" s="24">
        <v>46079</v>
      </c>
    </row>
    <row r="3132" spans="2:28" x14ac:dyDescent="0.2">
      <c r="B3132" s="23" t="s">
        <v>81</v>
      </c>
      <c r="C3132" s="23">
        <v>1100578044</v>
      </c>
      <c r="H3132" s="24">
        <v>47118</v>
      </c>
      <c r="O3132" s="23">
        <v>0.01</v>
      </c>
      <c r="P3132" s="23" t="s">
        <v>79</v>
      </c>
    </row>
    <row r="3133" spans="2:28" x14ac:dyDescent="0.2">
      <c r="C3133" s="23">
        <v>1100578084</v>
      </c>
      <c r="E3133" s="23">
        <v>10</v>
      </c>
      <c r="F3133" s="23" t="s">
        <v>680</v>
      </c>
      <c r="G3133" s="23" t="s">
        <v>681</v>
      </c>
      <c r="H3133" s="24">
        <v>47118</v>
      </c>
      <c r="I3133" s="24">
        <v>47118</v>
      </c>
      <c r="J3133" s="23" t="s">
        <v>685</v>
      </c>
      <c r="K3133" s="23" t="s">
        <v>685</v>
      </c>
      <c r="L3133" s="23">
        <v>1</v>
      </c>
      <c r="M3133" s="23" t="s">
        <v>78</v>
      </c>
      <c r="N3133" s="23" t="s">
        <v>78</v>
      </c>
      <c r="O3133" s="23">
        <v>1010.97</v>
      </c>
      <c r="P3133" s="23" t="s">
        <v>79</v>
      </c>
      <c r="Q3133" s="23" t="s">
        <v>83</v>
      </c>
      <c r="R3133" s="23">
        <v>11100176</v>
      </c>
      <c r="S3133" s="24">
        <v>46093</v>
      </c>
      <c r="T3133" s="24">
        <v>46079</v>
      </c>
      <c r="U3133" s="24">
        <v>47116</v>
      </c>
      <c r="X3133" s="24">
        <v>46078</v>
      </c>
      <c r="Y3133" s="23">
        <v>1111</v>
      </c>
      <c r="Z3133" s="23">
        <v>11400811</v>
      </c>
      <c r="AA3133" s="23">
        <v>505103</v>
      </c>
      <c r="AB3133" s="24">
        <v>46078</v>
      </c>
    </row>
    <row r="3134" spans="2:28" x14ac:dyDescent="0.2">
      <c r="B3134" s="23" t="s">
        <v>81</v>
      </c>
      <c r="C3134" s="23">
        <v>1100578084</v>
      </c>
      <c r="H3134" s="24">
        <v>47118</v>
      </c>
      <c r="O3134" s="23">
        <v>1010.97</v>
      </c>
      <c r="P3134" s="23" t="s">
        <v>79</v>
      </c>
    </row>
    <row r="3135" spans="2:28" x14ac:dyDescent="0.2">
      <c r="C3135" s="23">
        <v>1100578155</v>
      </c>
      <c r="E3135" s="23">
        <v>10</v>
      </c>
      <c r="F3135" s="23" t="s">
        <v>87</v>
      </c>
      <c r="G3135" s="23" t="s">
        <v>4076</v>
      </c>
      <c r="H3135" s="24">
        <v>47118</v>
      </c>
      <c r="I3135" s="24">
        <v>47118</v>
      </c>
      <c r="J3135" s="23" t="s">
        <v>682</v>
      </c>
      <c r="K3135" s="23" t="s">
        <v>682</v>
      </c>
      <c r="L3135" s="23">
        <v>1</v>
      </c>
      <c r="M3135" s="23" t="s">
        <v>78</v>
      </c>
      <c r="N3135" s="23" t="s">
        <v>78</v>
      </c>
      <c r="O3135" s="23">
        <v>15871.2</v>
      </c>
      <c r="P3135" s="23" t="s">
        <v>79</v>
      </c>
      <c r="Q3135" s="23" t="s">
        <v>83</v>
      </c>
      <c r="R3135" s="23">
        <v>11100189</v>
      </c>
      <c r="S3135" s="24" t="s">
        <v>80</v>
      </c>
      <c r="T3135" s="24">
        <v>46079</v>
      </c>
      <c r="U3135" s="24" t="s">
        <v>80</v>
      </c>
      <c r="X3135" s="24">
        <v>46014</v>
      </c>
      <c r="Y3135" s="23">
        <v>1111</v>
      </c>
      <c r="Z3135" s="23">
        <v>11400606</v>
      </c>
      <c r="AA3135" s="23">
        <v>335103</v>
      </c>
      <c r="AB3135" s="24">
        <v>46061</v>
      </c>
    </row>
    <row r="3136" spans="2:28" x14ac:dyDescent="0.2">
      <c r="C3136" s="23">
        <v>1100578155</v>
      </c>
      <c r="E3136" s="23">
        <v>20</v>
      </c>
      <c r="F3136" s="23" t="s">
        <v>87</v>
      </c>
      <c r="G3136" s="23" t="s">
        <v>4077</v>
      </c>
      <c r="H3136" s="24">
        <v>47118</v>
      </c>
      <c r="I3136" s="24">
        <v>47118</v>
      </c>
      <c r="J3136" s="23" t="s">
        <v>682</v>
      </c>
      <c r="K3136" s="23" t="s">
        <v>682</v>
      </c>
      <c r="L3136" s="23">
        <v>1</v>
      </c>
      <c r="M3136" s="23" t="s">
        <v>78</v>
      </c>
      <c r="N3136" s="23" t="s">
        <v>78</v>
      </c>
      <c r="O3136" s="23">
        <v>12717.6</v>
      </c>
      <c r="P3136" s="23" t="s">
        <v>79</v>
      </c>
      <c r="Q3136" s="23" t="s">
        <v>83</v>
      </c>
      <c r="R3136" s="23">
        <v>11100189</v>
      </c>
      <c r="S3136" s="24" t="s">
        <v>80</v>
      </c>
      <c r="T3136" s="24">
        <v>46079</v>
      </c>
      <c r="U3136" s="24" t="s">
        <v>80</v>
      </c>
      <c r="X3136" s="24">
        <v>46014</v>
      </c>
      <c r="Y3136" s="23">
        <v>1111</v>
      </c>
      <c r="Z3136" s="23">
        <v>11400606</v>
      </c>
      <c r="AA3136" s="23">
        <v>335103</v>
      </c>
      <c r="AB3136" s="24">
        <v>46061</v>
      </c>
    </row>
    <row r="3137" spans="3:28" x14ac:dyDescent="0.2">
      <c r="C3137" s="23">
        <v>1100578155</v>
      </c>
      <c r="E3137" s="23">
        <v>30</v>
      </c>
      <c r="F3137" s="23" t="s">
        <v>87</v>
      </c>
      <c r="G3137" s="23" t="s">
        <v>4078</v>
      </c>
      <c r="H3137" s="24">
        <v>47118</v>
      </c>
      <c r="I3137" s="24">
        <v>47118</v>
      </c>
      <c r="J3137" s="23" t="s">
        <v>682</v>
      </c>
      <c r="K3137" s="23" t="s">
        <v>682</v>
      </c>
      <c r="L3137" s="23">
        <v>1</v>
      </c>
      <c r="M3137" s="23" t="s">
        <v>78</v>
      </c>
      <c r="N3137" s="23" t="s">
        <v>78</v>
      </c>
      <c r="O3137" s="23">
        <v>15743.2</v>
      </c>
      <c r="P3137" s="23" t="s">
        <v>79</v>
      </c>
      <c r="Q3137" s="23" t="s">
        <v>83</v>
      </c>
      <c r="R3137" s="23">
        <v>11100189</v>
      </c>
      <c r="S3137" s="24" t="s">
        <v>80</v>
      </c>
      <c r="T3137" s="24">
        <v>46079</v>
      </c>
      <c r="U3137" s="24" t="s">
        <v>80</v>
      </c>
      <c r="X3137" s="24">
        <v>46014</v>
      </c>
      <c r="Y3137" s="23">
        <v>1111</v>
      </c>
      <c r="Z3137" s="23">
        <v>11400606</v>
      </c>
      <c r="AA3137" s="23">
        <v>335103</v>
      </c>
      <c r="AB3137" s="24">
        <v>46061</v>
      </c>
    </row>
    <row r="3138" spans="3:28" x14ac:dyDescent="0.2">
      <c r="C3138" s="23">
        <v>1100578155</v>
      </c>
      <c r="E3138" s="23">
        <v>40</v>
      </c>
      <c r="F3138" s="23" t="s">
        <v>87</v>
      </c>
      <c r="G3138" s="23" t="s">
        <v>4079</v>
      </c>
      <c r="H3138" s="24">
        <v>47118</v>
      </c>
      <c r="I3138" s="24">
        <v>47118</v>
      </c>
      <c r="J3138" s="23" t="s">
        <v>682</v>
      </c>
      <c r="K3138" s="23" t="s">
        <v>682</v>
      </c>
      <c r="L3138" s="23">
        <v>1</v>
      </c>
      <c r="M3138" s="23" t="s">
        <v>78</v>
      </c>
      <c r="N3138" s="23" t="s">
        <v>78</v>
      </c>
      <c r="O3138" s="23">
        <v>15871.2</v>
      </c>
      <c r="P3138" s="23" t="s">
        <v>79</v>
      </c>
      <c r="Q3138" s="23" t="s">
        <v>83</v>
      </c>
      <c r="R3138" s="23">
        <v>11100189</v>
      </c>
      <c r="S3138" s="24" t="s">
        <v>80</v>
      </c>
      <c r="T3138" s="24">
        <v>46079</v>
      </c>
      <c r="U3138" s="24" t="s">
        <v>80</v>
      </c>
      <c r="X3138" s="24">
        <v>46014</v>
      </c>
      <c r="Y3138" s="23">
        <v>1111</v>
      </c>
      <c r="Z3138" s="23">
        <v>11400606</v>
      </c>
      <c r="AA3138" s="23">
        <v>335103</v>
      </c>
      <c r="AB3138" s="24">
        <v>46061</v>
      </c>
    </row>
    <row r="3139" spans="3:28" x14ac:dyDescent="0.2">
      <c r="C3139" s="23">
        <v>1100578155</v>
      </c>
      <c r="E3139" s="23">
        <v>50</v>
      </c>
      <c r="F3139" s="23" t="s">
        <v>87</v>
      </c>
      <c r="G3139" s="23" t="s">
        <v>4080</v>
      </c>
      <c r="H3139" s="24">
        <v>47118</v>
      </c>
      <c r="I3139" s="24">
        <v>47118</v>
      </c>
      <c r="J3139" s="23" t="s">
        <v>682</v>
      </c>
      <c r="K3139" s="23" t="s">
        <v>682</v>
      </c>
      <c r="L3139" s="23">
        <v>1</v>
      </c>
      <c r="M3139" s="23" t="s">
        <v>78</v>
      </c>
      <c r="N3139" s="23" t="s">
        <v>78</v>
      </c>
      <c r="O3139" s="23">
        <v>15871.2</v>
      </c>
      <c r="P3139" s="23" t="s">
        <v>79</v>
      </c>
      <c r="Q3139" s="23" t="s">
        <v>83</v>
      </c>
      <c r="R3139" s="23">
        <v>11100189</v>
      </c>
      <c r="S3139" s="24" t="s">
        <v>80</v>
      </c>
      <c r="T3139" s="24">
        <v>46079</v>
      </c>
      <c r="U3139" s="24" t="s">
        <v>80</v>
      </c>
      <c r="X3139" s="24">
        <v>46014</v>
      </c>
      <c r="Y3139" s="23">
        <v>1111</v>
      </c>
      <c r="Z3139" s="23">
        <v>11400606</v>
      </c>
      <c r="AA3139" s="23">
        <v>335103</v>
      </c>
      <c r="AB3139" s="24">
        <v>46061</v>
      </c>
    </row>
    <row r="3140" spans="3:28" x14ac:dyDescent="0.2">
      <c r="C3140" s="23">
        <v>1100578155</v>
      </c>
      <c r="E3140" s="23">
        <v>60</v>
      </c>
      <c r="F3140" s="23" t="s">
        <v>87</v>
      </c>
      <c r="G3140" s="23" t="s">
        <v>4081</v>
      </c>
      <c r="H3140" s="24">
        <v>47118</v>
      </c>
      <c r="I3140" s="24">
        <v>47118</v>
      </c>
      <c r="J3140" s="23" t="s">
        <v>682</v>
      </c>
      <c r="K3140" s="23" t="s">
        <v>682</v>
      </c>
      <c r="L3140" s="23">
        <v>1</v>
      </c>
      <c r="M3140" s="23" t="s">
        <v>78</v>
      </c>
      <c r="N3140" s="23" t="s">
        <v>78</v>
      </c>
      <c r="O3140" s="23">
        <v>12717.6</v>
      </c>
      <c r="P3140" s="23" t="s">
        <v>79</v>
      </c>
      <c r="Q3140" s="23" t="s">
        <v>83</v>
      </c>
      <c r="R3140" s="23">
        <v>11100189</v>
      </c>
      <c r="S3140" s="24" t="s">
        <v>80</v>
      </c>
      <c r="T3140" s="24">
        <v>46079</v>
      </c>
      <c r="U3140" s="24" t="s">
        <v>80</v>
      </c>
      <c r="X3140" s="24">
        <v>46014</v>
      </c>
      <c r="Y3140" s="23">
        <v>1111</v>
      </c>
      <c r="Z3140" s="23">
        <v>11400606</v>
      </c>
      <c r="AA3140" s="23">
        <v>335103</v>
      </c>
      <c r="AB3140" s="24">
        <v>46061</v>
      </c>
    </row>
    <row r="3141" spans="3:28" x14ac:dyDescent="0.2">
      <c r="C3141" s="23">
        <v>1100578155</v>
      </c>
      <c r="E3141" s="23">
        <v>70</v>
      </c>
      <c r="F3141" s="23" t="s">
        <v>87</v>
      </c>
      <c r="G3141" s="23" t="s">
        <v>4082</v>
      </c>
      <c r="H3141" s="24">
        <v>47118</v>
      </c>
      <c r="I3141" s="24">
        <v>47118</v>
      </c>
      <c r="J3141" s="23" t="s">
        <v>682</v>
      </c>
      <c r="K3141" s="23" t="s">
        <v>682</v>
      </c>
      <c r="L3141" s="23">
        <v>1</v>
      </c>
      <c r="M3141" s="23" t="s">
        <v>78</v>
      </c>
      <c r="N3141" s="23" t="s">
        <v>78</v>
      </c>
      <c r="O3141" s="23">
        <v>12383.2</v>
      </c>
      <c r="P3141" s="23" t="s">
        <v>79</v>
      </c>
      <c r="Q3141" s="23" t="s">
        <v>83</v>
      </c>
      <c r="R3141" s="23">
        <v>11100189</v>
      </c>
      <c r="S3141" s="24" t="s">
        <v>80</v>
      </c>
      <c r="T3141" s="24">
        <v>46079</v>
      </c>
      <c r="U3141" s="24" t="s">
        <v>80</v>
      </c>
      <c r="X3141" s="24">
        <v>46014</v>
      </c>
      <c r="Y3141" s="23">
        <v>1111</v>
      </c>
      <c r="Z3141" s="23">
        <v>11400606</v>
      </c>
      <c r="AA3141" s="23">
        <v>335103</v>
      </c>
      <c r="AB3141" s="24">
        <v>46061</v>
      </c>
    </row>
    <row r="3142" spans="3:28" x14ac:dyDescent="0.2">
      <c r="C3142" s="23">
        <v>1100578155</v>
      </c>
      <c r="E3142" s="23">
        <v>80</v>
      </c>
      <c r="F3142" s="23" t="s">
        <v>87</v>
      </c>
      <c r="G3142" s="23" t="s">
        <v>4083</v>
      </c>
      <c r="H3142" s="24">
        <v>47118</v>
      </c>
      <c r="I3142" s="24">
        <v>47118</v>
      </c>
      <c r="J3142" s="23" t="s">
        <v>682</v>
      </c>
      <c r="K3142" s="23" t="s">
        <v>682</v>
      </c>
      <c r="L3142" s="23">
        <v>1</v>
      </c>
      <c r="M3142" s="23" t="s">
        <v>78</v>
      </c>
      <c r="N3142" s="23" t="s">
        <v>78</v>
      </c>
      <c r="O3142" s="23">
        <v>15871.2</v>
      </c>
      <c r="P3142" s="23" t="s">
        <v>79</v>
      </c>
      <c r="Q3142" s="23" t="s">
        <v>83</v>
      </c>
      <c r="R3142" s="23">
        <v>11100189</v>
      </c>
      <c r="S3142" s="24" t="s">
        <v>80</v>
      </c>
      <c r="T3142" s="24">
        <v>46079</v>
      </c>
      <c r="U3142" s="24" t="s">
        <v>80</v>
      </c>
      <c r="X3142" s="24">
        <v>46014</v>
      </c>
      <c r="Y3142" s="23">
        <v>1111</v>
      </c>
      <c r="Z3142" s="23">
        <v>11400606</v>
      </c>
      <c r="AA3142" s="23">
        <v>335103</v>
      </c>
      <c r="AB3142" s="24">
        <v>46061</v>
      </c>
    </row>
    <row r="3143" spans="3:28" x14ac:dyDescent="0.2">
      <c r="C3143" s="23">
        <v>1100578155</v>
      </c>
      <c r="E3143" s="23">
        <v>90</v>
      </c>
      <c r="F3143" s="23" t="s">
        <v>87</v>
      </c>
      <c r="G3143" s="23" t="s">
        <v>4084</v>
      </c>
      <c r="H3143" s="24">
        <v>47118</v>
      </c>
      <c r="I3143" s="24">
        <v>47118</v>
      </c>
      <c r="J3143" s="23" t="s">
        <v>682</v>
      </c>
      <c r="K3143" s="23" t="s">
        <v>682</v>
      </c>
      <c r="L3143" s="23">
        <v>1</v>
      </c>
      <c r="M3143" s="23" t="s">
        <v>78</v>
      </c>
      <c r="N3143" s="23" t="s">
        <v>78</v>
      </c>
      <c r="O3143" s="23">
        <v>15743.2</v>
      </c>
      <c r="P3143" s="23" t="s">
        <v>79</v>
      </c>
      <c r="Q3143" s="23" t="s">
        <v>83</v>
      </c>
      <c r="R3143" s="23">
        <v>11100189</v>
      </c>
      <c r="S3143" s="24" t="s">
        <v>80</v>
      </c>
      <c r="T3143" s="24">
        <v>46079</v>
      </c>
      <c r="U3143" s="24" t="s">
        <v>80</v>
      </c>
      <c r="X3143" s="24">
        <v>46014</v>
      </c>
      <c r="Y3143" s="23">
        <v>1111</v>
      </c>
      <c r="Z3143" s="23">
        <v>11400606</v>
      </c>
      <c r="AA3143" s="23">
        <v>335103</v>
      </c>
      <c r="AB3143" s="24">
        <v>46061</v>
      </c>
    </row>
    <row r="3144" spans="3:28" x14ac:dyDescent="0.2">
      <c r="C3144" s="23">
        <v>1100578155</v>
      </c>
      <c r="E3144" s="23">
        <v>100</v>
      </c>
      <c r="F3144" s="23" t="s">
        <v>87</v>
      </c>
      <c r="G3144" s="23" t="s">
        <v>4085</v>
      </c>
      <c r="H3144" s="24">
        <v>47118</v>
      </c>
      <c r="I3144" s="24">
        <v>47118</v>
      </c>
      <c r="J3144" s="23" t="s">
        <v>682</v>
      </c>
      <c r="K3144" s="23" t="s">
        <v>682</v>
      </c>
      <c r="L3144" s="23">
        <v>1</v>
      </c>
      <c r="M3144" s="23" t="s">
        <v>78</v>
      </c>
      <c r="N3144" s="23" t="s">
        <v>78</v>
      </c>
      <c r="O3144" s="23">
        <v>15743.2</v>
      </c>
      <c r="P3144" s="23" t="s">
        <v>79</v>
      </c>
      <c r="Q3144" s="23" t="s">
        <v>83</v>
      </c>
      <c r="R3144" s="23">
        <v>11100189</v>
      </c>
      <c r="S3144" s="24" t="s">
        <v>80</v>
      </c>
      <c r="T3144" s="24">
        <v>46079</v>
      </c>
      <c r="U3144" s="24" t="s">
        <v>80</v>
      </c>
      <c r="X3144" s="24">
        <v>46014</v>
      </c>
      <c r="Y3144" s="23">
        <v>1111</v>
      </c>
      <c r="Z3144" s="23">
        <v>11400606</v>
      </c>
      <c r="AA3144" s="23">
        <v>335103</v>
      </c>
      <c r="AB3144" s="24">
        <v>46061</v>
      </c>
    </row>
    <row r="3145" spans="3:28" x14ac:dyDescent="0.2">
      <c r="C3145" s="23">
        <v>1100578155</v>
      </c>
      <c r="E3145" s="23">
        <v>110</v>
      </c>
      <c r="F3145" s="23" t="s">
        <v>87</v>
      </c>
      <c r="G3145" s="23" t="s">
        <v>4086</v>
      </c>
      <c r="H3145" s="24">
        <v>47118</v>
      </c>
      <c r="I3145" s="24">
        <v>47118</v>
      </c>
      <c r="J3145" s="23" t="s">
        <v>682</v>
      </c>
      <c r="K3145" s="23" t="s">
        <v>682</v>
      </c>
      <c r="L3145" s="23">
        <v>1</v>
      </c>
      <c r="M3145" s="23" t="s">
        <v>78</v>
      </c>
      <c r="N3145" s="23" t="s">
        <v>78</v>
      </c>
      <c r="O3145" s="23">
        <v>12717.6</v>
      </c>
      <c r="P3145" s="23" t="s">
        <v>79</v>
      </c>
      <c r="Q3145" s="23" t="s">
        <v>83</v>
      </c>
      <c r="R3145" s="23">
        <v>11100189</v>
      </c>
      <c r="S3145" s="24" t="s">
        <v>80</v>
      </c>
      <c r="T3145" s="24">
        <v>46079</v>
      </c>
      <c r="U3145" s="24" t="s">
        <v>80</v>
      </c>
      <c r="X3145" s="24">
        <v>46014</v>
      </c>
      <c r="Y3145" s="23">
        <v>1111</v>
      </c>
      <c r="Z3145" s="23">
        <v>11400606</v>
      </c>
      <c r="AA3145" s="23">
        <v>335103</v>
      </c>
      <c r="AB3145" s="24">
        <v>46061</v>
      </c>
    </row>
    <row r="3146" spans="3:28" x14ac:dyDescent="0.2">
      <c r="C3146" s="23">
        <v>1100578155</v>
      </c>
      <c r="E3146" s="23">
        <v>120</v>
      </c>
      <c r="F3146" s="23" t="s">
        <v>87</v>
      </c>
      <c r="G3146" s="23" t="s">
        <v>4087</v>
      </c>
      <c r="H3146" s="24">
        <v>47118</v>
      </c>
      <c r="I3146" s="24">
        <v>47118</v>
      </c>
      <c r="J3146" s="23" t="s">
        <v>682</v>
      </c>
      <c r="K3146" s="23" t="s">
        <v>682</v>
      </c>
      <c r="L3146" s="23">
        <v>1</v>
      </c>
      <c r="M3146" s="23" t="s">
        <v>78</v>
      </c>
      <c r="N3146" s="23" t="s">
        <v>78</v>
      </c>
      <c r="O3146" s="23">
        <v>12383.2</v>
      </c>
      <c r="P3146" s="23" t="s">
        <v>79</v>
      </c>
      <c r="Q3146" s="23" t="s">
        <v>83</v>
      </c>
      <c r="R3146" s="23">
        <v>11100189</v>
      </c>
      <c r="S3146" s="24" t="s">
        <v>80</v>
      </c>
      <c r="T3146" s="24">
        <v>46079</v>
      </c>
      <c r="U3146" s="24" t="s">
        <v>80</v>
      </c>
      <c r="X3146" s="24">
        <v>46014</v>
      </c>
      <c r="Y3146" s="23">
        <v>1111</v>
      </c>
      <c r="Z3146" s="23">
        <v>11400606</v>
      </c>
      <c r="AA3146" s="23">
        <v>335103</v>
      </c>
      <c r="AB3146" s="24">
        <v>46061</v>
      </c>
    </row>
    <row r="3147" spans="3:28" x14ac:dyDescent="0.2">
      <c r="C3147" s="23">
        <v>1100578155</v>
      </c>
      <c r="E3147" s="23">
        <v>130</v>
      </c>
      <c r="F3147" s="23" t="s">
        <v>87</v>
      </c>
      <c r="G3147" s="23" t="s">
        <v>4088</v>
      </c>
      <c r="H3147" s="24">
        <v>47118</v>
      </c>
      <c r="I3147" s="24">
        <v>47118</v>
      </c>
      <c r="J3147" s="23" t="s">
        <v>682</v>
      </c>
      <c r="K3147" s="23" t="s">
        <v>682</v>
      </c>
      <c r="L3147" s="23">
        <v>1</v>
      </c>
      <c r="M3147" s="23" t="s">
        <v>78</v>
      </c>
      <c r="N3147" s="23" t="s">
        <v>78</v>
      </c>
      <c r="O3147" s="23">
        <v>15871.2</v>
      </c>
      <c r="P3147" s="23" t="s">
        <v>79</v>
      </c>
      <c r="Q3147" s="23" t="s">
        <v>83</v>
      </c>
      <c r="R3147" s="23">
        <v>11100189</v>
      </c>
      <c r="S3147" s="24" t="s">
        <v>80</v>
      </c>
      <c r="T3147" s="24">
        <v>46079</v>
      </c>
      <c r="U3147" s="24" t="s">
        <v>80</v>
      </c>
      <c r="X3147" s="24">
        <v>46014</v>
      </c>
      <c r="Y3147" s="23">
        <v>1111</v>
      </c>
      <c r="Z3147" s="23">
        <v>11400606</v>
      </c>
      <c r="AA3147" s="23">
        <v>335103</v>
      </c>
      <c r="AB3147" s="24">
        <v>46061</v>
      </c>
    </row>
    <row r="3148" spans="3:28" x14ac:dyDescent="0.2">
      <c r="C3148" s="23">
        <v>1100578155</v>
      </c>
      <c r="E3148" s="23">
        <v>140</v>
      </c>
      <c r="F3148" s="23" t="s">
        <v>87</v>
      </c>
      <c r="G3148" s="23" t="s">
        <v>4089</v>
      </c>
      <c r="H3148" s="24">
        <v>47118</v>
      </c>
      <c r="I3148" s="24">
        <v>47118</v>
      </c>
      <c r="J3148" s="23" t="s">
        <v>682</v>
      </c>
      <c r="K3148" s="23" t="s">
        <v>682</v>
      </c>
      <c r="L3148" s="23">
        <v>1</v>
      </c>
      <c r="M3148" s="23" t="s">
        <v>78</v>
      </c>
      <c r="N3148" s="23" t="s">
        <v>78</v>
      </c>
      <c r="O3148" s="23">
        <v>15743.2</v>
      </c>
      <c r="P3148" s="23" t="s">
        <v>79</v>
      </c>
      <c r="Q3148" s="23" t="s">
        <v>83</v>
      </c>
      <c r="R3148" s="23">
        <v>11100189</v>
      </c>
      <c r="S3148" s="24" t="s">
        <v>80</v>
      </c>
      <c r="T3148" s="24">
        <v>46079</v>
      </c>
      <c r="U3148" s="24" t="s">
        <v>80</v>
      </c>
      <c r="X3148" s="24">
        <v>46014</v>
      </c>
      <c r="Y3148" s="23">
        <v>1111</v>
      </c>
      <c r="Z3148" s="23">
        <v>11400606</v>
      </c>
      <c r="AA3148" s="23">
        <v>335103</v>
      </c>
      <c r="AB3148" s="24">
        <v>46061</v>
      </c>
    </row>
    <row r="3149" spans="3:28" x14ac:dyDescent="0.2">
      <c r="C3149" s="23">
        <v>1100578155</v>
      </c>
      <c r="E3149" s="23">
        <v>150</v>
      </c>
      <c r="F3149" s="23" t="s">
        <v>87</v>
      </c>
      <c r="G3149" s="23" t="s">
        <v>4090</v>
      </c>
      <c r="H3149" s="24">
        <v>47118</v>
      </c>
      <c r="I3149" s="24">
        <v>47118</v>
      </c>
      <c r="J3149" s="23" t="s">
        <v>682</v>
      </c>
      <c r="K3149" s="23" t="s">
        <v>682</v>
      </c>
      <c r="L3149" s="23">
        <v>1</v>
      </c>
      <c r="M3149" s="23" t="s">
        <v>78</v>
      </c>
      <c r="N3149" s="23" t="s">
        <v>78</v>
      </c>
      <c r="O3149" s="23">
        <v>15743.2</v>
      </c>
      <c r="P3149" s="23" t="s">
        <v>79</v>
      </c>
      <c r="Q3149" s="23" t="s">
        <v>83</v>
      </c>
      <c r="R3149" s="23">
        <v>11100189</v>
      </c>
      <c r="S3149" s="24" t="s">
        <v>80</v>
      </c>
      <c r="T3149" s="24">
        <v>46079</v>
      </c>
      <c r="U3149" s="24" t="s">
        <v>80</v>
      </c>
      <c r="X3149" s="24">
        <v>46014</v>
      </c>
      <c r="Y3149" s="23">
        <v>1111</v>
      </c>
      <c r="Z3149" s="23">
        <v>11400606</v>
      </c>
      <c r="AA3149" s="23">
        <v>335103</v>
      </c>
      <c r="AB3149" s="24">
        <v>46061</v>
      </c>
    </row>
    <row r="3150" spans="3:28" x14ac:dyDescent="0.2">
      <c r="C3150" s="23">
        <v>1100578155</v>
      </c>
      <c r="E3150" s="23">
        <v>160</v>
      </c>
      <c r="F3150" s="23" t="s">
        <v>87</v>
      </c>
      <c r="G3150" s="23" t="s">
        <v>4091</v>
      </c>
      <c r="H3150" s="24">
        <v>47118</v>
      </c>
      <c r="I3150" s="24">
        <v>47118</v>
      </c>
      <c r="J3150" s="23" t="s">
        <v>682</v>
      </c>
      <c r="K3150" s="23" t="s">
        <v>682</v>
      </c>
      <c r="L3150" s="23">
        <v>1</v>
      </c>
      <c r="M3150" s="23" t="s">
        <v>78</v>
      </c>
      <c r="N3150" s="23" t="s">
        <v>78</v>
      </c>
      <c r="O3150" s="23">
        <v>12383.2</v>
      </c>
      <c r="P3150" s="23" t="s">
        <v>79</v>
      </c>
      <c r="Q3150" s="23" t="s">
        <v>83</v>
      </c>
      <c r="R3150" s="23">
        <v>11100189</v>
      </c>
      <c r="S3150" s="24" t="s">
        <v>80</v>
      </c>
      <c r="T3150" s="24">
        <v>46079</v>
      </c>
      <c r="U3150" s="24" t="s">
        <v>80</v>
      </c>
      <c r="X3150" s="24">
        <v>46014</v>
      </c>
      <c r="Y3150" s="23">
        <v>1111</v>
      </c>
      <c r="Z3150" s="23">
        <v>11400606</v>
      </c>
      <c r="AA3150" s="23">
        <v>335103</v>
      </c>
      <c r="AB3150" s="24">
        <v>46061</v>
      </c>
    </row>
    <row r="3151" spans="3:28" x14ac:dyDescent="0.2">
      <c r="C3151" s="23">
        <v>1100578155</v>
      </c>
      <c r="E3151" s="23">
        <v>170</v>
      </c>
      <c r="F3151" s="23" t="s">
        <v>87</v>
      </c>
      <c r="G3151" s="23" t="s">
        <v>4092</v>
      </c>
      <c r="H3151" s="24">
        <v>47118</v>
      </c>
      <c r="I3151" s="24">
        <v>47118</v>
      </c>
      <c r="J3151" s="23" t="s">
        <v>682</v>
      </c>
      <c r="K3151" s="23" t="s">
        <v>682</v>
      </c>
      <c r="L3151" s="23">
        <v>1</v>
      </c>
      <c r="M3151" s="23" t="s">
        <v>78</v>
      </c>
      <c r="N3151" s="23" t="s">
        <v>78</v>
      </c>
      <c r="O3151" s="23">
        <v>11039.2</v>
      </c>
      <c r="P3151" s="23" t="s">
        <v>79</v>
      </c>
      <c r="Q3151" s="23" t="s">
        <v>83</v>
      </c>
      <c r="R3151" s="23">
        <v>11100189</v>
      </c>
      <c r="S3151" s="24" t="s">
        <v>80</v>
      </c>
      <c r="T3151" s="24">
        <v>46079</v>
      </c>
      <c r="U3151" s="24" t="s">
        <v>80</v>
      </c>
      <c r="X3151" s="24">
        <v>46014</v>
      </c>
      <c r="Y3151" s="23">
        <v>1111</v>
      </c>
      <c r="Z3151" s="23">
        <v>11400606</v>
      </c>
      <c r="AA3151" s="23">
        <v>335103</v>
      </c>
      <c r="AB3151" s="24">
        <v>46061</v>
      </c>
    </row>
    <row r="3152" spans="3:28" x14ac:dyDescent="0.2">
      <c r="C3152" s="23">
        <v>1100578155</v>
      </c>
      <c r="E3152" s="23">
        <v>180</v>
      </c>
      <c r="F3152" s="23" t="s">
        <v>87</v>
      </c>
      <c r="G3152" s="23" t="s">
        <v>4093</v>
      </c>
      <c r="H3152" s="24">
        <v>47118</v>
      </c>
      <c r="I3152" s="24">
        <v>47118</v>
      </c>
      <c r="J3152" s="23" t="s">
        <v>682</v>
      </c>
      <c r="K3152" s="23" t="s">
        <v>682</v>
      </c>
      <c r="L3152" s="23">
        <v>1</v>
      </c>
      <c r="M3152" s="23" t="s">
        <v>78</v>
      </c>
      <c r="N3152" s="23" t="s">
        <v>78</v>
      </c>
      <c r="O3152" s="23">
        <v>12717.6</v>
      </c>
      <c r="P3152" s="23" t="s">
        <v>79</v>
      </c>
      <c r="Q3152" s="23" t="s">
        <v>83</v>
      </c>
      <c r="R3152" s="23">
        <v>11100189</v>
      </c>
      <c r="S3152" s="24" t="s">
        <v>80</v>
      </c>
      <c r="T3152" s="24">
        <v>46079</v>
      </c>
      <c r="U3152" s="24" t="s">
        <v>80</v>
      </c>
      <c r="X3152" s="24">
        <v>46014</v>
      </c>
      <c r="Y3152" s="23">
        <v>1111</v>
      </c>
      <c r="Z3152" s="23">
        <v>11400606</v>
      </c>
      <c r="AA3152" s="23">
        <v>335103</v>
      </c>
      <c r="AB3152" s="24">
        <v>46061</v>
      </c>
    </row>
    <row r="3153" spans="2:28" x14ac:dyDescent="0.2">
      <c r="C3153" s="23">
        <v>1100578155</v>
      </c>
      <c r="E3153" s="23">
        <v>190</v>
      </c>
      <c r="F3153" s="23" t="s">
        <v>87</v>
      </c>
      <c r="G3153" s="23" t="s">
        <v>4094</v>
      </c>
      <c r="H3153" s="24">
        <v>47118</v>
      </c>
      <c r="I3153" s="24">
        <v>47118</v>
      </c>
      <c r="J3153" s="23" t="s">
        <v>682</v>
      </c>
      <c r="K3153" s="23" t="s">
        <v>682</v>
      </c>
      <c r="L3153" s="23">
        <v>1</v>
      </c>
      <c r="M3153" s="23" t="s">
        <v>78</v>
      </c>
      <c r="N3153" s="23" t="s">
        <v>78</v>
      </c>
      <c r="O3153" s="23">
        <v>15871.2</v>
      </c>
      <c r="P3153" s="23" t="s">
        <v>79</v>
      </c>
      <c r="Q3153" s="23" t="s">
        <v>83</v>
      </c>
      <c r="R3153" s="23">
        <v>11100189</v>
      </c>
      <c r="S3153" s="24" t="s">
        <v>80</v>
      </c>
      <c r="T3153" s="24">
        <v>46079</v>
      </c>
      <c r="U3153" s="24" t="s">
        <v>80</v>
      </c>
      <c r="X3153" s="24">
        <v>46014</v>
      </c>
      <c r="Y3153" s="23">
        <v>1111</v>
      </c>
      <c r="Z3153" s="23">
        <v>11400606</v>
      </c>
      <c r="AA3153" s="23">
        <v>335103</v>
      </c>
      <c r="AB3153" s="24">
        <v>46061</v>
      </c>
    </row>
    <row r="3154" spans="2:28" x14ac:dyDescent="0.2">
      <c r="C3154" s="23">
        <v>1100578155</v>
      </c>
      <c r="E3154" s="23">
        <v>200</v>
      </c>
      <c r="F3154" s="23" t="s">
        <v>87</v>
      </c>
      <c r="G3154" s="23" t="s">
        <v>4095</v>
      </c>
      <c r="H3154" s="24">
        <v>47118</v>
      </c>
      <c r="I3154" s="24">
        <v>47118</v>
      </c>
      <c r="J3154" s="23" t="s">
        <v>682</v>
      </c>
      <c r="K3154" s="23" t="s">
        <v>682</v>
      </c>
      <c r="L3154" s="23">
        <v>1</v>
      </c>
      <c r="M3154" s="23" t="s">
        <v>78</v>
      </c>
      <c r="N3154" s="23" t="s">
        <v>78</v>
      </c>
      <c r="O3154" s="23">
        <v>15743.2</v>
      </c>
      <c r="P3154" s="23" t="s">
        <v>79</v>
      </c>
      <c r="Q3154" s="23" t="s">
        <v>83</v>
      </c>
      <c r="R3154" s="23">
        <v>11100189</v>
      </c>
      <c r="S3154" s="24" t="s">
        <v>80</v>
      </c>
      <c r="T3154" s="24">
        <v>46079</v>
      </c>
      <c r="U3154" s="24" t="s">
        <v>80</v>
      </c>
      <c r="X3154" s="24">
        <v>46014</v>
      </c>
      <c r="Y3154" s="23">
        <v>1111</v>
      </c>
      <c r="Z3154" s="23">
        <v>11400606</v>
      </c>
      <c r="AA3154" s="23">
        <v>335103</v>
      </c>
      <c r="AB3154" s="24">
        <v>46061</v>
      </c>
    </row>
    <row r="3155" spans="2:28" x14ac:dyDescent="0.2">
      <c r="C3155" s="23">
        <v>1100578155</v>
      </c>
      <c r="E3155" s="23">
        <v>210</v>
      </c>
      <c r="F3155" s="23" t="s">
        <v>87</v>
      </c>
      <c r="G3155" s="23" t="s">
        <v>4096</v>
      </c>
      <c r="H3155" s="24">
        <v>47118</v>
      </c>
      <c r="I3155" s="24">
        <v>47118</v>
      </c>
      <c r="J3155" s="23" t="s">
        <v>682</v>
      </c>
      <c r="K3155" s="23" t="s">
        <v>682</v>
      </c>
      <c r="L3155" s="23">
        <v>1</v>
      </c>
      <c r="M3155" s="23" t="s">
        <v>78</v>
      </c>
      <c r="N3155" s="23" t="s">
        <v>78</v>
      </c>
      <c r="O3155" s="23">
        <v>12717.6</v>
      </c>
      <c r="P3155" s="23" t="s">
        <v>79</v>
      </c>
      <c r="Q3155" s="23" t="s">
        <v>83</v>
      </c>
      <c r="R3155" s="23">
        <v>11100189</v>
      </c>
      <c r="S3155" s="24" t="s">
        <v>80</v>
      </c>
      <c r="T3155" s="24">
        <v>46079</v>
      </c>
      <c r="U3155" s="24" t="s">
        <v>80</v>
      </c>
      <c r="X3155" s="24">
        <v>46014</v>
      </c>
      <c r="Y3155" s="23">
        <v>1111</v>
      </c>
      <c r="Z3155" s="23">
        <v>11400606</v>
      </c>
      <c r="AA3155" s="23">
        <v>335103</v>
      </c>
      <c r="AB3155" s="24">
        <v>46061</v>
      </c>
    </row>
    <row r="3156" spans="2:28" x14ac:dyDescent="0.2">
      <c r="C3156" s="23">
        <v>1100578155</v>
      </c>
      <c r="E3156" s="23">
        <v>220</v>
      </c>
      <c r="F3156" s="23" t="s">
        <v>87</v>
      </c>
      <c r="G3156" s="23" t="s">
        <v>4097</v>
      </c>
      <c r="H3156" s="24">
        <v>47118</v>
      </c>
      <c r="I3156" s="24">
        <v>47118</v>
      </c>
      <c r="J3156" s="23" t="s">
        <v>682</v>
      </c>
      <c r="K3156" s="23" t="s">
        <v>682</v>
      </c>
      <c r="L3156" s="23">
        <v>1</v>
      </c>
      <c r="M3156" s="23" t="s">
        <v>78</v>
      </c>
      <c r="N3156" s="23" t="s">
        <v>78</v>
      </c>
      <c r="O3156" s="23">
        <v>15871.2</v>
      </c>
      <c r="P3156" s="23" t="s">
        <v>79</v>
      </c>
      <c r="Q3156" s="23" t="s">
        <v>83</v>
      </c>
      <c r="R3156" s="23">
        <v>11100189</v>
      </c>
      <c r="S3156" s="24" t="s">
        <v>80</v>
      </c>
      <c r="T3156" s="24">
        <v>46079</v>
      </c>
      <c r="U3156" s="24" t="s">
        <v>80</v>
      </c>
      <c r="X3156" s="24">
        <v>46014</v>
      </c>
      <c r="Y3156" s="23">
        <v>1111</v>
      </c>
      <c r="Z3156" s="23">
        <v>11400606</v>
      </c>
      <c r="AA3156" s="23">
        <v>335103</v>
      </c>
      <c r="AB3156" s="24">
        <v>46061</v>
      </c>
    </row>
    <row r="3157" spans="2:28" x14ac:dyDescent="0.2">
      <c r="C3157" s="23">
        <v>1100578155</v>
      </c>
      <c r="E3157" s="23">
        <v>230</v>
      </c>
      <c r="F3157" s="23" t="s">
        <v>87</v>
      </c>
      <c r="G3157" s="23" t="s">
        <v>4098</v>
      </c>
      <c r="H3157" s="24">
        <v>47118</v>
      </c>
      <c r="I3157" s="24">
        <v>47118</v>
      </c>
      <c r="J3157" s="23" t="s">
        <v>682</v>
      </c>
      <c r="K3157" s="23" t="s">
        <v>682</v>
      </c>
      <c r="L3157" s="23">
        <v>1</v>
      </c>
      <c r="M3157" s="23" t="s">
        <v>78</v>
      </c>
      <c r="N3157" s="23" t="s">
        <v>78</v>
      </c>
      <c r="O3157" s="23">
        <v>15743.2</v>
      </c>
      <c r="P3157" s="23" t="s">
        <v>79</v>
      </c>
      <c r="Q3157" s="23" t="s">
        <v>83</v>
      </c>
      <c r="R3157" s="23">
        <v>11100189</v>
      </c>
      <c r="S3157" s="24" t="s">
        <v>80</v>
      </c>
      <c r="T3157" s="24">
        <v>46079</v>
      </c>
      <c r="U3157" s="24" t="s">
        <v>80</v>
      </c>
      <c r="X3157" s="24">
        <v>46014</v>
      </c>
      <c r="Y3157" s="23">
        <v>1111</v>
      </c>
      <c r="Z3157" s="23">
        <v>11400606</v>
      </c>
      <c r="AA3157" s="23">
        <v>335103</v>
      </c>
      <c r="AB3157" s="24">
        <v>46061</v>
      </c>
    </row>
    <row r="3158" spans="2:28" x14ac:dyDescent="0.2">
      <c r="C3158" s="23">
        <v>1100578155</v>
      </c>
      <c r="E3158" s="23">
        <v>240</v>
      </c>
      <c r="F3158" s="23" t="s">
        <v>87</v>
      </c>
      <c r="G3158" s="23" t="s">
        <v>4099</v>
      </c>
      <c r="H3158" s="24">
        <v>47118</v>
      </c>
      <c r="I3158" s="24">
        <v>47118</v>
      </c>
      <c r="J3158" s="23" t="s">
        <v>682</v>
      </c>
      <c r="K3158" s="23" t="s">
        <v>682</v>
      </c>
      <c r="L3158" s="23">
        <v>1</v>
      </c>
      <c r="M3158" s="23" t="s">
        <v>78</v>
      </c>
      <c r="N3158" s="23" t="s">
        <v>78</v>
      </c>
      <c r="O3158" s="23">
        <v>15743.2</v>
      </c>
      <c r="P3158" s="23" t="s">
        <v>79</v>
      </c>
      <c r="Q3158" s="23" t="s">
        <v>83</v>
      </c>
      <c r="R3158" s="23">
        <v>11100189</v>
      </c>
      <c r="S3158" s="24" t="s">
        <v>80</v>
      </c>
      <c r="T3158" s="24">
        <v>46079</v>
      </c>
      <c r="U3158" s="24" t="s">
        <v>80</v>
      </c>
      <c r="X3158" s="24">
        <v>46014</v>
      </c>
      <c r="Y3158" s="23">
        <v>1111</v>
      </c>
      <c r="Z3158" s="23">
        <v>11400606</v>
      </c>
      <c r="AA3158" s="23">
        <v>335103</v>
      </c>
      <c r="AB3158" s="24">
        <v>46061</v>
      </c>
    </row>
    <row r="3159" spans="2:28" x14ac:dyDescent="0.2">
      <c r="C3159" s="23">
        <v>1100578155</v>
      </c>
      <c r="E3159" s="23">
        <v>250</v>
      </c>
      <c r="F3159" s="23" t="s">
        <v>87</v>
      </c>
      <c r="G3159" s="23" t="s">
        <v>4100</v>
      </c>
      <c r="H3159" s="24">
        <v>47118</v>
      </c>
      <c r="I3159" s="24">
        <v>47118</v>
      </c>
      <c r="J3159" s="23" t="s">
        <v>682</v>
      </c>
      <c r="K3159" s="23" t="s">
        <v>682</v>
      </c>
      <c r="L3159" s="23">
        <v>1</v>
      </c>
      <c r="M3159" s="23" t="s">
        <v>78</v>
      </c>
      <c r="N3159" s="23" t="s">
        <v>78</v>
      </c>
      <c r="O3159" s="23">
        <v>12717.6</v>
      </c>
      <c r="P3159" s="23" t="s">
        <v>79</v>
      </c>
      <c r="Q3159" s="23" t="s">
        <v>83</v>
      </c>
      <c r="R3159" s="23">
        <v>11100189</v>
      </c>
      <c r="S3159" s="24" t="s">
        <v>80</v>
      </c>
      <c r="T3159" s="24">
        <v>46079</v>
      </c>
      <c r="U3159" s="24" t="s">
        <v>80</v>
      </c>
      <c r="X3159" s="24">
        <v>46014</v>
      </c>
      <c r="Y3159" s="23">
        <v>1111</v>
      </c>
      <c r="Z3159" s="23">
        <v>11400606</v>
      </c>
      <c r="AA3159" s="23">
        <v>335103</v>
      </c>
      <c r="AB3159" s="24">
        <v>46061</v>
      </c>
    </row>
    <row r="3160" spans="2:28" x14ac:dyDescent="0.2">
      <c r="C3160" s="23">
        <v>1100578155</v>
      </c>
      <c r="E3160" s="23">
        <v>260</v>
      </c>
      <c r="F3160" s="23" t="s">
        <v>87</v>
      </c>
      <c r="G3160" s="23" t="s">
        <v>4101</v>
      </c>
      <c r="H3160" s="24">
        <v>47118</v>
      </c>
      <c r="I3160" s="24">
        <v>47118</v>
      </c>
      <c r="J3160" s="23" t="s">
        <v>682</v>
      </c>
      <c r="K3160" s="23" t="s">
        <v>682</v>
      </c>
      <c r="L3160" s="23">
        <v>1</v>
      </c>
      <c r="M3160" s="23" t="s">
        <v>78</v>
      </c>
      <c r="N3160" s="23" t="s">
        <v>78</v>
      </c>
      <c r="O3160" s="23">
        <v>15871.2</v>
      </c>
      <c r="P3160" s="23" t="s">
        <v>79</v>
      </c>
      <c r="Q3160" s="23" t="s">
        <v>83</v>
      </c>
      <c r="R3160" s="23">
        <v>11100189</v>
      </c>
      <c r="S3160" s="24" t="s">
        <v>80</v>
      </c>
      <c r="T3160" s="24">
        <v>46079</v>
      </c>
      <c r="U3160" s="24" t="s">
        <v>80</v>
      </c>
      <c r="X3160" s="24">
        <v>46014</v>
      </c>
      <c r="Y3160" s="23">
        <v>1111</v>
      </c>
      <c r="Z3160" s="23">
        <v>11400606</v>
      </c>
      <c r="AA3160" s="23">
        <v>335103</v>
      </c>
      <c r="AB3160" s="24">
        <v>46061</v>
      </c>
    </row>
    <row r="3161" spans="2:28" x14ac:dyDescent="0.2">
      <c r="C3161" s="23">
        <v>1100578155</v>
      </c>
      <c r="E3161" s="23">
        <v>270</v>
      </c>
      <c r="F3161" s="23" t="s">
        <v>87</v>
      </c>
      <c r="G3161" s="23" t="s">
        <v>4102</v>
      </c>
      <c r="H3161" s="24">
        <v>47118</v>
      </c>
      <c r="I3161" s="24">
        <v>47118</v>
      </c>
      <c r="J3161" s="23" t="s">
        <v>682</v>
      </c>
      <c r="K3161" s="23" t="s">
        <v>682</v>
      </c>
      <c r="L3161" s="23">
        <v>1</v>
      </c>
      <c r="M3161" s="23" t="s">
        <v>78</v>
      </c>
      <c r="N3161" s="23" t="s">
        <v>78</v>
      </c>
      <c r="O3161" s="23">
        <v>15743.2</v>
      </c>
      <c r="P3161" s="23" t="s">
        <v>79</v>
      </c>
      <c r="Q3161" s="23" t="s">
        <v>83</v>
      </c>
      <c r="R3161" s="23">
        <v>11100189</v>
      </c>
      <c r="S3161" s="24" t="s">
        <v>80</v>
      </c>
      <c r="T3161" s="24">
        <v>46079</v>
      </c>
      <c r="U3161" s="24" t="s">
        <v>80</v>
      </c>
      <c r="X3161" s="24">
        <v>46014</v>
      </c>
      <c r="Y3161" s="23">
        <v>1111</v>
      </c>
      <c r="Z3161" s="23">
        <v>11400606</v>
      </c>
      <c r="AA3161" s="23">
        <v>335103</v>
      </c>
      <c r="AB3161" s="24">
        <v>46061</v>
      </c>
    </row>
    <row r="3162" spans="2:28" x14ac:dyDescent="0.2">
      <c r="C3162" s="23">
        <v>1100578155</v>
      </c>
      <c r="E3162" s="23">
        <v>280</v>
      </c>
      <c r="F3162" s="23" t="s">
        <v>87</v>
      </c>
      <c r="G3162" s="23" t="s">
        <v>4103</v>
      </c>
      <c r="H3162" s="24">
        <v>47118</v>
      </c>
      <c r="I3162" s="24">
        <v>47118</v>
      </c>
      <c r="J3162" s="23" t="s">
        <v>682</v>
      </c>
      <c r="K3162" s="23" t="s">
        <v>682</v>
      </c>
      <c r="L3162" s="23">
        <v>1</v>
      </c>
      <c r="M3162" s="23" t="s">
        <v>78</v>
      </c>
      <c r="N3162" s="23" t="s">
        <v>78</v>
      </c>
      <c r="O3162" s="23">
        <v>173248.8</v>
      </c>
      <c r="P3162" s="23" t="s">
        <v>79</v>
      </c>
      <c r="Q3162" s="23" t="s">
        <v>83</v>
      </c>
      <c r="R3162" s="23">
        <v>11100189</v>
      </c>
      <c r="S3162" s="24" t="s">
        <v>80</v>
      </c>
      <c r="T3162" s="24">
        <v>46079</v>
      </c>
      <c r="U3162" s="24" t="s">
        <v>80</v>
      </c>
      <c r="X3162" s="24">
        <v>46014</v>
      </c>
      <c r="Y3162" s="23">
        <v>1111</v>
      </c>
      <c r="Z3162" s="23">
        <v>11400606</v>
      </c>
      <c r="AA3162" s="23">
        <v>335103</v>
      </c>
      <c r="AB3162" s="24">
        <v>46061</v>
      </c>
    </row>
    <row r="3163" spans="2:28" x14ac:dyDescent="0.2">
      <c r="C3163" s="23">
        <v>1100578155</v>
      </c>
      <c r="E3163" s="23">
        <v>290</v>
      </c>
      <c r="F3163" s="23" t="s">
        <v>84</v>
      </c>
      <c r="G3163" s="23" t="s">
        <v>123</v>
      </c>
      <c r="H3163" s="24">
        <v>47118</v>
      </c>
      <c r="I3163" s="24">
        <v>47118</v>
      </c>
      <c r="J3163" s="23" t="s">
        <v>682</v>
      </c>
      <c r="K3163" s="23" t="s">
        <v>682</v>
      </c>
      <c r="L3163" s="23">
        <v>1</v>
      </c>
      <c r="M3163" s="23" t="s">
        <v>78</v>
      </c>
      <c r="N3163" s="23" t="s">
        <v>78</v>
      </c>
      <c r="O3163" s="23">
        <v>0.01</v>
      </c>
      <c r="P3163" s="23" t="s">
        <v>79</v>
      </c>
      <c r="Q3163" s="23" t="s">
        <v>83</v>
      </c>
      <c r="R3163" s="23">
        <v>11100189</v>
      </c>
      <c r="S3163" s="24" t="s">
        <v>80</v>
      </c>
      <c r="T3163" s="24">
        <v>46079</v>
      </c>
      <c r="U3163" s="24" t="s">
        <v>80</v>
      </c>
      <c r="X3163" s="24">
        <v>46014</v>
      </c>
      <c r="Y3163" s="23">
        <v>1111</v>
      </c>
      <c r="Z3163" s="23">
        <v>11400606</v>
      </c>
      <c r="AA3163" s="23">
        <v>335103</v>
      </c>
      <c r="AB3163" s="24">
        <v>46061</v>
      </c>
    </row>
    <row r="3164" spans="2:28" x14ac:dyDescent="0.2">
      <c r="B3164" s="23" t="s">
        <v>81</v>
      </c>
      <c r="C3164" s="23">
        <v>1100578155</v>
      </c>
      <c r="H3164" s="24">
        <v>47118</v>
      </c>
      <c r="O3164" s="23">
        <v>566401.61</v>
      </c>
      <c r="P3164" s="23" t="s">
        <v>79</v>
      </c>
    </row>
    <row r="3165" spans="2:28" x14ac:dyDescent="0.2">
      <c r="C3165" s="23">
        <v>1100578188</v>
      </c>
      <c r="E3165" s="23">
        <v>10</v>
      </c>
      <c r="F3165" s="23" t="s">
        <v>4104</v>
      </c>
      <c r="G3165" s="23" t="s">
        <v>4105</v>
      </c>
      <c r="H3165" s="24">
        <v>47118</v>
      </c>
      <c r="I3165" s="24">
        <v>47118</v>
      </c>
      <c r="J3165" s="23" t="s">
        <v>4106</v>
      </c>
      <c r="K3165" s="23" t="s">
        <v>4106</v>
      </c>
      <c r="L3165" s="23">
        <v>1</v>
      </c>
      <c r="M3165" s="23" t="s">
        <v>78</v>
      </c>
      <c r="N3165" s="23" t="s">
        <v>78</v>
      </c>
      <c r="O3165" s="23">
        <v>2870.64</v>
      </c>
      <c r="P3165" s="23" t="s">
        <v>79</v>
      </c>
      <c r="Q3165" s="23" t="s">
        <v>83</v>
      </c>
      <c r="R3165" s="23">
        <v>11100176</v>
      </c>
      <c r="S3165" s="24" t="s">
        <v>80</v>
      </c>
      <c r="T3165" s="24">
        <v>46080</v>
      </c>
      <c r="U3165" s="24">
        <v>47116</v>
      </c>
      <c r="X3165" s="24">
        <v>46051</v>
      </c>
      <c r="Y3165" s="23">
        <v>1111</v>
      </c>
      <c r="Z3165" s="23">
        <v>11400606</v>
      </c>
      <c r="AA3165" s="23">
        <v>335103</v>
      </c>
      <c r="AB3165" s="24">
        <v>46078</v>
      </c>
    </row>
    <row r="3166" spans="2:28" x14ac:dyDescent="0.2">
      <c r="B3166" s="23" t="s">
        <v>81</v>
      </c>
      <c r="C3166" s="23">
        <v>1100578188</v>
      </c>
      <c r="H3166" s="24">
        <v>47118</v>
      </c>
      <c r="O3166" s="23">
        <v>2870.64</v>
      </c>
      <c r="P3166" s="23" t="s">
        <v>79</v>
      </c>
    </row>
    <row r="3167" spans="2:28" x14ac:dyDescent="0.2">
      <c r="C3167" s="23">
        <v>1100578242</v>
      </c>
      <c r="E3167" s="23">
        <v>10</v>
      </c>
      <c r="F3167" s="23" t="s">
        <v>751</v>
      </c>
      <c r="G3167" s="23" t="s">
        <v>1936</v>
      </c>
      <c r="H3167" s="24">
        <v>47118</v>
      </c>
      <c r="I3167" s="24">
        <v>47118</v>
      </c>
      <c r="J3167" s="23" t="s">
        <v>2185</v>
      </c>
      <c r="K3167" s="23" t="s">
        <v>2185</v>
      </c>
      <c r="L3167" s="23">
        <v>4</v>
      </c>
      <c r="M3167" s="23" t="s">
        <v>78</v>
      </c>
      <c r="N3167" s="23" t="s">
        <v>78</v>
      </c>
      <c r="O3167" s="23">
        <v>1232.48</v>
      </c>
      <c r="P3167" s="23" t="s">
        <v>79</v>
      </c>
      <c r="Q3167" s="23" t="s">
        <v>83</v>
      </c>
      <c r="R3167" s="23">
        <v>11100176</v>
      </c>
      <c r="S3167" s="24">
        <v>46087</v>
      </c>
      <c r="T3167" s="24">
        <v>46080</v>
      </c>
      <c r="U3167" s="24">
        <v>47116</v>
      </c>
      <c r="X3167" s="24">
        <v>46078</v>
      </c>
      <c r="Y3167" s="23">
        <v>1111</v>
      </c>
      <c r="Z3167" s="23">
        <v>11100137</v>
      </c>
      <c r="AA3167" s="23">
        <v>505103</v>
      </c>
      <c r="AB3167" s="24">
        <v>46077</v>
      </c>
    </row>
    <row r="3168" spans="2:28" x14ac:dyDescent="0.2">
      <c r="C3168" s="23">
        <v>1100578242</v>
      </c>
      <c r="E3168" s="23">
        <v>20</v>
      </c>
      <c r="F3168" s="23" t="s">
        <v>872</v>
      </c>
      <c r="G3168" s="23" t="s">
        <v>2274</v>
      </c>
      <c r="H3168" s="24">
        <v>47118</v>
      </c>
      <c r="I3168" s="24">
        <v>47118</v>
      </c>
      <c r="J3168" s="23" t="s">
        <v>2185</v>
      </c>
      <c r="K3168" s="23" t="s">
        <v>2185</v>
      </c>
      <c r="L3168" s="23">
        <v>12</v>
      </c>
      <c r="M3168" s="23" t="s">
        <v>78</v>
      </c>
      <c r="N3168" s="23" t="s">
        <v>78</v>
      </c>
      <c r="O3168" s="23">
        <v>2447.4</v>
      </c>
      <c r="P3168" s="23" t="s">
        <v>79</v>
      </c>
      <c r="Q3168" s="23" t="s">
        <v>83</v>
      </c>
      <c r="R3168" s="23">
        <v>11100176</v>
      </c>
      <c r="S3168" s="24">
        <v>46087</v>
      </c>
      <c r="T3168" s="24">
        <v>46080</v>
      </c>
      <c r="U3168" s="24">
        <v>47116</v>
      </c>
      <c r="X3168" s="24">
        <v>46078</v>
      </c>
      <c r="Y3168" s="23">
        <v>1111</v>
      </c>
      <c r="Z3168" s="23">
        <v>11100137</v>
      </c>
      <c r="AA3168" s="23">
        <v>505103</v>
      </c>
      <c r="AB3168" s="24">
        <v>46077</v>
      </c>
    </row>
    <row r="3169" spans="2:28" x14ac:dyDescent="0.2">
      <c r="C3169" s="23">
        <v>1100578242</v>
      </c>
      <c r="E3169" s="23">
        <v>30</v>
      </c>
      <c r="F3169" s="23" t="s">
        <v>4107</v>
      </c>
      <c r="G3169" s="23" t="s">
        <v>4108</v>
      </c>
      <c r="H3169" s="24">
        <v>47118</v>
      </c>
      <c r="I3169" s="24">
        <v>47118</v>
      </c>
      <c r="J3169" s="23" t="s">
        <v>2185</v>
      </c>
      <c r="K3169" s="23" t="s">
        <v>2185</v>
      </c>
      <c r="L3169" s="23">
        <v>12</v>
      </c>
      <c r="M3169" s="23" t="s">
        <v>78</v>
      </c>
      <c r="N3169" s="23" t="s">
        <v>78</v>
      </c>
      <c r="O3169" s="23">
        <v>620.76</v>
      </c>
      <c r="P3169" s="23" t="s">
        <v>79</v>
      </c>
      <c r="Q3169" s="23" t="s">
        <v>83</v>
      </c>
      <c r="R3169" s="23">
        <v>11100176</v>
      </c>
      <c r="S3169" s="24">
        <v>46087</v>
      </c>
      <c r="T3169" s="24">
        <v>46080</v>
      </c>
      <c r="U3169" s="24">
        <v>47116</v>
      </c>
      <c r="X3169" s="24">
        <v>46078</v>
      </c>
      <c r="Y3169" s="23">
        <v>1111</v>
      </c>
      <c r="Z3169" s="23">
        <v>11100137</v>
      </c>
      <c r="AA3169" s="23">
        <v>505103</v>
      </c>
      <c r="AB3169" s="24">
        <v>46077</v>
      </c>
    </row>
    <row r="3170" spans="2:28" x14ac:dyDescent="0.2">
      <c r="C3170" s="23">
        <v>1100578242</v>
      </c>
      <c r="E3170" s="23">
        <v>40</v>
      </c>
      <c r="F3170" s="23" t="s">
        <v>94</v>
      </c>
      <c r="G3170" s="23" t="s">
        <v>95</v>
      </c>
      <c r="H3170" s="24">
        <v>47118</v>
      </c>
      <c r="I3170" s="24">
        <v>47118</v>
      </c>
      <c r="J3170" s="23" t="s">
        <v>2185</v>
      </c>
      <c r="K3170" s="23" t="s">
        <v>2185</v>
      </c>
      <c r="L3170" s="23">
        <v>1</v>
      </c>
      <c r="M3170" s="23" t="s">
        <v>78</v>
      </c>
      <c r="N3170" s="23" t="s">
        <v>78</v>
      </c>
      <c r="O3170" s="23">
        <v>26</v>
      </c>
      <c r="P3170" s="23" t="s">
        <v>79</v>
      </c>
      <c r="Q3170" s="23" t="s">
        <v>83</v>
      </c>
      <c r="R3170" s="23">
        <v>11100176</v>
      </c>
      <c r="S3170" s="24" t="s">
        <v>80</v>
      </c>
      <c r="T3170" s="24">
        <v>46080</v>
      </c>
      <c r="U3170" s="24">
        <v>47116</v>
      </c>
      <c r="X3170" s="24">
        <v>46078</v>
      </c>
      <c r="Y3170" s="23">
        <v>1111</v>
      </c>
      <c r="Z3170" s="23">
        <v>11100137</v>
      </c>
      <c r="AA3170" s="23">
        <v>505103</v>
      </c>
      <c r="AB3170" s="24">
        <v>46077</v>
      </c>
    </row>
    <row r="3171" spans="2:28" x14ac:dyDescent="0.2">
      <c r="B3171" s="23" t="s">
        <v>81</v>
      </c>
      <c r="C3171" s="23">
        <v>1100578242</v>
      </c>
      <c r="H3171" s="24">
        <v>47118</v>
      </c>
      <c r="O3171" s="23">
        <v>4326.6400000000003</v>
      </c>
      <c r="P3171" s="23" t="s">
        <v>79</v>
      </c>
    </row>
    <row r="3172" spans="2:28" x14ac:dyDescent="0.2">
      <c r="C3172" s="23">
        <v>1100578248</v>
      </c>
      <c r="E3172" s="23">
        <v>10</v>
      </c>
      <c r="F3172" s="23" t="s">
        <v>2201</v>
      </c>
      <c r="G3172" s="23" t="s">
        <v>4109</v>
      </c>
      <c r="H3172" s="24">
        <v>47118</v>
      </c>
      <c r="I3172" s="24">
        <v>46080</v>
      </c>
      <c r="J3172" s="23" t="s">
        <v>2217</v>
      </c>
      <c r="K3172" s="23" t="s">
        <v>2217</v>
      </c>
      <c r="L3172" s="23">
        <v>1</v>
      </c>
      <c r="M3172" s="23" t="s">
        <v>78</v>
      </c>
      <c r="N3172" s="23" t="s">
        <v>78</v>
      </c>
      <c r="O3172" s="23">
        <v>0</v>
      </c>
      <c r="P3172" s="23" t="s">
        <v>79</v>
      </c>
      <c r="Q3172" s="23" t="s">
        <v>83</v>
      </c>
      <c r="S3172" s="24" t="s">
        <v>80</v>
      </c>
      <c r="T3172" s="24">
        <v>46080</v>
      </c>
      <c r="U3172" s="24">
        <v>46084</v>
      </c>
      <c r="X3172" s="24">
        <v>46080</v>
      </c>
      <c r="Y3172" s="23">
        <v>1111</v>
      </c>
      <c r="Z3172" s="23">
        <v>11100042</v>
      </c>
      <c r="AA3172" s="23">
        <v>3355</v>
      </c>
      <c r="AB3172" s="24">
        <v>46080</v>
      </c>
    </row>
    <row r="3173" spans="2:28" x14ac:dyDescent="0.2">
      <c r="C3173" s="23">
        <v>1100578248</v>
      </c>
      <c r="E3173" s="23">
        <v>30</v>
      </c>
      <c r="F3173" s="23" t="s">
        <v>82</v>
      </c>
      <c r="G3173" s="23" t="s">
        <v>139</v>
      </c>
      <c r="H3173" s="24">
        <v>47118</v>
      </c>
      <c r="I3173" s="24">
        <v>47118</v>
      </c>
      <c r="J3173" s="23" t="s">
        <v>2217</v>
      </c>
      <c r="K3173" s="23" t="s">
        <v>2217</v>
      </c>
      <c r="L3173" s="23">
        <v>1</v>
      </c>
      <c r="M3173" s="23" t="s">
        <v>78</v>
      </c>
      <c r="N3173" s="23" t="s">
        <v>78</v>
      </c>
      <c r="O3173" s="23">
        <v>0.01</v>
      </c>
      <c r="P3173" s="23" t="s">
        <v>79</v>
      </c>
      <c r="Q3173" s="23" t="s">
        <v>83</v>
      </c>
      <c r="S3173" s="24" t="s">
        <v>80</v>
      </c>
      <c r="T3173" s="24">
        <v>46080</v>
      </c>
      <c r="U3173" s="24">
        <v>47116</v>
      </c>
      <c r="X3173" s="24">
        <v>46080</v>
      </c>
      <c r="Y3173" s="23">
        <v>1111</v>
      </c>
      <c r="Z3173" s="23">
        <v>11100042</v>
      </c>
      <c r="AA3173" s="23">
        <v>3355</v>
      </c>
      <c r="AB3173" s="24">
        <v>46080</v>
      </c>
    </row>
    <row r="3174" spans="2:28" x14ac:dyDescent="0.2">
      <c r="B3174" s="23" t="s">
        <v>81</v>
      </c>
      <c r="C3174" s="23">
        <v>1100578248</v>
      </c>
      <c r="H3174" s="24">
        <v>47118</v>
      </c>
      <c r="O3174" s="23">
        <v>0.01</v>
      </c>
      <c r="P3174" s="23" t="s">
        <v>79</v>
      </c>
    </row>
    <row r="3175" spans="2:28" x14ac:dyDescent="0.2">
      <c r="C3175" s="23">
        <v>1100578292</v>
      </c>
      <c r="E3175" s="23">
        <v>10</v>
      </c>
      <c r="F3175" s="23" t="s">
        <v>4110</v>
      </c>
      <c r="G3175" s="23" t="s">
        <v>4111</v>
      </c>
      <c r="H3175" s="24">
        <v>47118</v>
      </c>
      <c r="I3175" s="24">
        <v>47118</v>
      </c>
      <c r="J3175" s="23" t="s">
        <v>239</v>
      </c>
      <c r="K3175" s="23" t="s">
        <v>239</v>
      </c>
      <c r="L3175" s="23">
        <v>1</v>
      </c>
      <c r="M3175" s="23" t="s">
        <v>78</v>
      </c>
      <c r="N3175" s="23" t="s">
        <v>78</v>
      </c>
      <c r="O3175" s="23">
        <v>1879.42</v>
      </c>
      <c r="P3175" s="23" t="s">
        <v>79</v>
      </c>
      <c r="Q3175" s="23" t="s">
        <v>83</v>
      </c>
      <c r="R3175" s="23">
        <v>11100189</v>
      </c>
      <c r="S3175" s="24">
        <v>46080</v>
      </c>
      <c r="T3175" s="24">
        <v>46080</v>
      </c>
      <c r="U3175" s="24">
        <v>47116</v>
      </c>
      <c r="X3175" s="24">
        <v>46079</v>
      </c>
      <c r="Y3175" s="23">
        <v>1111</v>
      </c>
      <c r="Z3175" s="23">
        <v>11400811</v>
      </c>
      <c r="AA3175" s="23">
        <v>5051</v>
      </c>
      <c r="AB3175" s="24">
        <v>46079</v>
      </c>
    </row>
    <row r="3176" spans="2:28" x14ac:dyDescent="0.2">
      <c r="B3176" s="23" t="s">
        <v>81</v>
      </c>
      <c r="C3176" s="23">
        <v>1100578292</v>
      </c>
      <c r="H3176" s="24">
        <v>47118</v>
      </c>
      <c r="O3176" s="23">
        <v>1879.42</v>
      </c>
      <c r="P3176" s="23" t="s">
        <v>79</v>
      </c>
    </row>
    <row r="3177" spans="2:28" x14ac:dyDescent="0.2">
      <c r="C3177" s="23">
        <v>1100578301</v>
      </c>
      <c r="E3177" s="23">
        <v>20</v>
      </c>
      <c r="F3177" s="23" t="s">
        <v>192</v>
      </c>
      <c r="G3177" s="23" t="s">
        <v>4112</v>
      </c>
      <c r="H3177" s="24">
        <v>47118</v>
      </c>
      <c r="I3177" s="24">
        <v>47118</v>
      </c>
      <c r="J3177" s="23" t="s">
        <v>4113</v>
      </c>
      <c r="K3177" s="23" t="s">
        <v>4113</v>
      </c>
      <c r="L3177" s="23">
        <v>10</v>
      </c>
      <c r="M3177" s="23" t="s">
        <v>78</v>
      </c>
      <c r="N3177" s="23" t="s">
        <v>78</v>
      </c>
      <c r="O3177" s="23">
        <v>0</v>
      </c>
      <c r="P3177" s="23" t="s">
        <v>79</v>
      </c>
      <c r="Q3177" s="23" t="s">
        <v>83</v>
      </c>
      <c r="S3177" s="24" t="s">
        <v>80</v>
      </c>
      <c r="T3177" s="24">
        <v>46080</v>
      </c>
      <c r="U3177" s="24">
        <v>47116</v>
      </c>
      <c r="X3177" s="24">
        <v>46080</v>
      </c>
      <c r="Y3177" s="23">
        <v>1111</v>
      </c>
      <c r="Z3177" s="23">
        <v>11100172</v>
      </c>
      <c r="AA3177" s="23">
        <v>5155</v>
      </c>
      <c r="AB3177" s="24">
        <v>46080</v>
      </c>
    </row>
    <row r="3178" spans="2:28" x14ac:dyDescent="0.2">
      <c r="B3178" s="23" t="s">
        <v>81</v>
      </c>
      <c r="C3178" s="23">
        <v>1100578301</v>
      </c>
      <c r="H3178" s="24">
        <v>47118</v>
      </c>
      <c r="O3178" s="23">
        <v>0</v>
      </c>
      <c r="P3178" s="23" t="s">
        <v>79</v>
      </c>
    </row>
    <row r="3179" spans="2:28" x14ac:dyDescent="0.2">
      <c r="C3179" s="23">
        <v>1100578314</v>
      </c>
      <c r="E3179" s="23">
        <v>10</v>
      </c>
      <c r="F3179" s="23" t="s">
        <v>4114</v>
      </c>
      <c r="G3179" s="23" t="s">
        <v>4115</v>
      </c>
      <c r="H3179" s="24">
        <v>47118</v>
      </c>
      <c r="I3179" s="24">
        <v>47118</v>
      </c>
      <c r="J3179" s="23" t="s">
        <v>4056</v>
      </c>
      <c r="K3179" s="23" t="s">
        <v>4056</v>
      </c>
      <c r="L3179" s="23">
        <v>2</v>
      </c>
      <c r="M3179" s="23" t="s">
        <v>78</v>
      </c>
      <c r="N3179" s="23" t="s">
        <v>78</v>
      </c>
      <c r="O3179" s="23">
        <v>3400.28</v>
      </c>
      <c r="P3179" s="23" t="s">
        <v>79</v>
      </c>
      <c r="Q3179" s="23" t="s">
        <v>83</v>
      </c>
      <c r="R3179" s="23">
        <v>11100176</v>
      </c>
      <c r="S3179" s="24">
        <v>46150</v>
      </c>
      <c r="T3179" s="24">
        <v>46080</v>
      </c>
      <c r="U3179" s="24">
        <v>47116</v>
      </c>
      <c r="X3179" s="24">
        <v>46080</v>
      </c>
      <c r="Y3179" s="23">
        <v>1111</v>
      </c>
      <c r="Z3179" s="23">
        <v>11400789</v>
      </c>
      <c r="AA3179" s="23">
        <v>3351</v>
      </c>
      <c r="AB3179" s="24">
        <v>46078</v>
      </c>
    </row>
    <row r="3180" spans="2:28" x14ac:dyDescent="0.2">
      <c r="C3180" s="23">
        <v>1100578314</v>
      </c>
      <c r="E3180" s="23">
        <v>20</v>
      </c>
      <c r="F3180" s="23" t="s">
        <v>4116</v>
      </c>
      <c r="G3180" s="23" t="s">
        <v>4117</v>
      </c>
      <c r="H3180" s="24">
        <v>47118</v>
      </c>
      <c r="I3180" s="24">
        <v>47118</v>
      </c>
      <c r="J3180" s="23" t="s">
        <v>4056</v>
      </c>
      <c r="K3180" s="23" t="s">
        <v>4056</v>
      </c>
      <c r="L3180" s="23">
        <v>8</v>
      </c>
      <c r="M3180" s="23" t="s">
        <v>78</v>
      </c>
      <c r="N3180" s="23" t="s">
        <v>78</v>
      </c>
      <c r="O3180" s="23">
        <v>58.64</v>
      </c>
      <c r="P3180" s="23" t="s">
        <v>79</v>
      </c>
      <c r="Q3180" s="23" t="s">
        <v>83</v>
      </c>
      <c r="R3180" s="23">
        <v>11100176</v>
      </c>
      <c r="S3180" s="24">
        <v>46150</v>
      </c>
      <c r="T3180" s="24">
        <v>46080</v>
      </c>
      <c r="U3180" s="24">
        <v>47116</v>
      </c>
      <c r="X3180" s="24">
        <v>46080</v>
      </c>
      <c r="Y3180" s="23">
        <v>1111</v>
      </c>
      <c r="Z3180" s="23">
        <v>11400789</v>
      </c>
      <c r="AA3180" s="23">
        <v>3351</v>
      </c>
      <c r="AB3180" s="24">
        <v>46078</v>
      </c>
    </row>
    <row r="3181" spans="2:28" x14ac:dyDescent="0.2">
      <c r="C3181" s="23">
        <v>1100578314</v>
      </c>
      <c r="E3181" s="23">
        <v>30</v>
      </c>
      <c r="F3181" s="23" t="s">
        <v>1178</v>
      </c>
      <c r="G3181" s="23" t="s">
        <v>1179</v>
      </c>
      <c r="H3181" s="24">
        <v>47118</v>
      </c>
      <c r="I3181" s="24">
        <v>47118</v>
      </c>
      <c r="J3181" s="23" t="s">
        <v>4056</v>
      </c>
      <c r="K3181" s="23" t="s">
        <v>4056</v>
      </c>
      <c r="L3181" s="23">
        <v>1</v>
      </c>
      <c r="M3181" s="23" t="s">
        <v>78</v>
      </c>
      <c r="N3181" s="23" t="s">
        <v>78</v>
      </c>
      <c r="O3181" s="23">
        <v>1868.04</v>
      </c>
      <c r="P3181" s="23" t="s">
        <v>79</v>
      </c>
      <c r="Q3181" s="23" t="s">
        <v>83</v>
      </c>
      <c r="R3181" s="23">
        <v>11100176</v>
      </c>
      <c r="S3181" s="24">
        <v>46150</v>
      </c>
      <c r="T3181" s="24">
        <v>46080</v>
      </c>
      <c r="U3181" s="24">
        <v>47116</v>
      </c>
      <c r="X3181" s="24">
        <v>46080</v>
      </c>
      <c r="Y3181" s="23">
        <v>1111</v>
      </c>
      <c r="Z3181" s="23">
        <v>11400789</v>
      </c>
      <c r="AA3181" s="23">
        <v>3351</v>
      </c>
      <c r="AB3181" s="24">
        <v>46078</v>
      </c>
    </row>
    <row r="3182" spans="2:28" x14ac:dyDescent="0.2">
      <c r="C3182" s="23">
        <v>1100578314</v>
      </c>
      <c r="E3182" s="23">
        <v>40</v>
      </c>
      <c r="F3182" s="23" t="s">
        <v>4118</v>
      </c>
      <c r="G3182" s="23" t="s">
        <v>4119</v>
      </c>
      <c r="H3182" s="24">
        <v>47118</v>
      </c>
      <c r="I3182" s="24">
        <v>47118</v>
      </c>
      <c r="J3182" s="23" t="s">
        <v>4056</v>
      </c>
      <c r="K3182" s="23" t="s">
        <v>4056</v>
      </c>
      <c r="L3182" s="23">
        <v>1</v>
      </c>
      <c r="M3182" s="23" t="s">
        <v>78</v>
      </c>
      <c r="N3182" s="23" t="s">
        <v>78</v>
      </c>
      <c r="O3182" s="23">
        <v>1494.65</v>
      </c>
      <c r="P3182" s="23" t="s">
        <v>79</v>
      </c>
      <c r="Q3182" s="23" t="s">
        <v>83</v>
      </c>
      <c r="R3182" s="23">
        <v>11100176</v>
      </c>
      <c r="S3182" s="24">
        <v>46150</v>
      </c>
      <c r="T3182" s="24">
        <v>46080</v>
      </c>
      <c r="U3182" s="24">
        <v>47116</v>
      </c>
      <c r="X3182" s="24">
        <v>46080</v>
      </c>
      <c r="Y3182" s="23">
        <v>1111</v>
      </c>
      <c r="Z3182" s="23">
        <v>11400789</v>
      </c>
      <c r="AA3182" s="23">
        <v>3351</v>
      </c>
      <c r="AB3182" s="24">
        <v>46078</v>
      </c>
    </row>
    <row r="3183" spans="2:28" x14ac:dyDescent="0.2">
      <c r="C3183" s="23">
        <v>1100578314</v>
      </c>
      <c r="E3183" s="23">
        <v>50</v>
      </c>
      <c r="F3183" s="23" t="s">
        <v>4120</v>
      </c>
      <c r="G3183" s="23" t="s">
        <v>4121</v>
      </c>
      <c r="H3183" s="24">
        <v>47118</v>
      </c>
      <c r="I3183" s="24">
        <v>47118</v>
      </c>
      <c r="J3183" s="23" t="s">
        <v>4056</v>
      </c>
      <c r="K3183" s="23" t="s">
        <v>4056</v>
      </c>
      <c r="L3183" s="23">
        <v>1</v>
      </c>
      <c r="M3183" s="23" t="s">
        <v>78</v>
      </c>
      <c r="N3183" s="23" t="s">
        <v>78</v>
      </c>
      <c r="O3183" s="23">
        <v>1648.84</v>
      </c>
      <c r="P3183" s="23" t="s">
        <v>79</v>
      </c>
      <c r="Q3183" s="23" t="s">
        <v>83</v>
      </c>
      <c r="R3183" s="23">
        <v>11100176</v>
      </c>
      <c r="S3183" s="24">
        <v>46150</v>
      </c>
      <c r="T3183" s="24">
        <v>46080</v>
      </c>
      <c r="U3183" s="24">
        <v>47116</v>
      </c>
      <c r="X3183" s="24">
        <v>46080</v>
      </c>
      <c r="Y3183" s="23">
        <v>1111</v>
      </c>
      <c r="Z3183" s="23">
        <v>11400789</v>
      </c>
      <c r="AA3183" s="23">
        <v>3351</v>
      </c>
      <c r="AB3183" s="24">
        <v>46078</v>
      </c>
    </row>
    <row r="3184" spans="2:28" x14ac:dyDescent="0.2">
      <c r="B3184" s="23" t="s">
        <v>81</v>
      </c>
      <c r="C3184" s="23">
        <v>1100578314</v>
      </c>
      <c r="H3184" s="24">
        <v>47118</v>
      </c>
      <c r="O3184" s="23">
        <v>8470.4500000000007</v>
      </c>
      <c r="P3184" s="23" t="s">
        <v>79</v>
      </c>
    </row>
    <row r="3185" spans="2:28" x14ac:dyDescent="0.2">
      <c r="C3185" s="23">
        <v>1100578336</v>
      </c>
      <c r="E3185" s="23">
        <v>10</v>
      </c>
      <c r="F3185" s="23" t="s">
        <v>4122</v>
      </c>
      <c r="G3185" s="23" t="s">
        <v>4123</v>
      </c>
      <c r="H3185" s="24">
        <v>47118</v>
      </c>
      <c r="I3185" s="24">
        <v>47118</v>
      </c>
      <c r="J3185" s="23" t="s">
        <v>798</v>
      </c>
      <c r="K3185" s="23" t="s">
        <v>798</v>
      </c>
      <c r="L3185" s="23">
        <v>4</v>
      </c>
      <c r="M3185" s="23" t="s">
        <v>78</v>
      </c>
      <c r="N3185" s="23" t="s">
        <v>78</v>
      </c>
      <c r="O3185" s="23">
        <v>758.4</v>
      </c>
      <c r="P3185" s="23" t="s">
        <v>79</v>
      </c>
      <c r="Q3185" s="23" t="s">
        <v>83</v>
      </c>
      <c r="R3185" s="23">
        <v>11100176</v>
      </c>
      <c r="S3185" s="24">
        <v>46143</v>
      </c>
      <c r="T3185" s="24">
        <v>46080</v>
      </c>
      <c r="U3185" s="24">
        <v>47116</v>
      </c>
      <c r="X3185" s="24">
        <v>46071</v>
      </c>
      <c r="Y3185" s="23">
        <v>1111</v>
      </c>
      <c r="Z3185" s="23">
        <v>11600003</v>
      </c>
      <c r="AA3185" s="23">
        <v>3951</v>
      </c>
      <c r="AB3185" s="24">
        <v>46077</v>
      </c>
    </row>
    <row r="3186" spans="2:28" x14ac:dyDescent="0.2">
      <c r="C3186" s="23">
        <v>1100578336</v>
      </c>
      <c r="E3186" s="23">
        <v>30</v>
      </c>
      <c r="F3186" s="23" t="s">
        <v>94</v>
      </c>
      <c r="G3186" s="23" t="s">
        <v>95</v>
      </c>
      <c r="H3186" s="24">
        <v>47118</v>
      </c>
      <c r="I3186" s="24">
        <v>47118</v>
      </c>
      <c r="J3186" s="23" t="s">
        <v>798</v>
      </c>
      <c r="K3186" s="23" t="s">
        <v>798</v>
      </c>
      <c r="L3186" s="23">
        <v>1</v>
      </c>
      <c r="M3186" s="23" t="s">
        <v>78</v>
      </c>
      <c r="N3186" s="23" t="s">
        <v>78</v>
      </c>
      <c r="O3186" s="23">
        <v>28.75</v>
      </c>
      <c r="P3186" s="23" t="s">
        <v>79</v>
      </c>
      <c r="Q3186" s="23" t="s">
        <v>83</v>
      </c>
      <c r="R3186" s="23">
        <v>11100176</v>
      </c>
      <c r="S3186" s="24">
        <v>46143</v>
      </c>
      <c r="T3186" s="24">
        <v>46080</v>
      </c>
      <c r="U3186" s="24">
        <v>47116</v>
      </c>
      <c r="X3186" s="24">
        <v>46071</v>
      </c>
      <c r="Y3186" s="23">
        <v>1111</v>
      </c>
      <c r="Z3186" s="23">
        <v>11600003</v>
      </c>
      <c r="AA3186" s="23">
        <v>3951</v>
      </c>
      <c r="AB3186" s="24">
        <v>46077</v>
      </c>
    </row>
    <row r="3187" spans="2:28" x14ac:dyDescent="0.2">
      <c r="B3187" s="23" t="s">
        <v>81</v>
      </c>
      <c r="C3187" s="23">
        <v>1100578336</v>
      </c>
      <c r="H3187" s="24">
        <v>47118</v>
      </c>
      <c r="O3187" s="23">
        <v>787.15</v>
      </c>
      <c r="P3187" s="23" t="s">
        <v>79</v>
      </c>
    </row>
    <row r="3188" spans="2:28" x14ac:dyDescent="0.2">
      <c r="C3188" s="23">
        <v>1100578438</v>
      </c>
      <c r="E3188" s="23">
        <v>50</v>
      </c>
      <c r="F3188" s="23" t="s">
        <v>82</v>
      </c>
      <c r="G3188" s="23" t="s">
        <v>139</v>
      </c>
      <c r="H3188" s="24">
        <v>47118</v>
      </c>
      <c r="I3188" s="24">
        <v>47118</v>
      </c>
      <c r="J3188" s="23" t="s">
        <v>256</v>
      </c>
      <c r="K3188" s="23" t="s">
        <v>256</v>
      </c>
      <c r="L3188" s="23">
        <v>1</v>
      </c>
      <c r="M3188" s="23" t="s">
        <v>78</v>
      </c>
      <c r="N3188" s="23" t="s">
        <v>78</v>
      </c>
      <c r="O3188" s="23">
        <v>0.01</v>
      </c>
      <c r="P3188" s="23" t="s">
        <v>79</v>
      </c>
      <c r="Q3188" s="23" t="s">
        <v>83</v>
      </c>
      <c r="S3188" s="24" t="s">
        <v>80</v>
      </c>
      <c r="T3188" s="24">
        <v>46083</v>
      </c>
      <c r="U3188" s="24">
        <v>47116</v>
      </c>
      <c r="X3188" s="24">
        <v>46083</v>
      </c>
      <c r="Y3188" s="23">
        <v>1111</v>
      </c>
      <c r="Z3188" s="23">
        <v>11100042</v>
      </c>
      <c r="AA3188" s="23">
        <v>5155</v>
      </c>
      <c r="AB3188" s="24">
        <v>46083</v>
      </c>
    </row>
    <row r="3189" spans="2:28" x14ac:dyDescent="0.2">
      <c r="B3189" s="23" t="s">
        <v>81</v>
      </c>
      <c r="C3189" s="23">
        <v>1100578438</v>
      </c>
      <c r="H3189" s="24">
        <v>47118</v>
      </c>
      <c r="O3189" s="23">
        <v>0.01</v>
      </c>
      <c r="P3189" s="23" t="s">
        <v>79</v>
      </c>
    </row>
    <row r="3190" spans="2:28" x14ac:dyDescent="0.2">
      <c r="C3190" s="23">
        <v>1100578459</v>
      </c>
      <c r="E3190" s="23">
        <v>10</v>
      </c>
      <c r="F3190" s="23" t="s">
        <v>2053</v>
      </c>
      <c r="G3190" s="23" t="s">
        <v>2054</v>
      </c>
      <c r="H3190" s="24">
        <v>47118</v>
      </c>
      <c r="I3190" s="24">
        <v>46117</v>
      </c>
      <c r="J3190" s="23" t="s">
        <v>1052</v>
      </c>
      <c r="K3190" s="23" t="s">
        <v>1052</v>
      </c>
      <c r="L3190" s="23">
        <v>1</v>
      </c>
      <c r="M3190" s="23" t="s">
        <v>78</v>
      </c>
      <c r="N3190" s="23" t="s">
        <v>78</v>
      </c>
      <c r="O3190" s="23">
        <v>0</v>
      </c>
      <c r="P3190" s="23" t="s">
        <v>79</v>
      </c>
      <c r="Q3190" s="23" t="s">
        <v>83</v>
      </c>
      <c r="R3190" s="23">
        <v>11100176</v>
      </c>
      <c r="S3190" s="24" t="s">
        <v>80</v>
      </c>
      <c r="T3190" s="24">
        <v>46083</v>
      </c>
      <c r="U3190" s="24" t="s">
        <v>80</v>
      </c>
      <c r="X3190" s="24">
        <v>46083</v>
      </c>
      <c r="Y3190" s="23">
        <v>1111</v>
      </c>
      <c r="Z3190" s="23">
        <v>11400797</v>
      </c>
      <c r="AA3190" s="23">
        <v>3951</v>
      </c>
      <c r="AB3190" s="24">
        <v>46083</v>
      </c>
    </row>
    <row r="3191" spans="2:28" x14ac:dyDescent="0.2">
      <c r="B3191" s="23" t="s">
        <v>81</v>
      </c>
      <c r="C3191" s="23">
        <v>1100578459</v>
      </c>
      <c r="H3191" s="24">
        <v>47118</v>
      </c>
      <c r="O3191" s="23">
        <v>0</v>
      </c>
      <c r="P3191" s="23" t="s">
        <v>79</v>
      </c>
    </row>
    <row r="3192" spans="2:28" x14ac:dyDescent="0.2">
      <c r="C3192" s="23">
        <v>1100578575</v>
      </c>
      <c r="E3192" s="23">
        <v>10</v>
      </c>
      <c r="F3192" s="23">
        <v>3849059</v>
      </c>
      <c r="G3192" s="23" t="s">
        <v>4045</v>
      </c>
      <c r="H3192" s="24">
        <v>47118</v>
      </c>
      <c r="I3192" s="24">
        <v>47118</v>
      </c>
      <c r="J3192" s="23" t="s">
        <v>253</v>
      </c>
      <c r="K3192" s="23" t="s">
        <v>253</v>
      </c>
      <c r="L3192" s="23">
        <v>140</v>
      </c>
      <c r="M3192" s="23" t="s">
        <v>32</v>
      </c>
      <c r="N3192" s="23" t="s">
        <v>32</v>
      </c>
      <c r="O3192" s="23">
        <v>1093.4000000000001</v>
      </c>
      <c r="P3192" s="23" t="s">
        <v>79</v>
      </c>
      <c r="Q3192" s="23" t="s">
        <v>83</v>
      </c>
      <c r="R3192" s="23">
        <v>11100176</v>
      </c>
      <c r="S3192" s="24">
        <v>46128</v>
      </c>
      <c r="T3192" s="24">
        <v>46085</v>
      </c>
      <c r="U3192" s="24">
        <v>47116</v>
      </c>
      <c r="X3192" s="24">
        <v>46080</v>
      </c>
      <c r="Y3192" s="23">
        <v>1111</v>
      </c>
      <c r="Z3192" s="23">
        <v>11100137</v>
      </c>
      <c r="AA3192" s="23">
        <v>3951</v>
      </c>
      <c r="AB3192" s="24">
        <v>46080</v>
      </c>
    </row>
    <row r="3193" spans="2:28" x14ac:dyDescent="0.2">
      <c r="B3193" s="23" t="s">
        <v>81</v>
      </c>
      <c r="C3193" s="23">
        <v>1100578575</v>
      </c>
      <c r="H3193" s="24">
        <v>47118</v>
      </c>
      <c r="O3193" s="23">
        <v>1093.4000000000001</v>
      </c>
      <c r="P3193" s="23" t="s">
        <v>79</v>
      </c>
    </row>
    <row r="3194" spans="2:28" x14ac:dyDescent="0.2">
      <c r="C3194" s="23">
        <v>1100578578</v>
      </c>
      <c r="E3194" s="23">
        <v>10</v>
      </c>
      <c r="F3194" s="23" t="s">
        <v>4127</v>
      </c>
      <c r="G3194" s="23" t="s">
        <v>4128</v>
      </c>
      <c r="H3194" s="24">
        <v>47118</v>
      </c>
      <c r="I3194" s="24">
        <v>47118</v>
      </c>
      <c r="J3194" s="23" t="s">
        <v>4129</v>
      </c>
      <c r="K3194" s="23" t="s">
        <v>4129</v>
      </c>
      <c r="L3194" s="23">
        <v>1</v>
      </c>
      <c r="M3194" s="23" t="s">
        <v>78</v>
      </c>
      <c r="N3194" s="23" t="s">
        <v>78</v>
      </c>
      <c r="O3194" s="23">
        <v>6302.68</v>
      </c>
      <c r="P3194" s="23" t="s">
        <v>79</v>
      </c>
      <c r="Q3194" s="23" t="s">
        <v>83</v>
      </c>
      <c r="R3194" s="23">
        <v>11100176</v>
      </c>
      <c r="S3194" s="24" t="s">
        <v>80</v>
      </c>
      <c r="T3194" s="24">
        <v>46085</v>
      </c>
      <c r="U3194" s="24">
        <v>47116</v>
      </c>
      <c r="X3194" s="24">
        <v>46080</v>
      </c>
      <c r="Y3194" s="23">
        <v>1111</v>
      </c>
      <c r="Z3194" s="23">
        <v>11100137</v>
      </c>
      <c r="AA3194" s="23">
        <v>335103</v>
      </c>
      <c r="AB3194" s="24">
        <v>46079</v>
      </c>
    </row>
    <row r="3195" spans="2:28" x14ac:dyDescent="0.2">
      <c r="B3195" s="23" t="s">
        <v>81</v>
      </c>
      <c r="C3195" s="23">
        <v>1100578578</v>
      </c>
      <c r="H3195" s="24">
        <v>47118</v>
      </c>
      <c r="O3195" s="23">
        <v>6302.68</v>
      </c>
      <c r="P3195" s="23" t="s">
        <v>79</v>
      </c>
    </row>
    <row r="3196" spans="2:28" x14ac:dyDescent="0.2">
      <c r="C3196" s="23">
        <v>1100578621</v>
      </c>
      <c r="E3196" s="23">
        <v>30</v>
      </c>
      <c r="F3196" s="23" t="s">
        <v>192</v>
      </c>
      <c r="G3196" s="23" t="s">
        <v>4130</v>
      </c>
      <c r="H3196" s="24">
        <v>47118</v>
      </c>
      <c r="I3196" s="24">
        <v>47118</v>
      </c>
      <c r="J3196" s="23" t="s">
        <v>4131</v>
      </c>
      <c r="K3196" s="23" t="s">
        <v>4131</v>
      </c>
      <c r="L3196" s="23">
        <v>1</v>
      </c>
      <c r="M3196" s="23" t="s">
        <v>78</v>
      </c>
      <c r="N3196" s="23" t="s">
        <v>78</v>
      </c>
      <c r="O3196" s="23">
        <v>0</v>
      </c>
      <c r="P3196" s="23" t="s">
        <v>79</v>
      </c>
      <c r="Q3196" s="23" t="s">
        <v>83</v>
      </c>
      <c r="S3196" s="24" t="s">
        <v>80</v>
      </c>
      <c r="T3196" s="24">
        <v>46085</v>
      </c>
      <c r="U3196" s="24">
        <v>47116</v>
      </c>
      <c r="X3196" s="24">
        <v>46085</v>
      </c>
      <c r="Y3196" s="23">
        <v>1111</v>
      </c>
      <c r="Z3196" s="23">
        <v>11100042</v>
      </c>
      <c r="AA3196" s="23">
        <v>3955</v>
      </c>
      <c r="AB3196" s="24">
        <v>46085</v>
      </c>
    </row>
    <row r="3197" spans="2:28" x14ac:dyDescent="0.2">
      <c r="B3197" s="23" t="s">
        <v>81</v>
      </c>
      <c r="C3197" s="23">
        <v>1100578621</v>
      </c>
      <c r="H3197" s="24">
        <v>47118</v>
      </c>
      <c r="O3197" s="23">
        <v>0</v>
      </c>
      <c r="P3197" s="23" t="s">
        <v>79</v>
      </c>
    </row>
    <row r="3198" spans="2:28" x14ac:dyDescent="0.2">
      <c r="C3198" s="23">
        <v>1100578671</v>
      </c>
      <c r="E3198" s="23">
        <v>10</v>
      </c>
      <c r="F3198" s="23" t="s">
        <v>701</v>
      </c>
      <c r="G3198" s="23" t="s">
        <v>1799</v>
      </c>
      <c r="H3198" s="24">
        <v>47118</v>
      </c>
      <c r="I3198" s="24">
        <v>47118</v>
      </c>
      <c r="J3198" s="23" t="s">
        <v>920</v>
      </c>
      <c r="K3198" s="23" t="s">
        <v>920</v>
      </c>
      <c r="L3198" s="23">
        <v>4</v>
      </c>
      <c r="M3198" s="23" t="s">
        <v>78</v>
      </c>
      <c r="N3198" s="23" t="s">
        <v>78</v>
      </c>
      <c r="O3198" s="23">
        <v>513.16</v>
      </c>
      <c r="P3198" s="23" t="s">
        <v>79</v>
      </c>
      <c r="Q3198" s="23" t="s">
        <v>83</v>
      </c>
      <c r="R3198" s="23">
        <v>11100176</v>
      </c>
      <c r="S3198" s="24">
        <v>46169</v>
      </c>
      <c r="T3198" s="24">
        <v>46085</v>
      </c>
      <c r="U3198" s="24">
        <v>47116</v>
      </c>
      <c r="X3198" s="24">
        <v>46069</v>
      </c>
      <c r="Y3198" s="23">
        <v>1111</v>
      </c>
      <c r="Z3198" s="23">
        <v>11600001</v>
      </c>
      <c r="AA3198" s="23">
        <v>505103</v>
      </c>
      <c r="AB3198" s="24">
        <v>46052</v>
      </c>
    </row>
    <row r="3199" spans="2:28" x14ac:dyDescent="0.2">
      <c r="C3199" s="23">
        <v>1100578671</v>
      </c>
      <c r="E3199" s="23">
        <v>20</v>
      </c>
      <c r="F3199" s="23" t="s">
        <v>4196</v>
      </c>
      <c r="G3199" s="23" t="s">
        <v>4197</v>
      </c>
      <c r="H3199" s="24">
        <v>47118</v>
      </c>
      <c r="I3199" s="24">
        <v>47118</v>
      </c>
      <c r="J3199" s="23" t="s">
        <v>920</v>
      </c>
      <c r="K3199" s="23" t="s">
        <v>920</v>
      </c>
      <c r="L3199" s="23">
        <v>1</v>
      </c>
      <c r="M3199" s="23" t="s">
        <v>78</v>
      </c>
      <c r="N3199" s="23" t="s">
        <v>78</v>
      </c>
      <c r="O3199" s="23">
        <v>145.55000000000001</v>
      </c>
      <c r="P3199" s="23" t="s">
        <v>79</v>
      </c>
      <c r="Q3199" s="23" t="s">
        <v>83</v>
      </c>
      <c r="R3199" s="23">
        <v>11100176</v>
      </c>
      <c r="S3199" s="24">
        <v>46169</v>
      </c>
      <c r="T3199" s="24">
        <v>46085</v>
      </c>
      <c r="U3199" s="24">
        <v>47116</v>
      </c>
      <c r="X3199" s="24">
        <v>46069</v>
      </c>
      <c r="Y3199" s="23">
        <v>1111</v>
      </c>
      <c r="Z3199" s="23">
        <v>11600001</v>
      </c>
      <c r="AA3199" s="23">
        <v>505103</v>
      </c>
      <c r="AB3199" s="24">
        <v>46052</v>
      </c>
    </row>
    <row r="3200" spans="2:28" x14ac:dyDescent="0.2">
      <c r="C3200" s="23">
        <v>1100578671</v>
      </c>
      <c r="E3200" s="23">
        <v>30</v>
      </c>
      <c r="F3200" s="23" t="s">
        <v>676</v>
      </c>
      <c r="G3200" s="23" t="s">
        <v>677</v>
      </c>
      <c r="H3200" s="24">
        <v>47118</v>
      </c>
      <c r="I3200" s="24">
        <v>47118</v>
      </c>
      <c r="J3200" s="23" t="s">
        <v>920</v>
      </c>
      <c r="K3200" s="23" t="s">
        <v>920</v>
      </c>
      <c r="L3200" s="23">
        <v>2</v>
      </c>
      <c r="M3200" s="23" t="s">
        <v>78</v>
      </c>
      <c r="N3200" s="23" t="s">
        <v>78</v>
      </c>
      <c r="O3200" s="23">
        <v>291.38</v>
      </c>
      <c r="P3200" s="23" t="s">
        <v>79</v>
      </c>
      <c r="Q3200" s="23" t="s">
        <v>83</v>
      </c>
      <c r="R3200" s="23">
        <v>11100176</v>
      </c>
      <c r="S3200" s="24">
        <v>46169</v>
      </c>
      <c r="T3200" s="24">
        <v>46085</v>
      </c>
      <c r="U3200" s="24">
        <v>47116</v>
      </c>
      <c r="X3200" s="24">
        <v>46069</v>
      </c>
      <c r="Y3200" s="23">
        <v>1111</v>
      </c>
      <c r="Z3200" s="23">
        <v>11600001</v>
      </c>
      <c r="AA3200" s="23">
        <v>505103</v>
      </c>
      <c r="AB3200" s="24">
        <v>46052</v>
      </c>
    </row>
    <row r="3201" spans="2:28" x14ac:dyDescent="0.2">
      <c r="C3201" s="23">
        <v>1100578671</v>
      </c>
      <c r="E3201" s="23">
        <v>40</v>
      </c>
      <c r="F3201" s="23" t="s">
        <v>954</v>
      </c>
      <c r="G3201" s="23" t="s">
        <v>955</v>
      </c>
      <c r="H3201" s="24">
        <v>47118</v>
      </c>
      <c r="I3201" s="24">
        <v>47118</v>
      </c>
      <c r="J3201" s="23" t="s">
        <v>920</v>
      </c>
      <c r="K3201" s="23" t="s">
        <v>920</v>
      </c>
      <c r="L3201" s="23">
        <v>1</v>
      </c>
      <c r="M3201" s="23" t="s">
        <v>78</v>
      </c>
      <c r="N3201" s="23" t="s">
        <v>78</v>
      </c>
      <c r="O3201" s="23">
        <v>117.33</v>
      </c>
      <c r="P3201" s="23" t="s">
        <v>79</v>
      </c>
      <c r="Q3201" s="23" t="s">
        <v>83</v>
      </c>
      <c r="R3201" s="23">
        <v>11100176</v>
      </c>
      <c r="S3201" s="24">
        <v>46169</v>
      </c>
      <c r="T3201" s="24">
        <v>46085</v>
      </c>
      <c r="U3201" s="24">
        <v>47116</v>
      </c>
      <c r="X3201" s="24">
        <v>46069</v>
      </c>
      <c r="Y3201" s="23">
        <v>1111</v>
      </c>
      <c r="Z3201" s="23">
        <v>11600001</v>
      </c>
      <c r="AA3201" s="23">
        <v>505103</v>
      </c>
      <c r="AB3201" s="24">
        <v>46052</v>
      </c>
    </row>
    <row r="3202" spans="2:28" x14ac:dyDescent="0.2">
      <c r="C3202" s="23">
        <v>1100578671</v>
      </c>
      <c r="E3202" s="23">
        <v>50</v>
      </c>
      <c r="F3202" s="23" t="s">
        <v>638</v>
      </c>
      <c r="G3202" s="23" t="s">
        <v>1787</v>
      </c>
      <c r="H3202" s="24">
        <v>47118</v>
      </c>
      <c r="I3202" s="24">
        <v>47118</v>
      </c>
      <c r="J3202" s="23" t="s">
        <v>920</v>
      </c>
      <c r="K3202" s="23" t="s">
        <v>920</v>
      </c>
      <c r="L3202" s="23">
        <v>2</v>
      </c>
      <c r="M3202" s="23" t="s">
        <v>78</v>
      </c>
      <c r="N3202" s="23" t="s">
        <v>78</v>
      </c>
      <c r="O3202" s="23">
        <v>892.56</v>
      </c>
      <c r="P3202" s="23" t="s">
        <v>79</v>
      </c>
      <c r="Q3202" s="23" t="s">
        <v>83</v>
      </c>
      <c r="R3202" s="23">
        <v>11100176</v>
      </c>
      <c r="S3202" s="24">
        <v>46169</v>
      </c>
      <c r="T3202" s="24">
        <v>46085</v>
      </c>
      <c r="U3202" s="24">
        <v>47116</v>
      </c>
      <c r="X3202" s="24">
        <v>46069</v>
      </c>
      <c r="Y3202" s="23">
        <v>1111</v>
      </c>
      <c r="Z3202" s="23">
        <v>11600001</v>
      </c>
      <c r="AA3202" s="23">
        <v>505103</v>
      </c>
      <c r="AB3202" s="24">
        <v>46052</v>
      </c>
    </row>
    <row r="3203" spans="2:28" x14ac:dyDescent="0.2">
      <c r="C3203" s="23">
        <v>1100578671</v>
      </c>
      <c r="E3203" s="23">
        <v>60</v>
      </c>
      <c r="F3203" s="23" t="s">
        <v>4198</v>
      </c>
      <c r="G3203" s="23" t="s">
        <v>4199</v>
      </c>
      <c r="H3203" s="24">
        <v>47118</v>
      </c>
      <c r="I3203" s="24">
        <v>47118</v>
      </c>
      <c r="J3203" s="23" t="s">
        <v>920</v>
      </c>
      <c r="K3203" s="23" t="s">
        <v>920</v>
      </c>
      <c r="L3203" s="23">
        <v>1</v>
      </c>
      <c r="M3203" s="23" t="s">
        <v>78</v>
      </c>
      <c r="N3203" s="23" t="s">
        <v>78</v>
      </c>
      <c r="O3203" s="23">
        <v>657.7</v>
      </c>
      <c r="P3203" s="23" t="s">
        <v>79</v>
      </c>
      <c r="Q3203" s="23" t="s">
        <v>83</v>
      </c>
      <c r="R3203" s="23">
        <v>11100176</v>
      </c>
      <c r="S3203" s="24">
        <v>46169</v>
      </c>
      <c r="T3203" s="24">
        <v>46085</v>
      </c>
      <c r="U3203" s="24">
        <v>47116</v>
      </c>
      <c r="X3203" s="24">
        <v>46069</v>
      </c>
      <c r="Y3203" s="23">
        <v>1111</v>
      </c>
      <c r="Z3203" s="23">
        <v>11600001</v>
      </c>
      <c r="AA3203" s="23">
        <v>505103</v>
      </c>
      <c r="AB3203" s="24">
        <v>46052</v>
      </c>
    </row>
    <row r="3204" spans="2:28" x14ac:dyDescent="0.2">
      <c r="C3204" s="23">
        <v>1100578671</v>
      </c>
      <c r="E3204" s="23">
        <v>70</v>
      </c>
      <c r="F3204" s="23" t="s">
        <v>209</v>
      </c>
      <c r="G3204" s="23" t="s">
        <v>210</v>
      </c>
      <c r="H3204" s="24">
        <v>47118</v>
      </c>
      <c r="I3204" s="24">
        <v>47118</v>
      </c>
      <c r="J3204" s="23" t="s">
        <v>920</v>
      </c>
      <c r="K3204" s="23" t="s">
        <v>920</v>
      </c>
      <c r="L3204" s="23">
        <v>1</v>
      </c>
      <c r="M3204" s="23" t="s">
        <v>78</v>
      </c>
      <c r="N3204" s="23" t="s">
        <v>78</v>
      </c>
      <c r="O3204" s="23">
        <v>88</v>
      </c>
      <c r="P3204" s="23" t="s">
        <v>79</v>
      </c>
      <c r="Q3204" s="23" t="s">
        <v>83</v>
      </c>
      <c r="R3204" s="23">
        <v>11100176</v>
      </c>
      <c r="S3204" s="24">
        <v>46169</v>
      </c>
      <c r="T3204" s="24">
        <v>46085</v>
      </c>
      <c r="U3204" s="24">
        <v>47116</v>
      </c>
      <c r="X3204" s="24">
        <v>46069</v>
      </c>
      <c r="Y3204" s="23">
        <v>1111</v>
      </c>
      <c r="Z3204" s="23">
        <v>11600001</v>
      </c>
      <c r="AA3204" s="23">
        <v>505103</v>
      </c>
      <c r="AB3204" s="24">
        <v>46052</v>
      </c>
    </row>
    <row r="3205" spans="2:28" x14ac:dyDescent="0.2">
      <c r="B3205" s="23" t="s">
        <v>81</v>
      </c>
      <c r="C3205" s="23">
        <v>1100578671</v>
      </c>
      <c r="H3205" s="24">
        <v>47118</v>
      </c>
      <c r="O3205" s="23">
        <v>2705.68</v>
      </c>
      <c r="P3205" s="23" t="s">
        <v>79</v>
      </c>
    </row>
    <row r="3206" spans="2:28" x14ac:dyDescent="0.2">
      <c r="C3206" s="23">
        <v>1100578689</v>
      </c>
      <c r="E3206" s="23">
        <v>10</v>
      </c>
      <c r="F3206" s="23" t="s">
        <v>2204</v>
      </c>
      <c r="G3206" s="23" t="s">
        <v>2205</v>
      </c>
      <c r="H3206" s="24">
        <v>47118</v>
      </c>
      <c r="I3206" s="24">
        <v>47118</v>
      </c>
      <c r="J3206" s="23" t="s">
        <v>2185</v>
      </c>
      <c r="K3206" s="23" t="s">
        <v>2185</v>
      </c>
      <c r="L3206" s="23">
        <v>2</v>
      </c>
      <c r="M3206" s="23" t="s">
        <v>78</v>
      </c>
      <c r="N3206" s="23" t="s">
        <v>78</v>
      </c>
      <c r="O3206" s="23">
        <v>153.6</v>
      </c>
      <c r="P3206" s="23" t="s">
        <v>79</v>
      </c>
      <c r="Q3206" s="23" t="s">
        <v>83</v>
      </c>
      <c r="R3206" s="23">
        <v>11100176</v>
      </c>
      <c r="S3206" s="24">
        <v>46086</v>
      </c>
      <c r="T3206" s="24">
        <v>46086</v>
      </c>
      <c r="U3206" s="24">
        <v>47116</v>
      </c>
      <c r="X3206" s="24">
        <v>46086</v>
      </c>
      <c r="Y3206" s="23">
        <v>1111</v>
      </c>
      <c r="Z3206" s="23">
        <v>11600003</v>
      </c>
      <c r="AA3206" s="23">
        <v>505103</v>
      </c>
      <c r="AB3206" s="24">
        <v>46084</v>
      </c>
    </row>
    <row r="3207" spans="2:28" x14ac:dyDescent="0.2">
      <c r="C3207" s="23">
        <v>1100578689</v>
      </c>
      <c r="E3207" s="23">
        <v>20</v>
      </c>
      <c r="F3207" s="23" t="s">
        <v>507</v>
      </c>
      <c r="G3207" s="23" t="s">
        <v>508</v>
      </c>
      <c r="H3207" s="24">
        <v>47118</v>
      </c>
      <c r="I3207" s="24">
        <v>47118</v>
      </c>
      <c r="J3207" s="23" t="s">
        <v>2185</v>
      </c>
      <c r="K3207" s="23" t="s">
        <v>2185</v>
      </c>
      <c r="L3207" s="23">
        <v>2</v>
      </c>
      <c r="M3207" s="23" t="s">
        <v>78</v>
      </c>
      <c r="N3207" s="23" t="s">
        <v>78</v>
      </c>
      <c r="O3207" s="23">
        <v>389.26</v>
      </c>
      <c r="P3207" s="23" t="s">
        <v>79</v>
      </c>
      <c r="Q3207" s="23" t="s">
        <v>83</v>
      </c>
      <c r="R3207" s="23">
        <v>11100176</v>
      </c>
      <c r="S3207" s="24">
        <v>46086</v>
      </c>
      <c r="T3207" s="24">
        <v>46086</v>
      </c>
      <c r="U3207" s="24">
        <v>47116</v>
      </c>
      <c r="X3207" s="24">
        <v>46086</v>
      </c>
      <c r="Y3207" s="23">
        <v>1111</v>
      </c>
      <c r="Z3207" s="23">
        <v>11600003</v>
      </c>
      <c r="AA3207" s="23">
        <v>505103</v>
      </c>
      <c r="AB3207" s="24">
        <v>46084</v>
      </c>
    </row>
    <row r="3208" spans="2:28" x14ac:dyDescent="0.2">
      <c r="C3208" s="23">
        <v>1100578689</v>
      </c>
      <c r="E3208" s="23">
        <v>30</v>
      </c>
      <c r="F3208" s="23" t="s">
        <v>4287</v>
      </c>
      <c r="G3208" s="23" t="s">
        <v>4288</v>
      </c>
      <c r="H3208" s="24">
        <v>47118</v>
      </c>
      <c r="I3208" s="24">
        <v>47118</v>
      </c>
      <c r="J3208" s="23" t="s">
        <v>2185</v>
      </c>
      <c r="K3208" s="23" t="s">
        <v>2185</v>
      </c>
      <c r="L3208" s="23">
        <v>2</v>
      </c>
      <c r="M3208" s="23" t="s">
        <v>78</v>
      </c>
      <c r="N3208" s="23" t="s">
        <v>78</v>
      </c>
      <c r="O3208" s="23">
        <v>248.88</v>
      </c>
      <c r="P3208" s="23" t="s">
        <v>79</v>
      </c>
      <c r="Q3208" s="23" t="s">
        <v>83</v>
      </c>
      <c r="R3208" s="23">
        <v>11100176</v>
      </c>
      <c r="S3208" s="24">
        <v>46086</v>
      </c>
      <c r="T3208" s="24">
        <v>46086</v>
      </c>
      <c r="U3208" s="24">
        <v>47116</v>
      </c>
      <c r="X3208" s="24">
        <v>46086</v>
      </c>
      <c r="Y3208" s="23">
        <v>1111</v>
      </c>
      <c r="Z3208" s="23">
        <v>11600003</v>
      </c>
      <c r="AA3208" s="23">
        <v>505103</v>
      </c>
      <c r="AB3208" s="24">
        <v>46084</v>
      </c>
    </row>
    <row r="3209" spans="2:28" x14ac:dyDescent="0.2">
      <c r="C3209" s="23">
        <v>1100578689</v>
      </c>
      <c r="E3209" s="23">
        <v>40</v>
      </c>
      <c r="F3209" s="23" t="s">
        <v>1076</v>
      </c>
      <c r="G3209" s="23" t="s">
        <v>1077</v>
      </c>
      <c r="H3209" s="24">
        <v>47118</v>
      </c>
      <c r="I3209" s="24">
        <v>47118</v>
      </c>
      <c r="J3209" s="23" t="s">
        <v>2185</v>
      </c>
      <c r="K3209" s="23" t="s">
        <v>2185</v>
      </c>
      <c r="L3209" s="23">
        <v>1</v>
      </c>
      <c r="M3209" s="23" t="s">
        <v>78</v>
      </c>
      <c r="N3209" s="23" t="s">
        <v>78</v>
      </c>
      <c r="O3209" s="23">
        <v>158.35</v>
      </c>
      <c r="P3209" s="23" t="s">
        <v>79</v>
      </c>
      <c r="Q3209" s="23" t="s">
        <v>83</v>
      </c>
      <c r="R3209" s="23">
        <v>11100176</v>
      </c>
      <c r="S3209" s="24">
        <v>46086</v>
      </c>
      <c r="T3209" s="24">
        <v>46086</v>
      </c>
      <c r="U3209" s="24">
        <v>47116</v>
      </c>
      <c r="X3209" s="24">
        <v>46086</v>
      </c>
      <c r="Y3209" s="23">
        <v>1111</v>
      </c>
      <c r="Z3209" s="23">
        <v>11600003</v>
      </c>
      <c r="AA3209" s="23">
        <v>505103</v>
      </c>
      <c r="AB3209" s="24">
        <v>46084</v>
      </c>
    </row>
    <row r="3210" spans="2:28" x14ac:dyDescent="0.2">
      <c r="C3210" s="23">
        <v>1100578689</v>
      </c>
      <c r="E3210" s="23">
        <v>50</v>
      </c>
      <c r="F3210" s="23" t="s">
        <v>94</v>
      </c>
      <c r="G3210" s="23" t="s">
        <v>95</v>
      </c>
      <c r="H3210" s="24">
        <v>47118</v>
      </c>
      <c r="I3210" s="24">
        <v>47118</v>
      </c>
      <c r="J3210" s="23" t="s">
        <v>2185</v>
      </c>
      <c r="K3210" s="23" t="s">
        <v>2185</v>
      </c>
      <c r="L3210" s="23">
        <v>1</v>
      </c>
      <c r="M3210" s="23" t="s">
        <v>78</v>
      </c>
      <c r="N3210" s="23" t="s">
        <v>78</v>
      </c>
      <c r="O3210" s="23">
        <v>86.92</v>
      </c>
      <c r="P3210" s="23" t="s">
        <v>79</v>
      </c>
      <c r="Q3210" s="23" t="s">
        <v>83</v>
      </c>
      <c r="R3210" s="23">
        <v>11100176</v>
      </c>
      <c r="S3210" s="24">
        <v>46086</v>
      </c>
      <c r="T3210" s="24">
        <v>46086</v>
      </c>
      <c r="U3210" s="24">
        <v>47116</v>
      </c>
      <c r="X3210" s="24">
        <v>46086</v>
      </c>
      <c r="Y3210" s="23">
        <v>1111</v>
      </c>
      <c r="Z3210" s="23">
        <v>11600003</v>
      </c>
      <c r="AA3210" s="23">
        <v>505103</v>
      </c>
      <c r="AB3210" s="24">
        <v>46084</v>
      </c>
    </row>
    <row r="3211" spans="2:28" x14ac:dyDescent="0.2">
      <c r="B3211" s="23" t="s">
        <v>81</v>
      </c>
      <c r="C3211" s="23">
        <v>1100578689</v>
      </c>
      <c r="H3211" s="24">
        <v>47118</v>
      </c>
      <c r="O3211" s="23">
        <v>1037.01</v>
      </c>
      <c r="P3211" s="23" t="s">
        <v>79</v>
      </c>
    </row>
    <row r="3212" spans="2:28" x14ac:dyDescent="0.2">
      <c r="C3212" s="23">
        <v>1100578732</v>
      </c>
      <c r="E3212" s="23">
        <v>20</v>
      </c>
      <c r="F3212" s="23" t="s">
        <v>866</v>
      </c>
      <c r="G3212" s="23" t="s">
        <v>867</v>
      </c>
      <c r="H3212" s="24">
        <v>47118</v>
      </c>
      <c r="I3212" s="24">
        <v>47118</v>
      </c>
      <c r="J3212" s="23" t="s">
        <v>668</v>
      </c>
      <c r="K3212" s="23" t="s">
        <v>668</v>
      </c>
      <c r="L3212" s="23">
        <v>10</v>
      </c>
      <c r="M3212" s="23" t="s">
        <v>78</v>
      </c>
      <c r="N3212" s="23" t="s">
        <v>78</v>
      </c>
      <c r="O3212" s="23">
        <v>13695.3</v>
      </c>
      <c r="P3212" s="23" t="s">
        <v>79</v>
      </c>
      <c r="Q3212" s="23" t="s">
        <v>83</v>
      </c>
      <c r="S3212" s="24">
        <v>46115</v>
      </c>
      <c r="T3212" s="24">
        <v>46086</v>
      </c>
      <c r="U3212" s="24" t="s">
        <v>80</v>
      </c>
      <c r="X3212" s="24">
        <v>46084</v>
      </c>
      <c r="Y3212" s="23">
        <v>1111</v>
      </c>
      <c r="Z3212" s="23">
        <v>11400704</v>
      </c>
      <c r="AA3212" s="23">
        <v>335103</v>
      </c>
      <c r="AB3212" s="24">
        <v>46056</v>
      </c>
    </row>
    <row r="3213" spans="2:28" x14ac:dyDescent="0.2">
      <c r="C3213" s="23">
        <v>1100578732</v>
      </c>
      <c r="E3213" s="23">
        <v>30</v>
      </c>
      <c r="F3213" s="23" t="s">
        <v>82</v>
      </c>
      <c r="G3213" s="23" t="s">
        <v>139</v>
      </c>
      <c r="H3213" s="24">
        <v>47118</v>
      </c>
      <c r="I3213" s="24">
        <v>47118</v>
      </c>
      <c r="J3213" s="23" t="s">
        <v>668</v>
      </c>
      <c r="K3213" s="23" t="s">
        <v>668</v>
      </c>
      <c r="L3213" s="23">
        <v>1</v>
      </c>
      <c r="M3213" s="23" t="s">
        <v>78</v>
      </c>
      <c r="N3213" s="23" t="s">
        <v>78</v>
      </c>
      <c r="O3213" s="23">
        <v>0.01</v>
      </c>
      <c r="P3213" s="23" t="s">
        <v>79</v>
      </c>
      <c r="Q3213" s="23" t="s">
        <v>83</v>
      </c>
      <c r="S3213" s="24" t="s">
        <v>80</v>
      </c>
      <c r="T3213" s="24">
        <v>46086</v>
      </c>
      <c r="U3213" s="24" t="s">
        <v>80</v>
      </c>
      <c r="X3213" s="24">
        <v>46084</v>
      </c>
      <c r="Y3213" s="23">
        <v>1111</v>
      </c>
      <c r="Z3213" s="23">
        <v>11400704</v>
      </c>
      <c r="AA3213" s="23">
        <v>335103</v>
      </c>
      <c r="AB3213" s="24">
        <v>46056</v>
      </c>
    </row>
    <row r="3214" spans="2:28" x14ac:dyDescent="0.2">
      <c r="B3214" s="23" t="s">
        <v>81</v>
      </c>
      <c r="C3214" s="23">
        <v>1100578732</v>
      </c>
      <c r="H3214" s="24">
        <v>47118</v>
      </c>
      <c r="O3214" s="23">
        <v>13695.31</v>
      </c>
      <c r="P3214" s="23" t="s">
        <v>79</v>
      </c>
    </row>
    <row r="3215" spans="2:28" x14ac:dyDescent="0.2">
      <c r="C3215" s="23">
        <v>1100578738</v>
      </c>
      <c r="E3215" s="23">
        <v>10</v>
      </c>
      <c r="F3215" s="23" t="s">
        <v>692</v>
      </c>
      <c r="G3215" s="23" t="s">
        <v>1795</v>
      </c>
      <c r="H3215" s="24">
        <v>47118</v>
      </c>
      <c r="I3215" s="24">
        <v>47118</v>
      </c>
      <c r="J3215" s="23" t="s">
        <v>685</v>
      </c>
      <c r="K3215" s="23" t="s">
        <v>685</v>
      </c>
      <c r="L3215" s="23">
        <v>1</v>
      </c>
      <c r="M3215" s="23" t="s">
        <v>78</v>
      </c>
      <c r="N3215" s="23" t="s">
        <v>78</v>
      </c>
      <c r="O3215" s="23">
        <v>3918.89</v>
      </c>
      <c r="P3215" s="23" t="s">
        <v>79</v>
      </c>
      <c r="Q3215" s="23" t="s">
        <v>83</v>
      </c>
      <c r="S3215" s="24">
        <v>46114</v>
      </c>
      <c r="T3215" s="24">
        <v>46086</v>
      </c>
      <c r="U3215" s="24">
        <v>47116</v>
      </c>
      <c r="X3215" s="24">
        <v>46084</v>
      </c>
      <c r="Y3215" s="23">
        <v>1111</v>
      </c>
      <c r="Z3215" s="23">
        <v>11400937</v>
      </c>
      <c r="AA3215" s="23">
        <v>505103</v>
      </c>
      <c r="AB3215" s="24">
        <v>46083</v>
      </c>
    </row>
    <row r="3216" spans="2:28" x14ac:dyDescent="0.2">
      <c r="C3216" s="23">
        <v>1100578738</v>
      </c>
      <c r="E3216" s="23">
        <v>20</v>
      </c>
      <c r="F3216" s="23" t="s">
        <v>4289</v>
      </c>
      <c r="G3216" s="23" t="s">
        <v>4290</v>
      </c>
      <c r="H3216" s="24">
        <v>47118</v>
      </c>
      <c r="I3216" s="24">
        <v>47118</v>
      </c>
      <c r="J3216" s="23" t="s">
        <v>685</v>
      </c>
      <c r="K3216" s="23" t="s">
        <v>685</v>
      </c>
      <c r="L3216" s="23">
        <v>2</v>
      </c>
      <c r="M3216" s="23" t="s">
        <v>78</v>
      </c>
      <c r="N3216" s="23" t="s">
        <v>78</v>
      </c>
      <c r="O3216" s="23">
        <v>394.74</v>
      </c>
      <c r="P3216" s="23" t="s">
        <v>79</v>
      </c>
      <c r="Q3216" s="23" t="s">
        <v>83</v>
      </c>
      <c r="S3216" s="24">
        <v>46114</v>
      </c>
      <c r="T3216" s="24">
        <v>46086</v>
      </c>
      <c r="U3216" s="24">
        <v>47116</v>
      </c>
      <c r="X3216" s="24">
        <v>46084</v>
      </c>
      <c r="Y3216" s="23">
        <v>1111</v>
      </c>
      <c r="Z3216" s="23">
        <v>11400937</v>
      </c>
      <c r="AA3216" s="23">
        <v>505103</v>
      </c>
      <c r="AB3216" s="24">
        <v>46083</v>
      </c>
    </row>
    <row r="3217" spans="2:28" x14ac:dyDescent="0.2">
      <c r="C3217" s="23">
        <v>1100578738</v>
      </c>
      <c r="E3217" s="23">
        <v>30</v>
      </c>
      <c r="F3217" s="23" t="s">
        <v>4291</v>
      </c>
      <c r="G3217" s="23" t="s">
        <v>4292</v>
      </c>
      <c r="H3217" s="24">
        <v>47118</v>
      </c>
      <c r="I3217" s="24">
        <v>47118</v>
      </c>
      <c r="J3217" s="23" t="s">
        <v>685</v>
      </c>
      <c r="K3217" s="23" t="s">
        <v>685</v>
      </c>
      <c r="L3217" s="23">
        <v>2</v>
      </c>
      <c r="M3217" s="23" t="s">
        <v>78</v>
      </c>
      <c r="N3217" s="23" t="s">
        <v>78</v>
      </c>
      <c r="O3217" s="23">
        <v>394.74</v>
      </c>
      <c r="P3217" s="23" t="s">
        <v>79</v>
      </c>
      <c r="Q3217" s="23" t="s">
        <v>83</v>
      </c>
      <c r="S3217" s="24">
        <v>46114</v>
      </c>
      <c r="T3217" s="24">
        <v>46086</v>
      </c>
      <c r="U3217" s="24">
        <v>47116</v>
      </c>
      <c r="X3217" s="24">
        <v>46084</v>
      </c>
      <c r="Y3217" s="23">
        <v>1111</v>
      </c>
      <c r="Z3217" s="23">
        <v>11400937</v>
      </c>
      <c r="AA3217" s="23">
        <v>505103</v>
      </c>
      <c r="AB3217" s="24">
        <v>46083</v>
      </c>
    </row>
    <row r="3218" spans="2:28" x14ac:dyDescent="0.2">
      <c r="C3218" s="23">
        <v>1100578738</v>
      </c>
      <c r="E3218" s="23">
        <v>40</v>
      </c>
      <c r="F3218" s="23" t="s">
        <v>923</v>
      </c>
      <c r="G3218" s="23" t="s">
        <v>714</v>
      </c>
      <c r="H3218" s="24">
        <v>47118</v>
      </c>
      <c r="I3218" s="24">
        <v>47118</v>
      </c>
      <c r="J3218" s="23" t="s">
        <v>685</v>
      </c>
      <c r="K3218" s="23" t="s">
        <v>685</v>
      </c>
      <c r="L3218" s="23">
        <v>1</v>
      </c>
      <c r="M3218" s="23" t="s">
        <v>78</v>
      </c>
      <c r="N3218" s="23" t="s">
        <v>78</v>
      </c>
      <c r="O3218" s="23">
        <v>892.55</v>
      </c>
      <c r="P3218" s="23" t="s">
        <v>79</v>
      </c>
      <c r="Q3218" s="23" t="s">
        <v>83</v>
      </c>
      <c r="S3218" s="24">
        <v>46114</v>
      </c>
      <c r="T3218" s="24">
        <v>46086</v>
      </c>
      <c r="U3218" s="24">
        <v>47116</v>
      </c>
      <c r="X3218" s="24">
        <v>46084</v>
      </c>
      <c r="Y3218" s="23">
        <v>1111</v>
      </c>
      <c r="Z3218" s="23">
        <v>11400937</v>
      </c>
      <c r="AA3218" s="23">
        <v>505103</v>
      </c>
      <c r="AB3218" s="24">
        <v>46083</v>
      </c>
    </row>
    <row r="3219" spans="2:28" x14ac:dyDescent="0.2">
      <c r="C3219" s="23">
        <v>1100578738</v>
      </c>
      <c r="E3219" s="23">
        <v>50</v>
      </c>
      <c r="F3219" s="23" t="s">
        <v>857</v>
      </c>
      <c r="G3219" s="23" t="s">
        <v>858</v>
      </c>
      <c r="H3219" s="24">
        <v>47118</v>
      </c>
      <c r="I3219" s="24">
        <v>47118</v>
      </c>
      <c r="J3219" s="23" t="s">
        <v>685</v>
      </c>
      <c r="K3219" s="23" t="s">
        <v>685</v>
      </c>
      <c r="L3219" s="23">
        <v>2</v>
      </c>
      <c r="M3219" s="23" t="s">
        <v>78</v>
      </c>
      <c r="N3219" s="23" t="s">
        <v>78</v>
      </c>
      <c r="O3219" s="23">
        <v>146.94</v>
      </c>
      <c r="P3219" s="23" t="s">
        <v>79</v>
      </c>
      <c r="Q3219" s="23" t="s">
        <v>83</v>
      </c>
      <c r="S3219" s="24">
        <v>46114</v>
      </c>
      <c r="T3219" s="24">
        <v>46086</v>
      </c>
      <c r="U3219" s="24">
        <v>47116</v>
      </c>
      <c r="X3219" s="24">
        <v>46084</v>
      </c>
      <c r="Y3219" s="23">
        <v>1111</v>
      </c>
      <c r="Z3219" s="23">
        <v>11400937</v>
      </c>
      <c r="AA3219" s="23">
        <v>505103</v>
      </c>
      <c r="AB3219" s="24">
        <v>46083</v>
      </c>
    </row>
    <row r="3220" spans="2:28" x14ac:dyDescent="0.2">
      <c r="C3220" s="23">
        <v>1100578738</v>
      </c>
      <c r="E3220" s="23">
        <v>60</v>
      </c>
      <c r="F3220" s="23" t="s">
        <v>763</v>
      </c>
      <c r="G3220" s="23" t="s">
        <v>764</v>
      </c>
      <c r="H3220" s="24">
        <v>47118</v>
      </c>
      <c r="I3220" s="24">
        <v>47118</v>
      </c>
      <c r="J3220" s="23" t="s">
        <v>685</v>
      </c>
      <c r="K3220" s="23" t="s">
        <v>685</v>
      </c>
      <c r="L3220" s="23">
        <v>1</v>
      </c>
      <c r="M3220" s="23" t="s">
        <v>78</v>
      </c>
      <c r="N3220" s="23" t="s">
        <v>78</v>
      </c>
      <c r="O3220" s="23">
        <v>225.88</v>
      </c>
      <c r="P3220" s="23" t="s">
        <v>79</v>
      </c>
      <c r="Q3220" s="23" t="s">
        <v>83</v>
      </c>
      <c r="S3220" s="24">
        <v>46114</v>
      </c>
      <c r="T3220" s="24">
        <v>46086</v>
      </c>
      <c r="U3220" s="24">
        <v>47116</v>
      </c>
      <c r="X3220" s="24">
        <v>46084</v>
      </c>
      <c r="Y3220" s="23">
        <v>1111</v>
      </c>
      <c r="Z3220" s="23">
        <v>11400937</v>
      </c>
      <c r="AA3220" s="23">
        <v>505103</v>
      </c>
      <c r="AB3220" s="24">
        <v>46083</v>
      </c>
    </row>
    <row r="3221" spans="2:28" x14ac:dyDescent="0.2">
      <c r="C3221" s="23">
        <v>1100578738</v>
      </c>
      <c r="E3221" s="23">
        <v>70</v>
      </c>
      <c r="F3221" s="23" t="s">
        <v>769</v>
      </c>
      <c r="G3221" s="23" t="s">
        <v>770</v>
      </c>
      <c r="H3221" s="24">
        <v>47118</v>
      </c>
      <c r="I3221" s="24">
        <v>47118</v>
      </c>
      <c r="J3221" s="23" t="s">
        <v>685</v>
      </c>
      <c r="K3221" s="23" t="s">
        <v>685</v>
      </c>
      <c r="L3221" s="23">
        <v>3</v>
      </c>
      <c r="M3221" s="23" t="s">
        <v>78</v>
      </c>
      <c r="N3221" s="23" t="s">
        <v>78</v>
      </c>
      <c r="O3221" s="23">
        <v>136.19999999999999</v>
      </c>
      <c r="P3221" s="23" t="s">
        <v>79</v>
      </c>
      <c r="Q3221" s="23" t="s">
        <v>83</v>
      </c>
      <c r="S3221" s="24">
        <v>46114</v>
      </c>
      <c r="T3221" s="24">
        <v>46086</v>
      </c>
      <c r="U3221" s="24">
        <v>47116</v>
      </c>
      <c r="X3221" s="24">
        <v>46084</v>
      </c>
      <c r="Y3221" s="23">
        <v>1111</v>
      </c>
      <c r="Z3221" s="23">
        <v>11400937</v>
      </c>
      <c r="AA3221" s="23">
        <v>505103</v>
      </c>
      <c r="AB3221" s="24">
        <v>46083</v>
      </c>
    </row>
    <row r="3222" spans="2:28" x14ac:dyDescent="0.2">
      <c r="C3222" s="23">
        <v>1100578738</v>
      </c>
      <c r="E3222" s="23">
        <v>80</v>
      </c>
      <c r="F3222" s="23" t="s">
        <v>94</v>
      </c>
      <c r="G3222" s="23" t="s">
        <v>95</v>
      </c>
      <c r="H3222" s="24">
        <v>47118</v>
      </c>
      <c r="I3222" s="24">
        <v>47118</v>
      </c>
      <c r="J3222" s="23" t="s">
        <v>685</v>
      </c>
      <c r="K3222" s="23" t="s">
        <v>685</v>
      </c>
      <c r="L3222" s="23">
        <v>1</v>
      </c>
      <c r="M3222" s="23" t="s">
        <v>78</v>
      </c>
      <c r="N3222" s="23" t="s">
        <v>78</v>
      </c>
      <c r="O3222" s="23">
        <v>49</v>
      </c>
      <c r="P3222" s="23" t="s">
        <v>79</v>
      </c>
      <c r="Q3222" s="23" t="s">
        <v>83</v>
      </c>
      <c r="S3222" s="24" t="s">
        <v>80</v>
      </c>
      <c r="T3222" s="24">
        <v>46086</v>
      </c>
      <c r="U3222" s="24">
        <v>47116</v>
      </c>
      <c r="X3222" s="24">
        <v>46084</v>
      </c>
      <c r="Y3222" s="23">
        <v>1111</v>
      </c>
      <c r="Z3222" s="23">
        <v>11400937</v>
      </c>
      <c r="AA3222" s="23">
        <v>505103</v>
      </c>
      <c r="AB3222" s="24">
        <v>46083</v>
      </c>
    </row>
    <row r="3223" spans="2:28" x14ac:dyDescent="0.2">
      <c r="B3223" s="23" t="s">
        <v>81</v>
      </c>
      <c r="C3223" s="23">
        <v>1100578738</v>
      </c>
      <c r="H3223" s="24">
        <v>47118</v>
      </c>
      <c r="O3223" s="23">
        <v>6158.94</v>
      </c>
      <c r="P3223" s="23" t="s">
        <v>79</v>
      </c>
    </row>
    <row r="3224" spans="2:28" x14ac:dyDescent="0.2">
      <c r="C3224" s="23">
        <v>1100578739</v>
      </c>
      <c r="E3224" s="23">
        <v>10</v>
      </c>
      <c r="F3224" s="23" t="s">
        <v>4293</v>
      </c>
      <c r="G3224" s="23" t="s">
        <v>4294</v>
      </c>
      <c r="H3224" s="24">
        <v>47118</v>
      </c>
      <c r="I3224" s="24">
        <v>47118</v>
      </c>
      <c r="J3224" s="23" t="s">
        <v>313</v>
      </c>
      <c r="K3224" s="23" t="s">
        <v>313</v>
      </c>
      <c r="L3224" s="23">
        <v>2</v>
      </c>
      <c r="M3224" s="23" t="s">
        <v>78</v>
      </c>
      <c r="N3224" s="23" t="s">
        <v>78</v>
      </c>
      <c r="O3224" s="23">
        <v>1600</v>
      </c>
      <c r="P3224" s="23" t="s">
        <v>79</v>
      </c>
      <c r="Q3224" s="23" t="s">
        <v>83</v>
      </c>
      <c r="S3224" s="24">
        <v>46129</v>
      </c>
      <c r="T3224" s="24">
        <v>46086</v>
      </c>
      <c r="U3224" s="24" t="s">
        <v>80</v>
      </c>
      <c r="X3224" s="24">
        <v>46083</v>
      </c>
      <c r="Y3224" s="23">
        <v>1111</v>
      </c>
      <c r="Z3224" s="23">
        <v>11100320</v>
      </c>
      <c r="AA3224" s="23">
        <v>5151</v>
      </c>
      <c r="AB3224" s="24">
        <v>46085</v>
      </c>
    </row>
    <row r="3225" spans="2:28" x14ac:dyDescent="0.2">
      <c r="C3225" s="23">
        <v>1100578739</v>
      </c>
      <c r="E3225" s="23">
        <v>20</v>
      </c>
      <c r="F3225" s="23" t="s">
        <v>4295</v>
      </c>
      <c r="G3225" s="23" t="s">
        <v>4296</v>
      </c>
      <c r="H3225" s="24">
        <v>47118</v>
      </c>
      <c r="I3225" s="24">
        <v>47118</v>
      </c>
      <c r="J3225" s="23" t="s">
        <v>313</v>
      </c>
      <c r="K3225" s="23" t="s">
        <v>313</v>
      </c>
      <c r="L3225" s="23">
        <v>2</v>
      </c>
      <c r="M3225" s="23" t="s">
        <v>78</v>
      </c>
      <c r="N3225" s="23" t="s">
        <v>78</v>
      </c>
      <c r="O3225" s="23">
        <v>2173.7800000000002</v>
      </c>
      <c r="P3225" s="23" t="s">
        <v>79</v>
      </c>
      <c r="Q3225" s="23" t="s">
        <v>83</v>
      </c>
      <c r="S3225" s="24">
        <v>46129</v>
      </c>
      <c r="T3225" s="24">
        <v>46086</v>
      </c>
      <c r="U3225" s="24" t="s">
        <v>80</v>
      </c>
      <c r="X3225" s="24">
        <v>46083</v>
      </c>
      <c r="Y3225" s="23">
        <v>1111</v>
      </c>
      <c r="Z3225" s="23">
        <v>11100320</v>
      </c>
      <c r="AA3225" s="23">
        <v>5151</v>
      </c>
      <c r="AB3225" s="24">
        <v>46085</v>
      </c>
    </row>
    <row r="3226" spans="2:28" x14ac:dyDescent="0.2">
      <c r="C3226" s="23">
        <v>1100578739</v>
      </c>
      <c r="E3226" s="23">
        <v>30</v>
      </c>
      <c r="F3226" s="23" t="s">
        <v>4297</v>
      </c>
      <c r="G3226" s="23" t="s">
        <v>4298</v>
      </c>
      <c r="H3226" s="24">
        <v>47118</v>
      </c>
      <c r="I3226" s="24">
        <v>47118</v>
      </c>
      <c r="J3226" s="23" t="s">
        <v>313</v>
      </c>
      <c r="K3226" s="23" t="s">
        <v>313</v>
      </c>
      <c r="L3226" s="23">
        <v>2</v>
      </c>
      <c r="M3226" s="23" t="s">
        <v>78</v>
      </c>
      <c r="N3226" s="23" t="s">
        <v>78</v>
      </c>
      <c r="O3226" s="23">
        <v>2134.08</v>
      </c>
      <c r="P3226" s="23" t="s">
        <v>79</v>
      </c>
      <c r="Q3226" s="23" t="s">
        <v>83</v>
      </c>
      <c r="S3226" s="24">
        <v>46129</v>
      </c>
      <c r="T3226" s="24">
        <v>46086</v>
      </c>
      <c r="U3226" s="24" t="s">
        <v>80</v>
      </c>
      <c r="X3226" s="24">
        <v>46083</v>
      </c>
      <c r="Y3226" s="23">
        <v>1111</v>
      </c>
      <c r="Z3226" s="23">
        <v>11100320</v>
      </c>
      <c r="AA3226" s="23">
        <v>5151</v>
      </c>
      <c r="AB3226" s="24">
        <v>46085</v>
      </c>
    </row>
    <row r="3227" spans="2:28" x14ac:dyDescent="0.2">
      <c r="C3227" s="23">
        <v>1100578739</v>
      </c>
      <c r="E3227" s="23">
        <v>40</v>
      </c>
      <c r="F3227" s="23" t="s">
        <v>82</v>
      </c>
      <c r="G3227" s="23" t="s">
        <v>139</v>
      </c>
      <c r="H3227" s="24">
        <v>47118</v>
      </c>
      <c r="I3227" s="24">
        <v>47118</v>
      </c>
      <c r="J3227" s="23" t="s">
        <v>313</v>
      </c>
      <c r="K3227" s="23" t="s">
        <v>313</v>
      </c>
      <c r="L3227" s="23">
        <v>1</v>
      </c>
      <c r="M3227" s="23" t="s">
        <v>78</v>
      </c>
      <c r="N3227" s="23" t="s">
        <v>78</v>
      </c>
      <c r="O3227" s="23">
        <v>0.01</v>
      </c>
      <c r="P3227" s="23" t="s">
        <v>79</v>
      </c>
      <c r="Q3227" s="23" t="s">
        <v>83</v>
      </c>
      <c r="S3227" s="24">
        <v>46129</v>
      </c>
      <c r="T3227" s="24">
        <v>46086</v>
      </c>
      <c r="U3227" s="24" t="s">
        <v>80</v>
      </c>
      <c r="X3227" s="24">
        <v>46083</v>
      </c>
      <c r="Y3227" s="23">
        <v>1111</v>
      </c>
      <c r="Z3227" s="23">
        <v>11100320</v>
      </c>
      <c r="AA3227" s="23">
        <v>5151</v>
      </c>
      <c r="AB3227" s="24">
        <v>46085</v>
      </c>
    </row>
    <row r="3228" spans="2:28" x14ac:dyDescent="0.2">
      <c r="B3228" s="23" t="s">
        <v>81</v>
      </c>
      <c r="C3228" s="23">
        <v>1100578739</v>
      </c>
      <c r="H3228" s="24">
        <v>47118</v>
      </c>
      <c r="O3228" s="23">
        <v>5907.87</v>
      </c>
      <c r="P3228" s="23" t="s">
        <v>79</v>
      </c>
    </row>
    <row r="3229" spans="2:28" x14ac:dyDescent="0.2">
      <c r="C3229" s="23">
        <v>1100578743</v>
      </c>
      <c r="E3229" s="23">
        <v>10</v>
      </c>
      <c r="F3229" s="23" t="s">
        <v>769</v>
      </c>
      <c r="G3229" s="23" t="s">
        <v>770</v>
      </c>
      <c r="H3229" s="24">
        <v>47118</v>
      </c>
      <c r="I3229" s="24">
        <v>47118</v>
      </c>
      <c r="J3229" s="23" t="s">
        <v>802</v>
      </c>
      <c r="K3229" s="23" t="s">
        <v>802</v>
      </c>
      <c r="L3229" s="23">
        <v>6</v>
      </c>
      <c r="M3229" s="23" t="s">
        <v>78</v>
      </c>
      <c r="N3229" s="23" t="s">
        <v>78</v>
      </c>
      <c r="O3229" s="23">
        <v>272.39999999999998</v>
      </c>
      <c r="P3229" s="23" t="s">
        <v>79</v>
      </c>
      <c r="Q3229" s="23" t="s">
        <v>83</v>
      </c>
      <c r="S3229" s="24">
        <v>46142</v>
      </c>
      <c r="T3229" s="24">
        <v>46086</v>
      </c>
      <c r="U3229" s="24" t="s">
        <v>80</v>
      </c>
      <c r="X3229" s="24">
        <v>46084</v>
      </c>
      <c r="Y3229" s="23">
        <v>1111</v>
      </c>
      <c r="Z3229" s="23">
        <v>11600003</v>
      </c>
      <c r="AA3229" s="23">
        <v>395103</v>
      </c>
      <c r="AB3229" s="24">
        <v>46084</v>
      </c>
    </row>
    <row r="3230" spans="2:28" x14ac:dyDescent="0.2">
      <c r="C3230" s="23">
        <v>1100578743</v>
      </c>
      <c r="E3230" s="23">
        <v>20</v>
      </c>
      <c r="F3230" s="23" t="s">
        <v>82</v>
      </c>
      <c r="G3230" s="23" t="s">
        <v>139</v>
      </c>
      <c r="H3230" s="24">
        <v>47118</v>
      </c>
      <c r="I3230" s="24">
        <v>47118</v>
      </c>
      <c r="J3230" s="23" t="s">
        <v>802</v>
      </c>
      <c r="K3230" s="23" t="s">
        <v>802</v>
      </c>
      <c r="L3230" s="23">
        <v>1</v>
      </c>
      <c r="M3230" s="23" t="s">
        <v>78</v>
      </c>
      <c r="N3230" s="23" t="s">
        <v>78</v>
      </c>
      <c r="O3230" s="23">
        <v>0.01</v>
      </c>
      <c r="P3230" s="23" t="s">
        <v>79</v>
      </c>
      <c r="Q3230" s="23" t="s">
        <v>83</v>
      </c>
      <c r="S3230" s="24">
        <v>46142</v>
      </c>
      <c r="T3230" s="24">
        <v>46086</v>
      </c>
      <c r="U3230" s="24" t="s">
        <v>80</v>
      </c>
      <c r="X3230" s="24">
        <v>46084</v>
      </c>
      <c r="Y3230" s="23">
        <v>1111</v>
      </c>
      <c r="Z3230" s="23">
        <v>11600003</v>
      </c>
      <c r="AA3230" s="23">
        <v>395103</v>
      </c>
      <c r="AB3230" s="24">
        <v>46084</v>
      </c>
    </row>
    <row r="3231" spans="2:28" x14ac:dyDescent="0.2">
      <c r="B3231" s="23" t="s">
        <v>81</v>
      </c>
      <c r="C3231" s="23">
        <v>1100578743</v>
      </c>
      <c r="H3231" s="24">
        <v>47118</v>
      </c>
      <c r="O3231" s="23">
        <v>272.41000000000003</v>
      </c>
      <c r="P3231" s="23" t="s">
        <v>79</v>
      </c>
    </row>
    <row r="3232" spans="2:28" x14ac:dyDescent="0.2">
      <c r="C3232" s="23">
        <v>1100578746</v>
      </c>
      <c r="E3232" s="23">
        <v>10</v>
      </c>
      <c r="F3232" s="23" t="s">
        <v>4299</v>
      </c>
      <c r="G3232" s="23" t="s">
        <v>4300</v>
      </c>
      <c r="H3232" s="24">
        <v>47118</v>
      </c>
      <c r="I3232" s="24">
        <v>47118</v>
      </c>
      <c r="J3232" s="23" t="s">
        <v>565</v>
      </c>
      <c r="K3232" s="23" t="s">
        <v>565</v>
      </c>
      <c r="L3232" s="23">
        <v>8</v>
      </c>
      <c r="M3232" s="23" t="s">
        <v>78</v>
      </c>
      <c r="N3232" s="23" t="s">
        <v>78</v>
      </c>
      <c r="O3232" s="23">
        <v>342.08</v>
      </c>
      <c r="P3232" s="23" t="s">
        <v>79</v>
      </c>
      <c r="Q3232" s="23" t="s">
        <v>83</v>
      </c>
      <c r="S3232" s="24">
        <v>46094</v>
      </c>
      <c r="T3232" s="24">
        <v>46086</v>
      </c>
      <c r="U3232" s="24" t="s">
        <v>80</v>
      </c>
      <c r="X3232" s="24">
        <v>46083</v>
      </c>
      <c r="Y3232" s="23">
        <v>1111</v>
      </c>
      <c r="Z3232" s="23">
        <v>11400704</v>
      </c>
      <c r="AA3232" s="23">
        <v>335103</v>
      </c>
      <c r="AB3232" s="24">
        <v>46084</v>
      </c>
    </row>
    <row r="3233" spans="2:28" x14ac:dyDescent="0.2">
      <c r="C3233" s="23">
        <v>1100578746</v>
      </c>
      <c r="E3233" s="23">
        <v>20</v>
      </c>
      <c r="F3233" s="23" t="s">
        <v>82</v>
      </c>
      <c r="G3233" s="23" t="s">
        <v>139</v>
      </c>
      <c r="H3233" s="24">
        <v>47118</v>
      </c>
      <c r="I3233" s="24">
        <v>47118</v>
      </c>
      <c r="J3233" s="23" t="s">
        <v>565</v>
      </c>
      <c r="K3233" s="23" t="s">
        <v>565</v>
      </c>
      <c r="L3233" s="23">
        <v>1</v>
      </c>
      <c r="M3233" s="23" t="s">
        <v>78</v>
      </c>
      <c r="N3233" s="23" t="s">
        <v>78</v>
      </c>
      <c r="O3233" s="23">
        <v>0.01</v>
      </c>
      <c r="P3233" s="23" t="s">
        <v>79</v>
      </c>
      <c r="Q3233" s="23" t="s">
        <v>83</v>
      </c>
      <c r="S3233" s="24" t="s">
        <v>80</v>
      </c>
      <c r="T3233" s="24">
        <v>46086</v>
      </c>
      <c r="U3233" s="24" t="s">
        <v>80</v>
      </c>
      <c r="X3233" s="24">
        <v>46083</v>
      </c>
      <c r="Y3233" s="23">
        <v>1111</v>
      </c>
      <c r="Z3233" s="23">
        <v>11400704</v>
      </c>
      <c r="AA3233" s="23">
        <v>335103</v>
      </c>
      <c r="AB3233" s="24">
        <v>46084</v>
      </c>
    </row>
    <row r="3234" spans="2:28" x14ac:dyDescent="0.2">
      <c r="B3234" s="23" t="s">
        <v>81</v>
      </c>
      <c r="C3234" s="23">
        <v>1100578746</v>
      </c>
      <c r="H3234" s="24">
        <v>47118</v>
      </c>
      <c r="O3234" s="23">
        <v>342.09</v>
      </c>
      <c r="P3234" s="23" t="s">
        <v>79</v>
      </c>
    </row>
    <row r="3235" spans="2:28" x14ac:dyDescent="0.2">
      <c r="C3235" s="23">
        <v>1100578748</v>
      </c>
      <c r="E3235" s="23">
        <v>10</v>
      </c>
      <c r="F3235" s="23" t="s">
        <v>87</v>
      </c>
      <c r="G3235" s="23" t="s">
        <v>4301</v>
      </c>
      <c r="H3235" s="24">
        <v>47118</v>
      </c>
      <c r="I3235" s="24">
        <v>47118</v>
      </c>
      <c r="J3235" s="23" t="s">
        <v>2206</v>
      </c>
      <c r="K3235" s="23" t="s">
        <v>2206</v>
      </c>
      <c r="L3235" s="23">
        <v>1</v>
      </c>
      <c r="M3235" s="23" t="s">
        <v>78</v>
      </c>
      <c r="N3235" s="23" t="s">
        <v>78</v>
      </c>
      <c r="O3235" s="23">
        <v>722.65</v>
      </c>
      <c r="P3235" s="23" t="s">
        <v>79</v>
      </c>
      <c r="Q3235" s="23" t="s">
        <v>83</v>
      </c>
      <c r="S3235" s="24">
        <v>46115</v>
      </c>
      <c r="T3235" s="24">
        <v>46086</v>
      </c>
      <c r="U3235" s="24" t="s">
        <v>80</v>
      </c>
      <c r="X3235" s="24">
        <v>46084</v>
      </c>
      <c r="Y3235" s="23">
        <v>1111</v>
      </c>
      <c r="Z3235" s="23">
        <v>11100320</v>
      </c>
      <c r="AA3235" s="23">
        <v>3951</v>
      </c>
      <c r="AB3235" s="24">
        <v>46084</v>
      </c>
    </row>
    <row r="3236" spans="2:28" x14ac:dyDescent="0.2">
      <c r="C3236" s="23">
        <v>1100578748</v>
      </c>
      <c r="E3236" s="23">
        <v>20</v>
      </c>
      <c r="F3236" s="23" t="s">
        <v>84</v>
      </c>
      <c r="G3236" s="23" t="s">
        <v>123</v>
      </c>
      <c r="H3236" s="24">
        <v>47118</v>
      </c>
      <c r="I3236" s="24">
        <v>47118</v>
      </c>
      <c r="J3236" s="23" t="s">
        <v>2206</v>
      </c>
      <c r="K3236" s="23" t="s">
        <v>2206</v>
      </c>
      <c r="L3236" s="23">
        <v>1</v>
      </c>
      <c r="M3236" s="23" t="s">
        <v>78</v>
      </c>
      <c r="N3236" s="23" t="s">
        <v>78</v>
      </c>
      <c r="O3236" s="23">
        <v>0.01</v>
      </c>
      <c r="P3236" s="23" t="s">
        <v>79</v>
      </c>
      <c r="Q3236" s="23" t="s">
        <v>83</v>
      </c>
      <c r="S3236" s="24">
        <v>46115</v>
      </c>
      <c r="T3236" s="24">
        <v>46086</v>
      </c>
      <c r="U3236" s="24" t="s">
        <v>80</v>
      </c>
      <c r="X3236" s="24">
        <v>46084</v>
      </c>
      <c r="Y3236" s="23">
        <v>1111</v>
      </c>
      <c r="Z3236" s="23">
        <v>11100320</v>
      </c>
      <c r="AA3236" s="23">
        <v>3951</v>
      </c>
      <c r="AB3236" s="24">
        <v>46084</v>
      </c>
    </row>
    <row r="3237" spans="2:28" x14ac:dyDescent="0.2">
      <c r="C3237" s="23">
        <v>1100578748</v>
      </c>
      <c r="E3237" s="23">
        <v>30</v>
      </c>
      <c r="F3237" s="23" t="s">
        <v>82</v>
      </c>
      <c r="G3237" s="23" t="s">
        <v>139</v>
      </c>
      <c r="H3237" s="24">
        <v>47118</v>
      </c>
      <c r="I3237" s="24">
        <v>47118</v>
      </c>
      <c r="J3237" s="23" t="s">
        <v>2206</v>
      </c>
      <c r="K3237" s="23" t="s">
        <v>2206</v>
      </c>
      <c r="L3237" s="23">
        <v>1</v>
      </c>
      <c r="M3237" s="23" t="s">
        <v>78</v>
      </c>
      <c r="N3237" s="23" t="s">
        <v>78</v>
      </c>
      <c r="O3237" s="23">
        <v>0</v>
      </c>
      <c r="P3237" s="23" t="s">
        <v>79</v>
      </c>
      <c r="Q3237" s="23" t="s">
        <v>83</v>
      </c>
      <c r="S3237" s="24">
        <v>46115</v>
      </c>
      <c r="T3237" s="24">
        <v>46086</v>
      </c>
      <c r="U3237" s="24" t="s">
        <v>80</v>
      </c>
      <c r="X3237" s="24">
        <v>46084</v>
      </c>
      <c r="Y3237" s="23">
        <v>1111</v>
      </c>
      <c r="Z3237" s="23">
        <v>11100320</v>
      </c>
      <c r="AA3237" s="23">
        <v>3951</v>
      </c>
      <c r="AB3237" s="24">
        <v>46084</v>
      </c>
    </row>
    <row r="3238" spans="2:28" x14ac:dyDescent="0.2">
      <c r="B3238" s="23" t="s">
        <v>81</v>
      </c>
      <c r="C3238" s="23">
        <v>1100578748</v>
      </c>
      <c r="H3238" s="24">
        <v>47118</v>
      </c>
      <c r="O3238" s="23">
        <v>722.66</v>
      </c>
      <c r="P3238" s="23" t="s">
        <v>79</v>
      </c>
    </row>
    <row r="3239" spans="2:28" x14ac:dyDescent="0.2">
      <c r="C3239" s="23">
        <v>1100578749</v>
      </c>
      <c r="E3239" s="23">
        <v>10</v>
      </c>
      <c r="F3239" s="23" t="s">
        <v>1785</v>
      </c>
      <c r="G3239" s="23" t="s">
        <v>1786</v>
      </c>
      <c r="H3239" s="24">
        <v>47118</v>
      </c>
      <c r="I3239" s="24">
        <v>47118</v>
      </c>
      <c r="J3239" s="23" t="s">
        <v>1172</v>
      </c>
      <c r="K3239" s="23" t="s">
        <v>1172</v>
      </c>
      <c r="L3239" s="23">
        <v>6</v>
      </c>
      <c r="M3239" s="23" t="s">
        <v>78</v>
      </c>
      <c r="N3239" s="23" t="s">
        <v>78</v>
      </c>
      <c r="O3239" s="23">
        <v>216.6</v>
      </c>
      <c r="P3239" s="23" t="s">
        <v>79</v>
      </c>
      <c r="Q3239" s="23" t="s">
        <v>83</v>
      </c>
      <c r="S3239" s="24">
        <v>46094</v>
      </c>
      <c r="T3239" s="24">
        <v>46086</v>
      </c>
      <c r="U3239" s="24" t="s">
        <v>80</v>
      </c>
      <c r="X3239" s="24">
        <v>46083</v>
      </c>
      <c r="Y3239" s="23">
        <v>1111</v>
      </c>
      <c r="Z3239" s="23">
        <v>11100320</v>
      </c>
      <c r="AA3239" s="23">
        <v>3951</v>
      </c>
      <c r="AB3239" s="24">
        <v>46084</v>
      </c>
    </row>
    <row r="3240" spans="2:28" x14ac:dyDescent="0.2">
      <c r="B3240" s="23" t="s">
        <v>81</v>
      </c>
      <c r="C3240" s="23">
        <v>1100578749</v>
      </c>
      <c r="H3240" s="24">
        <v>47118</v>
      </c>
      <c r="O3240" s="23">
        <v>216.6</v>
      </c>
      <c r="P3240" s="23" t="s">
        <v>79</v>
      </c>
    </row>
    <row r="3241" spans="2:28" x14ac:dyDescent="0.2">
      <c r="C3241" s="23">
        <v>1100578761</v>
      </c>
      <c r="E3241" s="23">
        <v>10</v>
      </c>
      <c r="F3241" s="23" t="s">
        <v>277</v>
      </c>
      <c r="G3241" s="23" t="s">
        <v>278</v>
      </c>
      <c r="H3241" s="24">
        <v>47118</v>
      </c>
      <c r="I3241" s="24">
        <v>47118</v>
      </c>
      <c r="J3241" s="23" t="s">
        <v>715</v>
      </c>
      <c r="K3241" s="23" t="s">
        <v>715</v>
      </c>
      <c r="L3241" s="23">
        <v>10</v>
      </c>
      <c r="M3241" s="23" t="s">
        <v>78</v>
      </c>
      <c r="N3241" s="23" t="s">
        <v>78</v>
      </c>
      <c r="O3241" s="23">
        <v>372.5</v>
      </c>
      <c r="P3241" s="23" t="s">
        <v>79</v>
      </c>
      <c r="Q3241" s="23" t="s">
        <v>83</v>
      </c>
      <c r="S3241" s="24">
        <v>46108</v>
      </c>
      <c r="T3241" s="24">
        <v>46086</v>
      </c>
      <c r="U3241" s="24" t="s">
        <v>80</v>
      </c>
      <c r="X3241" s="24">
        <v>46085</v>
      </c>
      <c r="Y3241" s="23">
        <v>1111</v>
      </c>
      <c r="Z3241" s="23">
        <v>11100320</v>
      </c>
      <c r="AA3241" s="23">
        <v>3351</v>
      </c>
      <c r="AB3241" s="24">
        <v>46085</v>
      </c>
    </row>
    <row r="3242" spans="2:28" x14ac:dyDescent="0.2">
      <c r="B3242" s="23" t="s">
        <v>81</v>
      </c>
      <c r="C3242" s="23">
        <v>1100578761</v>
      </c>
      <c r="H3242" s="24">
        <v>47118</v>
      </c>
      <c r="O3242" s="23">
        <v>372.5</v>
      </c>
      <c r="P3242" s="23" t="s">
        <v>79</v>
      </c>
    </row>
    <row r="3243" spans="2:28" x14ac:dyDescent="0.2">
      <c r="C3243" s="23">
        <v>1100578762</v>
      </c>
      <c r="E3243" s="23">
        <v>10</v>
      </c>
      <c r="F3243" s="23" t="s">
        <v>4302</v>
      </c>
      <c r="G3243" s="23" t="s">
        <v>4303</v>
      </c>
      <c r="H3243" s="24">
        <v>47118</v>
      </c>
      <c r="I3243" s="24">
        <v>47118</v>
      </c>
      <c r="J3243" s="23" t="s">
        <v>256</v>
      </c>
      <c r="K3243" s="23" t="s">
        <v>256</v>
      </c>
      <c r="L3243" s="23">
        <v>3</v>
      </c>
      <c r="M3243" s="23" t="s">
        <v>78</v>
      </c>
      <c r="N3243" s="23" t="s">
        <v>78</v>
      </c>
      <c r="O3243" s="23">
        <v>643.53</v>
      </c>
      <c r="P3243" s="23" t="s">
        <v>79</v>
      </c>
      <c r="Q3243" s="23" t="s">
        <v>83</v>
      </c>
      <c r="S3243" s="24">
        <v>46093</v>
      </c>
      <c r="T3243" s="24">
        <v>46086</v>
      </c>
      <c r="U3243" s="24" t="s">
        <v>80</v>
      </c>
      <c r="X3243" s="24">
        <v>46084</v>
      </c>
      <c r="Y3243" s="23">
        <v>1111</v>
      </c>
      <c r="Z3243" s="23">
        <v>11400811</v>
      </c>
      <c r="AA3243" s="23">
        <v>515103</v>
      </c>
      <c r="AB3243" s="24">
        <v>46084</v>
      </c>
    </row>
    <row r="3244" spans="2:28" x14ac:dyDescent="0.2">
      <c r="B3244" s="23" t="s">
        <v>81</v>
      </c>
      <c r="C3244" s="23">
        <v>1100578762</v>
      </c>
      <c r="H3244" s="24">
        <v>47118</v>
      </c>
      <c r="O3244" s="23">
        <v>643.53</v>
      </c>
      <c r="P3244" s="23" t="s">
        <v>79</v>
      </c>
    </row>
    <row r="3245" spans="2:28" x14ac:dyDescent="0.2">
      <c r="C3245" s="23">
        <v>1100578766</v>
      </c>
      <c r="E3245" s="23">
        <v>10</v>
      </c>
      <c r="F3245" s="23" t="s">
        <v>240</v>
      </c>
      <c r="G3245" s="23" t="s">
        <v>241</v>
      </c>
      <c r="H3245" s="24">
        <v>47118</v>
      </c>
      <c r="I3245" s="24">
        <v>47118</v>
      </c>
      <c r="J3245" s="23" t="s">
        <v>98</v>
      </c>
      <c r="K3245" s="23" t="s">
        <v>98</v>
      </c>
      <c r="L3245" s="23">
        <v>2</v>
      </c>
      <c r="M3245" s="23" t="s">
        <v>78</v>
      </c>
      <c r="N3245" s="23" t="s">
        <v>78</v>
      </c>
      <c r="O3245" s="23">
        <v>864.3</v>
      </c>
      <c r="P3245" s="23" t="s">
        <v>79</v>
      </c>
      <c r="Q3245" s="23" t="s">
        <v>83</v>
      </c>
      <c r="S3245" s="24">
        <v>46094</v>
      </c>
      <c r="T3245" s="24">
        <v>46086</v>
      </c>
      <c r="U3245" s="24" t="s">
        <v>80</v>
      </c>
      <c r="X3245" s="24">
        <v>46085</v>
      </c>
      <c r="Y3245" s="23">
        <v>1111</v>
      </c>
      <c r="Z3245" s="23">
        <v>11100320</v>
      </c>
      <c r="AA3245" s="23">
        <v>3151</v>
      </c>
      <c r="AB3245" s="24">
        <v>46085</v>
      </c>
    </row>
    <row r="3246" spans="2:28" x14ac:dyDescent="0.2">
      <c r="C3246" s="23">
        <v>1100578766</v>
      </c>
      <c r="E3246" s="23">
        <v>20</v>
      </c>
      <c r="F3246" s="23" t="s">
        <v>82</v>
      </c>
      <c r="G3246" s="23" t="s">
        <v>139</v>
      </c>
      <c r="H3246" s="24">
        <v>47118</v>
      </c>
      <c r="I3246" s="24">
        <v>47118</v>
      </c>
      <c r="J3246" s="23" t="s">
        <v>98</v>
      </c>
      <c r="K3246" s="23" t="s">
        <v>98</v>
      </c>
      <c r="L3246" s="23">
        <v>1</v>
      </c>
      <c r="M3246" s="23" t="s">
        <v>78</v>
      </c>
      <c r="N3246" s="23" t="s">
        <v>78</v>
      </c>
      <c r="O3246" s="23">
        <v>0.01</v>
      </c>
      <c r="P3246" s="23" t="s">
        <v>79</v>
      </c>
      <c r="Q3246" s="23" t="s">
        <v>83</v>
      </c>
      <c r="S3246" s="24">
        <v>46094</v>
      </c>
      <c r="T3246" s="24">
        <v>46086</v>
      </c>
      <c r="U3246" s="24" t="s">
        <v>80</v>
      </c>
      <c r="X3246" s="24">
        <v>46085</v>
      </c>
      <c r="Y3246" s="23">
        <v>1111</v>
      </c>
      <c r="Z3246" s="23">
        <v>11100320</v>
      </c>
      <c r="AA3246" s="23">
        <v>3151</v>
      </c>
      <c r="AB3246" s="24">
        <v>46085</v>
      </c>
    </row>
    <row r="3247" spans="2:28" x14ac:dyDescent="0.2">
      <c r="B3247" s="23" t="s">
        <v>81</v>
      </c>
      <c r="C3247" s="23">
        <v>1100578766</v>
      </c>
      <c r="H3247" s="24">
        <v>47118</v>
      </c>
      <c r="O3247" s="23">
        <v>864.31</v>
      </c>
      <c r="P3247" s="23" t="s">
        <v>79</v>
      </c>
    </row>
    <row r="3248" spans="2:28" x14ac:dyDescent="0.2">
      <c r="C3248" s="23">
        <v>1100578769</v>
      </c>
      <c r="E3248" s="23">
        <v>10</v>
      </c>
      <c r="F3248" s="23" t="s">
        <v>739</v>
      </c>
      <c r="G3248" s="23" t="s">
        <v>740</v>
      </c>
      <c r="H3248" s="24">
        <v>47118</v>
      </c>
      <c r="I3248" s="24">
        <v>47118</v>
      </c>
      <c r="J3248" s="23" t="s">
        <v>1056</v>
      </c>
      <c r="K3248" s="23" t="s">
        <v>1056</v>
      </c>
      <c r="L3248" s="23">
        <v>6</v>
      </c>
      <c r="M3248" s="23" t="s">
        <v>78</v>
      </c>
      <c r="N3248" s="23" t="s">
        <v>78</v>
      </c>
      <c r="O3248" s="23">
        <v>223.68</v>
      </c>
      <c r="P3248" s="23" t="s">
        <v>79</v>
      </c>
      <c r="Q3248" s="23" t="s">
        <v>83</v>
      </c>
      <c r="S3248" s="24">
        <v>46093</v>
      </c>
      <c r="T3248" s="24">
        <v>46086</v>
      </c>
      <c r="U3248" s="24" t="s">
        <v>80</v>
      </c>
      <c r="X3248" s="24">
        <v>46084</v>
      </c>
      <c r="Y3248" s="23">
        <v>1111</v>
      </c>
      <c r="Z3248" s="23">
        <v>11400811</v>
      </c>
      <c r="AA3248" s="23">
        <v>335103</v>
      </c>
      <c r="AB3248" s="24">
        <v>46084</v>
      </c>
    </row>
    <row r="3249" spans="2:28" x14ac:dyDescent="0.2">
      <c r="B3249" s="23" t="s">
        <v>81</v>
      </c>
      <c r="C3249" s="23">
        <v>1100578769</v>
      </c>
      <c r="H3249" s="24">
        <v>47118</v>
      </c>
      <c r="O3249" s="23">
        <v>223.68</v>
      </c>
      <c r="P3249" s="23" t="s">
        <v>79</v>
      </c>
    </row>
    <row r="3250" spans="2:28" x14ac:dyDescent="0.2">
      <c r="C3250" s="23">
        <v>1100578772</v>
      </c>
      <c r="E3250" s="23">
        <v>10</v>
      </c>
      <c r="F3250" s="23" t="s">
        <v>4304</v>
      </c>
      <c r="G3250" s="23" t="s">
        <v>4305</v>
      </c>
      <c r="H3250" s="24">
        <v>47118</v>
      </c>
      <c r="I3250" s="24">
        <v>47118</v>
      </c>
      <c r="J3250" s="23" t="s">
        <v>2570</v>
      </c>
      <c r="K3250" s="23" t="s">
        <v>2570</v>
      </c>
      <c r="L3250" s="23">
        <v>2</v>
      </c>
      <c r="M3250" s="23" t="s">
        <v>78</v>
      </c>
      <c r="N3250" s="23" t="s">
        <v>78</v>
      </c>
      <c r="O3250" s="23">
        <v>3111.86</v>
      </c>
      <c r="P3250" s="23" t="s">
        <v>79</v>
      </c>
      <c r="Q3250" s="23" t="s">
        <v>83</v>
      </c>
      <c r="S3250" s="24">
        <v>46129</v>
      </c>
      <c r="T3250" s="24">
        <v>46086</v>
      </c>
      <c r="U3250" s="24" t="s">
        <v>80</v>
      </c>
      <c r="X3250" s="24">
        <v>46084</v>
      </c>
      <c r="Y3250" s="23">
        <v>1111</v>
      </c>
      <c r="Z3250" s="23">
        <v>11400704</v>
      </c>
      <c r="AA3250" s="23">
        <v>505103</v>
      </c>
      <c r="AB3250" s="24">
        <v>46084</v>
      </c>
    </row>
    <row r="3251" spans="2:28" x14ac:dyDescent="0.2">
      <c r="C3251" s="23">
        <v>1100578772</v>
      </c>
      <c r="E3251" s="23">
        <v>20</v>
      </c>
      <c r="F3251" s="23" t="s">
        <v>82</v>
      </c>
      <c r="G3251" s="23" t="s">
        <v>139</v>
      </c>
      <c r="H3251" s="24">
        <v>47118</v>
      </c>
      <c r="I3251" s="24">
        <v>47118</v>
      </c>
      <c r="J3251" s="23" t="s">
        <v>2570</v>
      </c>
      <c r="K3251" s="23" t="s">
        <v>2570</v>
      </c>
      <c r="L3251" s="23">
        <v>1</v>
      </c>
      <c r="M3251" s="23" t="s">
        <v>78</v>
      </c>
      <c r="N3251" s="23" t="s">
        <v>78</v>
      </c>
      <c r="O3251" s="23">
        <v>0.01</v>
      </c>
      <c r="P3251" s="23" t="s">
        <v>79</v>
      </c>
      <c r="Q3251" s="23" t="s">
        <v>83</v>
      </c>
      <c r="S3251" s="24" t="s">
        <v>80</v>
      </c>
      <c r="T3251" s="24">
        <v>46086</v>
      </c>
      <c r="U3251" s="24" t="s">
        <v>80</v>
      </c>
      <c r="X3251" s="24">
        <v>46084</v>
      </c>
      <c r="Y3251" s="23">
        <v>1111</v>
      </c>
      <c r="Z3251" s="23">
        <v>11400704</v>
      </c>
      <c r="AA3251" s="23">
        <v>505103</v>
      </c>
      <c r="AB3251" s="24">
        <v>46084</v>
      </c>
    </row>
    <row r="3252" spans="2:28" x14ac:dyDescent="0.2">
      <c r="B3252" s="23" t="s">
        <v>81</v>
      </c>
      <c r="C3252" s="23">
        <v>1100578772</v>
      </c>
      <c r="H3252" s="24">
        <v>47118</v>
      </c>
      <c r="O3252" s="23">
        <v>3111.87</v>
      </c>
      <c r="P3252" s="23" t="s">
        <v>79</v>
      </c>
    </row>
    <row r="3253" spans="2:28" x14ac:dyDescent="0.2">
      <c r="C3253" s="23">
        <v>1100578774</v>
      </c>
      <c r="E3253" s="23">
        <v>10</v>
      </c>
      <c r="F3253" s="23" t="s">
        <v>787</v>
      </c>
      <c r="G3253" s="23" t="s">
        <v>788</v>
      </c>
      <c r="H3253" s="24">
        <v>47118</v>
      </c>
      <c r="I3253" s="24">
        <v>47118</v>
      </c>
      <c r="J3253" s="23" t="s">
        <v>773</v>
      </c>
      <c r="K3253" s="23" t="s">
        <v>773</v>
      </c>
      <c r="L3253" s="23">
        <v>2</v>
      </c>
      <c r="M3253" s="23" t="s">
        <v>78</v>
      </c>
      <c r="N3253" s="23" t="s">
        <v>78</v>
      </c>
      <c r="O3253" s="23">
        <v>1785.1</v>
      </c>
      <c r="P3253" s="23" t="s">
        <v>79</v>
      </c>
      <c r="Q3253" s="23" t="s">
        <v>83</v>
      </c>
      <c r="S3253" s="24">
        <v>46093</v>
      </c>
      <c r="T3253" s="24">
        <v>46086</v>
      </c>
      <c r="U3253" s="24" t="s">
        <v>80</v>
      </c>
      <c r="X3253" s="24">
        <v>46084</v>
      </c>
      <c r="Y3253" s="23">
        <v>1111</v>
      </c>
      <c r="Z3253" s="23">
        <v>11400811</v>
      </c>
      <c r="AA3253" s="23">
        <v>315103</v>
      </c>
      <c r="AB3253" s="24">
        <v>46084</v>
      </c>
    </row>
    <row r="3254" spans="2:28" x14ac:dyDescent="0.2">
      <c r="B3254" s="23" t="s">
        <v>81</v>
      </c>
      <c r="C3254" s="23">
        <v>1100578774</v>
      </c>
      <c r="H3254" s="24">
        <v>47118</v>
      </c>
      <c r="O3254" s="23">
        <v>1785.1</v>
      </c>
      <c r="P3254" s="23" t="s">
        <v>79</v>
      </c>
    </row>
    <row r="3255" spans="2:28" x14ac:dyDescent="0.2">
      <c r="C3255" s="23">
        <v>1100578776</v>
      </c>
      <c r="E3255" s="23">
        <v>10</v>
      </c>
      <c r="F3255" s="23" t="s">
        <v>426</v>
      </c>
      <c r="G3255" s="23" t="s">
        <v>427</v>
      </c>
      <c r="H3255" s="24">
        <v>47118</v>
      </c>
      <c r="I3255" s="24">
        <v>47118</v>
      </c>
      <c r="J3255" s="23" t="s">
        <v>242</v>
      </c>
      <c r="K3255" s="23" t="s">
        <v>242</v>
      </c>
      <c r="L3255" s="23">
        <v>1</v>
      </c>
      <c r="M3255" s="23" t="s">
        <v>78</v>
      </c>
      <c r="N3255" s="23" t="s">
        <v>78</v>
      </c>
      <c r="O3255" s="23">
        <v>2203.56</v>
      </c>
      <c r="P3255" s="23" t="s">
        <v>79</v>
      </c>
      <c r="Q3255" s="23" t="s">
        <v>83</v>
      </c>
      <c r="S3255" s="24">
        <v>46115</v>
      </c>
      <c r="T3255" s="24">
        <v>46086</v>
      </c>
      <c r="U3255" s="24" t="s">
        <v>80</v>
      </c>
      <c r="X3255" s="24">
        <v>46085</v>
      </c>
      <c r="Y3255" s="23">
        <v>1111</v>
      </c>
      <c r="Z3255" s="23">
        <v>11100320</v>
      </c>
      <c r="AA3255" s="23">
        <v>5051</v>
      </c>
      <c r="AB3255" s="24">
        <v>46083</v>
      </c>
    </row>
    <row r="3256" spans="2:28" x14ac:dyDescent="0.2">
      <c r="C3256" s="23">
        <v>1100578776</v>
      </c>
      <c r="E3256" s="23">
        <v>20</v>
      </c>
      <c r="F3256" s="23" t="s">
        <v>424</v>
      </c>
      <c r="G3256" s="23" t="s">
        <v>425</v>
      </c>
      <c r="H3256" s="24">
        <v>47118</v>
      </c>
      <c r="I3256" s="24">
        <v>47118</v>
      </c>
      <c r="J3256" s="23" t="s">
        <v>242</v>
      </c>
      <c r="K3256" s="23" t="s">
        <v>242</v>
      </c>
      <c r="L3256" s="23">
        <v>2</v>
      </c>
      <c r="M3256" s="23" t="s">
        <v>78</v>
      </c>
      <c r="N3256" s="23" t="s">
        <v>78</v>
      </c>
      <c r="O3256" s="23">
        <v>745.6</v>
      </c>
      <c r="P3256" s="23" t="s">
        <v>79</v>
      </c>
      <c r="Q3256" s="23" t="s">
        <v>83</v>
      </c>
      <c r="S3256" s="24">
        <v>46115</v>
      </c>
      <c r="T3256" s="24">
        <v>46086</v>
      </c>
      <c r="U3256" s="24" t="s">
        <v>80</v>
      </c>
      <c r="X3256" s="24">
        <v>46085</v>
      </c>
      <c r="Y3256" s="23">
        <v>1111</v>
      </c>
      <c r="Z3256" s="23">
        <v>11100320</v>
      </c>
      <c r="AA3256" s="23">
        <v>5051</v>
      </c>
      <c r="AB3256" s="24">
        <v>46083</v>
      </c>
    </row>
    <row r="3257" spans="2:28" x14ac:dyDescent="0.2">
      <c r="C3257" s="23">
        <v>1100578776</v>
      </c>
      <c r="E3257" s="23">
        <v>30</v>
      </c>
      <c r="F3257" s="23" t="s">
        <v>82</v>
      </c>
      <c r="G3257" s="23" t="s">
        <v>139</v>
      </c>
      <c r="H3257" s="24">
        <v>47118</v>
      </c>
      <c r="I3257" s="24">
        <v>47118</v>
      </c>
      <c r="J3257" s="23" t="s">
        <v>242</v>
      </c>
      <c r="K3257" s="23" t="s">
        <v>242</v>
      </c>
      <c r="L3257" s="23">
        <v>1</v>
      </c>
      <c r="M3257" s="23" t="s">
        <v>78</v>
      </c>
      <c r="N3257" s="23" t="s">
        <v>78</v>
      </c>
      <c r="O3257" s="23">
        <v>0.01</v>
      </c>
      <c r="P3257" s="23" t="s">
        <v>79</v>
      </c>
      <c r="Q3257" s="23" t="s">
        <v>83</v>
      </c>
      <c r="S3257" s="24">
        <v>46115</v>
      </c>
      <c r="T3257" s="24">
        <v>46086</v>
      </c>
      <c r="U3257" s="24" t="s">
        <v>80</v>
      </c>
      <c r="X3257" s="24">
        <v>46085</v>
      </c>
      <c r="Y3257" s="23">
        <v>1111</v>
      </c>
      <c r="Z3257" s="23">
        <v>11100320</v>
      </c>
      <c r="AA3257" s="23">
        <v>5051</v>
      </c>
      <c r="AB3257" s="24">
        <v>46083</v>
      </c>
    </row>
    <row r="3258" spans="2:28" x14ac:dyDescent="0.2">
      <c r="B3258" s="23" t="s">
        <v>81</v>
      </c>
      <c r="C3258" s="23">
        <v>1100578776</v>
      </c>
      <c r="H3258" s="24">
        <v>47118</v>
      </c>
      <c r="O3258" s="23">
        <v>2949.17</v>
      </c>
      <c r="P3258" s="23" t="s">
        <v>79</v>
      </c>
    </row>
    <row r="3259" spans="2:28" x14ac:dyDescent="0.2">
      <c r="C3259" s="23">
        <v>1100578779</v>
      </c>
      <c r="E3259" s="23">
        <v>10</v>
      </c>
      <c r="F3259" s="23" t="s">
        <v>4306</v>
      </c>
      <c r="G3259" s="23" t="s">
        <v>4307</v>
      </c>
      <c r="H3259" s="24">
        <v>47118</v>
      </c>
      <c r="I3259" s="24">
        <v>47118</v>
      </c>
      <c r="J3259" s="23" t="s">
        <v>4308</v>
      </c>
      <c r="K3259" s="23" t="s">
        <v>4308</v>
      </c>
      <c r="L3259" s="23">
        <v>1</v>
      </c>
      <c r="M3259" s="23" t="s">
        <v>78</v>
      </c>
      <c r="N3259" s="23" t="s">
        <v>78</v>
      </c>
      <c r="O3259" s="23">
        <v>258.77</v>
      </c>
      <c r="P3259" s="23" t="s">
        <v>79</v>
      </c>
      <c r="Q3259" s="23" t="s">
        <v>83</v>
      </c>
      <c r="S3259" s="24">
        <v>46094</v>
      </c>
      <c r="T3259" s="24">
        <v>46086</v>
      </c>
      <c r="U3259" s="24" t="s">
        <v>80</v>
      </c>
      <c r="X3259" s="24">
        <v>46084</v>
      </c>
      <c r="Y3259" s="23">
        <v>1111</v>
      </c>
      <c r="Z3259" s="23">
        <v>11400704</v>
      </c>
      <c r="AA3259" s="23">
        <v>335103</v>
      </c>
      <c r="AB3259" s="24">
        <v>46084</v>
      </c>
    </row>
    <row r="3260" spans="2:28" x14ac:dyDescent="0.2">
      <c r="C3260" s="23">
        <v>1100578779</v>
      </c>
      <c r="E3260" s="23">
        <v>20</v>
      </c>
      <c r="F3260" s="23" t="s">
        <v>1140</v>
      </c>
      <c r="G3260" s="23" t="s">
        <v>1141</v>
      </c>
      <c r="H3260" s="24">
        <v>47118</v>
      </c>
      <c r="I3260" s="24">
        <v>47118</v>
      </c>
      <c r="J3260" s="23" t="s">
        <v>4308</v>
      </c>
      <c r="K3260" s="23" t="s">
        <v>4308</v>
      </c>
      <c r="L3260" s="23">
        <v>2</v>
      </c>
      <c r="M3260" s="23" t="s">
        <v>78</v>
      </c>
      <c r="N3260" s="23" t="s">
        <v>78</v>
      </c>
      <c r="O3260" s="23">
        <v>802.64</v>
      </c>
      <c r="P3260" s="23" t="s">
        <v>79</v>
      </c>
      <c r="Q3260" s="23" t="s">
        <v>83</v>
      </c>
      <c r="S3260" s="24">
        <v>46094</v>
      </c>
      <c r="T3260" s="24">
        <v>46086</v>
      </c>
      <c r="U3260" s="24" t="s">
        <v>80</v>
      </c>
      <c r="X3260" s="24">
        <v>46084</v>
      </c>
      <c r="Y3260" s="23">
        <v>1111</v>
      </c>
      <c r="Z3260" s="23">
        <v>11400704</v>
      </c>
      <c r="AA3260" s="23">
        <v>335103</v>
      </c>
      <c r="AB3260" s="24">
        <v>46084</v>
      </c>
    </row>
    <row r="3261" spans="2:28" x14ac:dyDescent="0.2">
      <c r="C3261" s="23">
        <v>1100578779</v>
      </c>
      <c r="E3261" s="23">
        <v>30</v>
      </c>
      <c r="F3261" s="23" t="s">
        <v>1933</v>
      </c>
      <c r="G3261" s="23" t="s">
        <v>1934</v>
      </c>
      <c r="H3261" s="24">
        <v>47118</v>
      </c>
      <c r="I3261" s="24">
        <v>47118</v>
      </c>
      <c r="J3261" s="23" t="s">
        <v>4308</v>
      </c>
      <c r="K3261" s="23" t="s">
        <v>4308</v>
      </c>
      <c r="L3261" s="23">
        <v>1</v>
      </c>
      <c r="M3261" s="23" t="s">
        <v>78</v>
      </c>
      <c r="N3261" s="23" t="s">
        <v>78</v>
      </c>
      <c r="O3261" s="23">
        <v>317.99</v>
      </c>
      <c r="P3261" s="23" t="s">
        <v>79</v>
      </c>
      <c r="Q3261" s="23" t="s">
        <v>83</v>
      </c>
      <c r="S3261" s="24">
        <v>46108</v>
      </c>
      <c r="T3261" s="24">
        <v>46086</v>
      </c>
      <c r="U3261" s="24" t="s">
        <v>80</v>
      </c>
      <c r="X3261" s="24">
        <v>46084</v>
      </c>
      <c r="Y3261" s="23">
        <v>1111</v>
      </c>
      <c r="Z3261" s="23">
        <v>11400704</v>
      </c>
      <c r="AA3261" s="23">
        <v>335103</v>
      </c>
      <c r="AB3261" s="24">
        <v>46084</v>
      </c>
    </row>
    <row r="3262" spans="2:28" x14ac:dyDescent="0.2">
      <c r="C3262" s="23">
        <v>1100578779</v>
      </c>
      <c r="E3262" s="23">
        <v>40</v>
      </c>
      <c r="F3262" s="23" t="s">
        <v>2919</v>
      </c>
      <c r="G3262" s="23" t="s">
        <v>2920</v>
      </c>
      <c r="H3262" s="24">
        <v>47118</v>
      </c>
      <c r="I3262" s="24">
        <v>47118</v>
      </c>
      <c r="J3262" s="23" t="s">
        <v>4308</v>
      </c>
      <c r="K3262" s="23" t="s">
        <v>4308</v>
      </c>
      <c r="L3262" s="23">
        <v>2</v>
      </c>
      <c r="M3262" s="23" t="s">
        <v>78</v>
      </c>
      <c r="N3262" s="23" t="s">
        <v>78</v>
      </c>
      <c r="O3262" s="23">
        <v>210.52</v>
      </c>
      <c r="P3262" s="23" t="s">
        <v>79</v>
      </c>
      <c r="Q3262" s="23" t="s">
        <v>83</v>
      </c>
      <c r="S3262" s="24">
        <v>46094</v>
      </c>
      <c r="T3262" s="24">
        <v>46086</v>
      </c>
      <c r="U3262" s="24" t="s">
        <v>80</v>
      </c>
      <c r="X3262" s="24">
        <v>46084</v>
      </c>
      <c r="Y3262" s="23">
        <v>1111</v>
      </c>
      <c r="Z3262" s="23">
        <v>11400704</v>
      </c>
      <c r="AA3262" s="23">
        <v>335103</v>
      </c>
      <c r="AB3262" s="24">
        <v>46084</v>
      </c>
    </row>
    <row r="3263" spans="2:28" x14ac:dyDescent="0.2">
      <c r="C3263" s="23">
        <v>1100578779</v>
      </c>
      <c r="E3263" s="23">
        <v>50</v>
      </c>
      <c r="F3263" s="23" t="s">
        <v>2868</v>
      </c>
      <c r="G3263" s="23" t="s">
        <v>2869</v>
      </c>
      <c r="H3263" s="24">
        <v>47118</v>
      </c>
      <c r="I3263" s="24">
        <v>47118</v>
      </c>
      <c r="J3263" s="23" t="s">
        <v>4308</v>
      </c>
      <c r="K3263" s="23" t="s">
        <v>4308</v>
      </c>
      <c r="L3263" s="23">
        <v>20</v>
      </c>
      <c r="M3263" s="23" t="s">
        <v>78</v>
      </c>
      <c r="N3263" s="23" t="s">
        <v>78</v>
      </c>
      <c r="O3263" s="23">
        <v>285</v>
      </c>
      <c r="P3263" s="23" t="s">
        <v>79</v>
      </c>
      <c r="Q3263" s="23" t="s">
        <v>83</v>
      </c>
      <c r="S3263" s="24">
        <v>46108</v>
      </c>
      <c r="T3263" s="24">
        <v>46086</v>
      </c>
      <c r="U3263" s="24" t="s">
        <v>80</v>
      </c>
      <c r="X3263" s="24">
        <v>46084</v>
      </c>
      <c r="Y3263" s="23">
        <v>1111</v>
      </c>
      <c r="Z3263" s="23">
        <v>11400704</v>
      </c>
      <c r="AA3263" s="23">
        <v>335103</v>
      </c>
      <c r="AB3263" s="24">
        <v>46084</v>
      </c>
    </row>
    <row r="3264" spans="2:28" x14ac:dyDescent="0.2">
      <c r="C3264" s="23">
        <v>1100578779</v>
      </c>
      <c r="E3264" s="23">
        <v>60</v>
      </c>
      <c r="F3264" s="23" t="s">
        <v>4309</v>
      </c>
      <c r="G3264" s="23" t="s">
        <v>4310</v>
      </c>
      <c r="H3264" s="24">
        <v>47118</v>
      </c>
      <c r="I3264" s="24">
        <v>47118</v>
      </c>
      <c r="J3264" s="23" t="s">
        <v>4308</v>
      </c>
      <c r="K3264" s="23" t="s">
        <v>4308</v>
      </c>
      <c r="L3264" s="23">
        <v>1</v>
      </c>
      <c r="M3264" s="23" t="s">
        <v>78</v>
      </c>
      <c r="N3264" s="23" t="s">
        <v>78</v>
      </c>
      <c r="O3264" s="23">
        <v>226.98</v>
      </c>
      <c r="P3264" s="23" t="s">
        <v>79</v>
      </c>
      <c r="Q3264" s="23" t="s">
        <v>83</v>
      </c>
      <c r="S3264" s="24">
        <v>46108</v>
      </c>
      <c r="T3264" s="24">
        <v>46086</v>
      </c>
      <c r="U3264" s="24" t="s">
        <v>80</v>
      </c>
      <c r="X3264" s="24">
        <v>46084</v>
      </c>
      <c r="Y3264" s="23">
        <v>1111</v>
      </c>
      <c r="Z3264" s="23">
        <v>11400704</v>
      </c>
      <c r="AA3264" s="23">
        <v>335103</v>
      </c>
      <c r="AB3264" s="24">
        <v>46084</v>
      </c>
    </row>
    <row r="3265" spans="2:28" x14ac:dyDescent="0.2">
      <c r="C3265" s="23">
        <v>1100578779</v>
      </c>
      <c r="E3265" s="23">
        <v>70</v>
      </c>
      <c r="F3265" s="23" t="s">
        <v>676</v>
      </c>
      <c r="G3265" s="23" t="s">
        <v>677</v>
      </c>
      <c r="H3265" s="24">
        <v>47118</v>
      </c>
      <c r="I3265" s="24">
        <v>47118</v>
      </c>
      <c r="J3265" s="23" t="s">
        <v>4308</v>
      </c>
      <c r="K3265" s="23" t="s">
        <v>4308</v>
      </c>
      <c r="L3265" s="23">
        <v>1</v>
      </c>
      <c r="M3265" s="23" t="s">
        <v>78</v>
      </c>
      <c r="N3265" s="23" t="s">
        <v>78</v>
      </c>
      <c r="O3265" s="23">
        <v>145.69</v>
      </c>
      <c r="P3265" s="23" t="s">
        <v>79</v>
      </c>
      <c r="Q3265" s="23" t="s">
        <v>83</v>
      </c>
      <c r="S3265" s="24">
        <v>46094</v>
      </c>
      <c r="T3265" s="24">
        <v>46086</v>
      </c>
      <c r="U3265" s="24" t="s">
        <v>80</v>
      </c>
      <c r="X3265" s="24">
        <v>46084</v>
      </c>
      <c r="Y3265" s="23">
        <v>1111</v>
      </c>
      <c r="Z3265" s="23">
        <v>11400704</v>
      </c>
      <c r="AA3265" s="23">
        <v>335103</v>
      </c>
      <c r="AB3265" s="24">
        <v>46084</v>
      </c>
    </row>
    <row r="3266" spans="2:28" x14ac:dyDescent="0.2">
      <c r="C3266" s="23">
        <v>1100578779</v>
      </c>
      <c r="E3266" s="23">
        <v>80</v>
      </c>
      <c r="F3266" s="23" t="s">
        <v>4311</v>
      </c>
      <c r="G3266" s="23" t="s">
        <v>4312</v>
      </c>
      <c r="H3266" s="24">
        <v>47118</v>
      </c>
      <c r="I3266" s="24">
        <v>47118</v>
      </c>
      <c r="J3266" s="23" t="s">
        <v>4308</v>
      </c>
      <c r="K3266" s="23" t="s">
        <v>4308</v>
      </c>
      <c r="L3266" s="23">
        <v>1</v>
      </c>
      <c r="M3266" s="23" t="s">
        <v>566</v>
      </c>
      <c r="N3266" s="23" t="s">
        <v>566</v>
      </c>
      <c r="O3266" s="23">
        <v>4845.43</v>
      </c>
      <c r="P3266" s="23" t="s">
        <v>79</v>
      </c>
      <c r="Q3266" s="23" t="s">
        <v>83</v>
      </c>
      <c r="S3266" s="24">
        <v>46171</v>
      </c>
      <c r="T3266" s="24">
        <v>46086</v>
      </c>
      <c r="U3266" s="24" t="s">
        <v>80</v>
      </c>
      <c r="X3266" s="24">
        <v>46084</v>
      </c>
      <c r="Y3266" s="23">
        <v>1111</v>
      </c>
      <c r="Z3266" s="23">
        <v>11400704</v>
      </c>
      <c r="AA3266" s="23">
        <v>335103</v>
      </c>
      <c r="AB3266" s="24">
        <v>46084</v>
      </c>
    </row>
    <row r="3267" spans="2:28" x14ac:dyDescent="0.2">
      <c r="C3267" s="23">
        <v>1100578779</v>
      </c>
      <c r="E3267" s="23">
        <v>90</v>
      </c>
      <c r="F3267" s="23" t="s">
        <v>4313</v>
      </c>
      <c r="G3267" s="23" t="s">
        <v>4314</v>
      </c>
      <c r="H3267" s="24">
        <v>47118</v>
      </c>
      <c r="I3267" s="24">
        <v>47118</v>
      </c>
      <c r="J3267" s="23" t="s">
        <v>4308</v>
      </c>
      <c r="K3267" s="23" t="s">
        <v>4308</v>
      </c>
      <c r="L3267" s="23">
        <v>1</v>
      </c>
      <c r="M3267" s="23" t="s">
        <v>78</v>
      </c>
      <c r="N3267" s="23" t="s">
        <v>78</v>
      </c>
      <c r="O3267" s="23">
        <v>229.17</v>
      </c>
      <c r="P3267" s="23" t="s">
        <v>79</v>
      </c>
      <c r="Q3267" s="23" t="s">
        <v>83</v>
      </c>
      <c r="S3267" s="24">
        <v>46094</v>
      </c>
      <c r="T3267" s="24">
        <v>46086</v>
      </c>
      <c r="U3267" s="24" t="s">
        <v>80</v>
      </c>
      <c r="X3267" s="24">
        <v>46084</v>
      </c>
      <c r="Y3267" s="23">
        <v>1111</v>
      </c>
      <c r="Z3267" s="23">
        <v>11400704</v>
      </c>
      <c r="AA3267" s="23">
        <v>335103</v>
      </c>
      <c r="AB3267" s="24">
        <v>46084</v>
      </c>
    </row>
    <row r="3268" spans="2:28" x14ac:dyDescent="0.2">
      <c r="C3268" s="23">
        <v>1100578779</v>
      </c>
      <c r="E3268" s="23">
        <v>100</v>
      </c>
      <c r="F3268" s="23" t="s">
        <v>4315</v>
      </c>
      <c r="G3268" s="23" t="s">
        <v>4316</v>
      </c>
      <c r="H3268" s="24">
        <v>47118</v>
      </c>
      <c r="I3268" s="24">
        <v>47118</v>
      </c>
      <c r="J3268" s="23" t="s">
        <v>4308</v>
      </c>
      <c r="K3268" s="23" t="s">
        <v>4308</v>
      </c>
      <c r="L3268" s="23">
        <v>1</v>
      </c>
      <c r="M3268" s="23" t="s">
        <v>78</v>
      </c>
      <c r="N3268" s="23" t="s">
        <v>78</v>
      </c>
      <c r="O3268" s="23">
        <v>65.790000000000006</v>
      </c>
      <c r="P3268" s="23" t="s">
        <v>79</v>
      </c>
      <c r="Q3268" s="23" t="s">
        <v>83</v>
      </c>
      <c r="S3268" s="24">
        <v>46094</v>
      </c>
      <c r="T3268" s="24">
        <v>46086</v>
      </c>
      <c r="U3268" s="24" t="s">
        <v>80</v>
      </c>
      <c r="X3268" s="24">
        <v>46084</v>
      </c>
      <c r="Y3268" s="23">
        <v>1111</v>
      </c>
      <c r="Z3268" s="23">
        <v>11400704</v>
      </c>
      <c r="AA3268" s="23">
        <v>335103</v>
      </c>
      <c r="AB3268" s="24">
        <v>46084</v>
      </c>
    </row>
    <row r="3269" spans="2:28" x14ac:dyDescent="0.2">
      <c r="C3269" s="23">
        <v>1100578779</v>
      </c>
      <c r="E3269" s="23">
        <v>110</v>
      </c>
      <c r="F3269" s="23" t="s">
        <v>2164</v>
      </c>
      <c r="G3269" s="23" t="s">
        <v>2165</v>
      </c>
      <c r="H3269" s="24">
        <v>47118</v>
      </c>
      <c r="I3269" s="24">
        <v>47118</v>
      </c>
      <c r="J3269" s="23" t="s">
        <v>4308</v>
      </c>
      <c r="K3269" s="23" t="s">
        <v>4308</v>
      </c>
      <c r="L3269" s="23">
        <v>1</v>
      </c>
      <c r="M3269" s="23" t="s">
        <v>78</v>
      </c>
      <c r="N3269" s="23" t="s">
        <v>78</v>
      </c>
      <c r="O3269" s="23">
        <v>118.26</v>
      </c>
      <c r="P3269" s="23" t="s">
        <v>79</v>
      </c>
      <c r="Q3269" s="23" t="s">
        <v>83</v>
      </c>
      <c r="S3269" s="24">
        <v>46094</v>
      </c>
      <c r="T3269" s="24">
        <v>46086</v>
      </c>
      <c r="U3269" s="24" t="s">
        <v>80</v>
      </c>
      <c r="X3269" s="24">
        <v>46084</v>
      </c>
      <c r="Y3269" s="23">
        <v>1111</v>
      </c>
      <c r="Z3269" s="23">
        <v>11400704</v>
      </c>
      <c r="AA3269" s="23">
        <v>335103</v>
      </c>
      <c r="AB3269" s="24">
        <v>46084</v>
      </c>
    </row>
    <row r="3270" spans="2:28" x14ac:dyDescent="0.2">
      <c r="C3270" s="23">
        <v>1100578779</v>
      </c>
      <c r="E3270" s="23">
        <v>120</v>
      </c>
      <c r="F3270" s="23" t="s">
        <v>4317</v>
      </c>
      <c r="G3270" s="23" t="s">
        <v>4318</v>
      </c>
      <c r="H3270" s="24">
        <v>47118</v>
      </c>
      <c r="I3270" s="24">
        <v>47118</v>
      </c>
      <c r="J3270" s="23" t="s">
        <v>4308</v>
      </c>
      <c r="K3270" s="23" t="s">
        <v>4308</v>
      </c>
      <c r="L3270" s="23">
        <v>2</v>
      </c>
      <c r="M3270" s="23" t="s">
        <v>78</v>
      </c>
      <c r="N3270" s="23" t="s">
        <v>78</v>
      </c>
      <c r="O3270" s="23">
        <v>109.66</v>
      </c>
      <c r="P3270" s="23" t="s">
        <v>79</v>
      </c>
      <c r="Q3270" s="23" t="s">
        <v>83</v>
      </c>
      <c r="S3270" s="24">
        <v>46094</v>
      </c>
      <c r="T3270" s="24">
        <v>46086</v>
      </c>
      <c r="U3270" s="24" t="s">
        <v>80</v>
      </c>
      <c r="X3270" s="24">
        <v>46084</v>
      </c>
      <c r="Y3270" s="23">
        <v>1111</v>
      </c>
      <c r="Z3270" s="23">
        <v>11400704</v>
      </c>
      <c r="AA3270" s="23">
        <v>335103</v>
      </c>
      <c r="AB3270" s="24">
        <v>46084</v>
      </c>
    </row>
    <row r="3271" spans="2:28" x14ac:dyDescent="0.2">
      <c r="C3271" s="23">
        <v>1100578779</v>
      </c>
      <c r="E3271" s="23">
        <v>130</v>
      </c>
      <c r="F3271" s="23" t="s">
        <v>4319</v>
      </c>
      <c r="G3271" s="23" t="s">
        <v>4320</v>
      </c>
      <c r="H3271" s="24">
        <v>47118</v>
      </c>
      <c r="I3271" s="24">
        <v>47118</v>
      </c>
      <c r="J3271" s="23" t="s">
        <v>4308</v>
      </c>
      <c r="K3271" s="23" t="s">
        <v>4308</v>
      </c>
      <c r="L3271" s="23">
        <v>2</v>
      </c>
      <c r="M3271" s="23" t="s">
        <v>78</v>
      </c>
      <c r="N3271" s="23" t="s">
        <v>78</v>
      </c>
      <c r="O3271" s="23">
        <v>59.22</v>
      </c>
      <c r="P3271" s="23" t="s">
        <v>79</v>
      </c>
      <c r="Q3271" s="23" t="s">
        <v>83</v>
      </c>
      <c r="S3271" s="24">
        <v>46094</v>
      </c>
      <c r="T3271" s="24">
        <v>46086</v>
      </c>
      <c r="U3271" s="24" t="s">
        <v>80</v>
      </c>
      <c r="X3271" s="24">
        <v>46084</v>
      </c>
      <c r="Y3271" s="23">
        <v>1111</v>
      </c>
      <c r="Z3271" s="23">
        <v>11400704</v>
      </c>
      <c r="AA3271" s="23">
        <v>335103</v>
      </c>
      <c r="AB3271" s="24">
        <v>46084</v>
      </c>
    </row>
    <row r="3272" spans="2:28" x14ac:dyDescent="0.2">
      <c r="C3272" s="23">
        <v>1100578779</v>
      </c>
      <c r="E3272" s="23">
        <v>140</v>
      </c>
      <c r="F3272" s="23" t="s">
        <v>2761</v>
      </c>
      <c r="G3272" s="23" t="s">
        <v>2762</v>
      </c>
      <c r="H3272" s="24">
        <v>47118</v>
      </c>
      <c r="I3272" s="24">
        <v>47118</v>
      </c>
      <c r="J3272" s="23" t="s">
        <v>4308</v>
      </c>
      <c r="K3272" s="23" t="s">
        <v>4308</v>
      </c>
      <c r="L3272" s="23">
        <v>1</v>
      </c>
      <c r="M3272" s="23" t="s">
        <v>78</v>
      </c>
      <c r="N3272" s="23" t="s">
        <v>78</v>
      </c>
      <c r="O3272" s="23">
        <v>498.91</v>
      </c>
      <c r="P3272" s="23" t="s">
        <v>79</v>
      </c>
      <c r="Q3272" s="23" t="s">
        <v>83</v>
      </c>
      <c r="S3272" s="24" t="s">
        <v>80</v>
      </c>
      <c r="T3272" s="24">
        <v>46086</v>
      </c>
      <c r="U3272" s="24" t="s">
        <v>80</v>
      </c>
      <c r="X3272" s="24">
        <v>46084</v>
      </c>
      <c r="Y3272" s="23">
        <v>1111</v>
      </c>
      <c r="Z3272" s="23">
        <v>11400704</v>
      </c>
      <c r="AA3272" s="23">
        <v>335103</v>
      </c>
      <c r="AB3272" s="24">
        <v>46084</v>
      </c>
    </row>
    <row r="3273" spans="2:28" x14ac:dyDescent="0.2">
      <c r="C3273" s="23">
        <v>1100578779</v>
      </c>
      <c r="E3273" s="23">
        <v>150</v>
      </c>
      <c r="F3273" s="23" t="s">
        <v>82</v>
      </c>
      <c r="G3273" s="23" t="s">
        <v>139</v>
      </c>
      <c r="H3273" s="24">
        <v>47118</v>
      </c>
      <c r="I3273" s="24">
        <v>47118</v>
      </c>
      <c r="J3273" s="23" t="s">
        <v>4308</v>
      </c>
      <c r="K3273" s="23" t="s">
        <v>4308</v>
      </c>
      <c r="L3273" s="23">
        <v>1</v>
      </c>
      <c r="M3273" s="23" t="s">
        <v>78</v>
      </c>
      <c r="N3273" s="23" t="s">
        <v>78</v>
      </c>
      <c r="O3273" s="23">
        <v>0.01</v>
      </c>
      <c r="P3273" s="23" t="s">
        <v>79</v>
      </c>
      <c r="Q3273" s="23" t="s">
        <v>83</v>
      </c>
      <c r="S3273" s="24" t="s">
        <v>80</v>
      </c>
      <c r="T3273" s="24">
        <v>46086</v>
      </c>
      <c r="U3273" s="24" t="s">
        <v>80</v>
      </c>
      <c r="X3273" s="24">
        <v>46084</v>
      </c>
      <c r="Y3273" s="23">
        <v>1111</v>
      </c>
      <c r="Z3273" s="23">
        <v>11400704</v>
      </c>
      <c r="AA3273" s="23">
        <v>335103</v>
      </c>
      <c r="AB3273" s="24">
        <v>46084</v>
      </c>
    </row>
    <row r="3274" spans="2:28" x14ac:dyDescent="0.2">
      <c r="B3274" s="23" t="s">
        <v>81</v>
      </c>
      <c r="C3274" s="23">
        <v>1100578779</v>
      </c>
      <c r="H3274" s="24">
        <v>47118</v>
      </c>
      <c r="O3274" s="23">
        <v>8174.04</v>
      </c>
      <c r="P3274" s="23" t="s">
        <v>79</v>
      </c>
    </row>
    <row r="3275" spans="2:28" x14ac:dyDescent="0.2">
      <c r="C3275" s="23">
        <v>1100578781</v>
      </c>
      <c r="E3275" s="23">
        <v>10</v>
      </c>
      <c r="F3275" s="23" t="s">
        <v>4321</v>
      </c>
      <c r="G3275" s="23" t="s">
        <v>4322</v>
      </c>
      <c r="H3275" s="24">
        <v>47118</v>
      </c>
      <c r="I3275" s="24">
        <v>47118</v>
      </c>
      <c r="J3275" s="23" t="s">
        <v>968</v>
      </c>
      <c r="K3275" s="23" t="s">
        <v>968</v>
      </c>
      <c r="L3275" s="23">
        <v>1</v>
      </c>
      <c r="M3275" s="23" t="s">
        <v>78</v>
      </c>
      <c r="N3275" s="23" t="s">
        <v>78</v>
      </c>
      <c r="O3275" s="23">
        <v>936.75</v>
      </c>
      <c r="P3275" s="23" t="s">
        <v>79</v>
      </c>
      <c r="Q3275" s="23" t="s">
        <v>83</v>
      </c>
      <c r="S3275" s="24">
        <v>46191</v>
      </c>
      <c r="T3275" s="24">
        <v>46087</v>
      </c>
      <c r="U3275" s="24" t="s">
        <v>80</v>
      </c>
      <c r="X3275" s="24">
        <v>46084</v>
      </c>
      <c r="Y3275" s="23">
        <v>1111</v>
      </c>
      <c r="Z3275" s="23">
        <v>11400745</v>
      </c>
      <c r="AA3275" s="23">
        <v>335103</v>
      </c>
      <c r="AB3275" s="24">
        <v>46084</v>
      </c>
    </row>
    <row r="3276" spans="2:28" x14ac:dyDescent="0.2">
      <c r="C3276" s="23">
        <v>1100578781</v>
      </c>
      <c r="E3276" s="23">
        <v>20</v>
      </c>
      <c r="F3276" s="23" t="s">
        <v>82</v>
      </c>
      <c r="G3276" s="23" t="s">
        <v>139</v>
      </c>
      <c r="H3276" s="24">
        <v>47118</v>
      </c>
      <c r="I3276" s="24">
        <v>47118</v>
      </c>
      <c r="J3276" s="23" t="s">
        <v>968</v>
      </c>
      <c r="K3276" s="23" t="s">
        <v>968</v>
      </c>
      <c r="L3276" s="23">
        <v>1</v>
      </c>
      <c r="M3276" s="23" t="s">
        <v>78</v>
      </c>
      <c r="N3276" s="23" t="s">
        <v>78</v>
      </c>
      <c r="O3276" s="23">
        <v>0.01</v>
      </c>
      <c r="P3276" s="23" t="s">
        <v>79</v>
      </c>
      <c r="Q3276" s="23" t="s">
        <v>83</v>
      </c>
      <c r="S3276" s="24" t="s">
        <v>80</v>
      </c>
      <c r="T3276" s="24">
        <v>46087</v>
      </c>
      <c r="U3276" s="24" t="s">
        <v>80</v>
      </c>
      <c r="X3276" s="24">
        <v>46084</v>
      </c>
      <c r="Y3276" s="23">
        <v>1111</v>
      </c>
      <c r="Z3276" s="23">
        <v>11400745</v>
      </c>
      <c r="AA3276" s="23">
        <v>335103</v>
      </c>
      <c r="AB3276" s="24">
        <v>46084</v>
      </c>
    </row>
    <row r="3277" spans="2:28" x14ac:dyDescent="0.2">
      <c r="B3277" s="23" t="s">
        <v>81</v>
      </c>
      <c r="C3277" s="23">
        <v>1100578781</v>
      </c>
      <c r="H3277" s="24">
        <v>47118</v>
      </c>
      <c r="O3277" s="23">
        <v>936.76</v>
      </c>
      <c r="P3277" s="23" t="s">
        <v>79</v>
      </c>
    </row>
    <row r="3278" spans="2:28" x14ac:dyDescent="0.2">
      <c r="C3278" s="23">
        <v>1100578782</v>
      </c>
      <c r="E3278" s="23">
        <v>10</v>
      </c>
      <c r="F3278" s="23" t="s">
        <v>2669</v>
      </c>
      <c r="G3278" s="23" t="s">
        <v>2670</v>
      </c>
      <c r="H3278" s="24">
        <v>47118</v>
      </c>
      <c r="I3278" s="24">
        <v>47118</v>
      </c>
      <c r="J3278" s="23" t="s">
        <v>741</v>
      </c>
      <c r="K3278" s="23" t="s">
        <v>741</v>
      </c>
      <c r="L3278" s="23">
        <v>6</v>
      </c>
      <c r="M3278" s="23" t="s">
        <v>78</v>
      </c>
      <c r="N3278" s="23" t="s">
        <v>78</v>
      </c>
      <c r="O3278" s="23">
        <v>1634.22</v>
      </c>
      <c r="P3278" s="23" t="s">
        <v>79</v>
      </c>
      <c r="Q3278" s="23" t="s">
        <v>83</v>
      </c>
      <c r="S3278" s="24">
        <v>46087</v>
      </c>
      <c r="T3278" s="24">
        <v>46087</v>
      </c>
      <c r="U3278" s="24" t="s">
        <v>80</v>
      </c>
      <c r="X3278" s="24">
        <v>46086</v>
      </c>
      <c r="Y3278" s="23">
        <v>1111</v>
      </c>
      <c r="Z3278" s="23">
        <v>11400745</v>
      </c>
      <c r="AA3278" s="23">
        <v>335103</v>
      </c>
      <c r="AB3278" s="24">
        <v>46086</v>
      </c>
    </row>
    <row r="3279" spans="2:28" x14ac:dyDescent="0.2">
      <c r="C3279" s="23">
        <v>1100578782</v>
      </c>
      <c r="E3279" s="23">
        <v>20</v>
      </c>
      <c r="F3279" s="23" t="s">
        <v>1076</v>
      </c>
      <c r="G3279" s="23" t="s">
        <v>1077</v>
      </c>
      <c r="H3279" s="24">
        <v>47118</v>
      </c>
      <c r="I3279" s="24">
        <v>47118</v>
      </c>
      <c r="J3279" s="23" t="s">
        <v>741</v>
      </c>
      <c r="K3279" s="23" t="s">
        <v>741</v>
      </c>
      <c r="L3279" s="23">
        <v>1</v>
      </c>
      <c r="M3279" s="23" t="s">
        <v>78</v>
      </c>
      <c r="N3279" s="23" t="s">
        <v>78</v>
      </c>
      <c r="O3279" s="23">
        <v>326</v>
      </c>
      <c r="P3279" s="23" t="s">
        <v>79</v>
      </c>
      <c r="Q3279" s="23" t="s">
        <v>83</v>
      </c>
      <c r="S3279" s="24" t="s">
        <v>80</v>
      </c>
      <c r="T3279" s="24">
        <v>46087</v>
      </c>
      <c r="U3279" s="24" t="s">
        <v>80</v>
      </c>
      <c r="X3279" s="24">
        <v>46086</v>
      </c>
      <c r="Y3279" s="23">
        <v>1111</v>
      </c>
      <c r="Z3279" s="23">
        <v>11400745</v>
      </c>
      <c r="AA3279" s="23">
        <v>335103</v>
      </c>
      <c r="AB3279" s="24">
        <v>46086</v>
      </c>
    </row>
    <row r="3280" spans="2:28" x14ac:dyDescent="0.2">
      <c r="C3280" s="23">
        <v>1100578782</v>
      </c>
      <c r="E3280" s="23">
        <v>30</v>
      </c>
      <c r="F3280" s="23" t="s">
        <v>82</v>
      </c>
      <c r="G3280" s="23" t="s">
        <v>139</v>
      </c>
      <c r="H3280" s="24">
        <v>47118</v>
      </c>
      <c r="I3280" s="24">
        <v>47118</v>
      </c>
      <c r="J3280" s="23" t="s">
        <v>741</v>
      </c>
      <c r="K3280" s="23" t="s">
        <v>741</v>
      </c>
      <c r="L3280" s="23">
        <v>1</v>
      </c>
      <c r="M3280" s="23" t="s">
        <v>78</v>
      </c>
      <c r="N3280" s="23" t="s">
        <v>78</v>
      </c>
      <c r="O3280" s="23">
        <v>0.01</v>
      </c>
      <c r="P3280" s="23" t="s">
        <v>79</v>
      </c>
      <c r="Q3280" s="23" t="s">
        <v>83</v>
      </c>
      <c r="S3280" s="24" t="s">
        <v>80</v>
      </c>
      <c r="T3280" s="24">
        <v>46087</v>
      </c>
      <c r="U3280" s="24" t="s">
        <v>80</v>
      </c>
      <c r="X3280" s="24">
        <v>46086</v>
      </c>
      <c r="Y3280" s="23">
        <v>1111</v>
      </c>
      <c r="Z3280" s="23">
        <v>11400745</v>
      </c>
      <c r="AA3280" s="23">
        <v>335103</v>
      </c>
      <c r="AB3280" s="24">
        <v>46086</v>
      </c>
    </row>
    <row r="3281" spans="2:28" x14ac:dyDescent="0.2">
      <c r="B3281" s="23" t="s">
        <v>81</v>
      </c>
      <c r="C3281" s="23">
        <v>1100578782</v>
      </c>
      <c r="H3281" s="24">
        <v>47118</v>
      </c>
      <c r="O3281" s="23">
        <v>1960.23</v>
      </c>
      <c r="P3281" s="23" t="s">
        <v>79</v>
      </c>
    </row>
    <row r="3282" spans="2:28" x14ac:dyDescent="0.2">
      <c r="C3282" s="23">
        <v>1100578783</v>
      </c>
      <c r="E3282" s="23">
        <v>10</v>
      </c>
      <c r="F3282" s="23" t="s">
        <v>759</v>
      </c>
      <c r="G3282" s="23" t="s">
        <v>1911</v>
      </c>
      <c r="H3282" s="24">
        <v>47118</v>
      </c>
      <c r="I3282" s="24">
        <v>47118</v>
      </c>
      <c r="J3282" s="23" t="s">
        <v>4323</v>
      </c>
      <c r="K3282" s="23" t="s">
        <v>4323</v>
      </c>
      <c r="L3282" s="23">
        <v>8</v>
      </c>
      <c r="M3282" s="23" t="s">
        <v>78</v>
      </c>
      <c r="N3282" s="23" t="s">
        <v>78</v>
      </c>
      <c r="O3282" s="23">
        <v>1157.92</v>
      </c>
      <c r="P3282" s="23" t="s">
        <v>79</v>
      </c>
      <c r="Q3282" s="23" t="s">
        <v>83</v>
      </c>
      <c r="S3282" s="24" t="s">
        <v>80</v>
      </c>
      <c r="T3282" s="24">
        <v>46087</v>
      </c>
      <c r="U3282" s="24" t="s">
        <v>80</v>
      </c>
      <c r="X3282" s="24">
        <v>46086</v>
      </c>
      <c r="Y3282" s="23">
        <v>1111</v>
      </c>
      <c r="Z3282" s="23">
        <v>11400745</v>
      </c>
      <c r="AA3282" s="23">
        <v>335103</v>
      </c>
      <c r="AB3282" s="24">
        <v>46086</v>
      </c>
    </row>
    <row r="3283" spans="2:28" x14ac:dyDescent="0.2">
      <c r="C3283" s="23">
        <v>1100578783</v>
      </c>
      <c r="E3283" s="23">
        <v>20</v>
      </c>
      <c r="F3283" s="23" t="s">
        <v>799</v>
      </c>
      <c r="G3283" s="23" t="s">
        <v>1840</v>
      </c>
      <c r="H3283" s="24">
        <v>47118</v>
      </c>
      <c r="I3283" s="24">
        <v>47118</v>
      </c>
      <c r="J3283" s="23" t="s">
        <v>4323</v>
      </c>
      <c r="K3283" s="23" t="s">
        <v>4323</v>
      </c>
      <c r="L3283" s="23">
        <v>16</v>
      </c>
      <c r="M3283" s="23" t="s">
        <v>78</v>
      </c>
      <c r="N3283" s="23" t="s">
        <v>78</v>
      </c>
      <c r="O3283" s="23">
        <v>2315.84</v>
      </c>
      <c r="P3283" s="23" t="s">
        <v>79</v>
      </c>
      <c r="Q3283" s="23" t="s">
        <v>83</v>
      </c>
      <c r="S3283" s="24" t="s">
        <v>80</v>
      </c>
      <c r="T3283" s="24">
        <v>46087</v>
      </c>
      <c r="U3283" s="24" t="s">
        <v>80</v>
      </c>
      <c r="X3283" s="24">
        <v>46086</v>
      </c>
      <c r="Y3283" s="23">
        <v>1111</v>
      </c>
      <c r="Z3283" s="23">
        <v>11400745</v>
      </c>
      <c r="AA3283" s="23">
        <v>335103</v>
      </c>
      <c r="AB3283" s="24">
        <v>46086</v>
      </c>
    </row>
    <row r="3284" spans="2:28" x14ac:dyDescent="0.2">
      <c r="C3284" s="23">
        <v>1100578783</v>
      </c>
      <c r="E3284" s="23">
        <v>30</v>
      </c>
      <c r="F3284" s="23" t="s">
        <v>1076</v>
      </c>
      <c r="G3284" s="23" t="s">
        <v>1077</v>
      </c>
      <c r="H3284" s="24">
        <v>47118</v>
      </c>
      <c r="I3284" s="24">
        <v>47118</v>
      </c>
      <c r="J3284" s="23" t="s">
        <v>4323</v>
      </c>
      <c r="K3284" s="23" t="s">
        <v>4323</v>
      </c>
      <c r="L3284" s="23">
        <v>1</v>
      </c>
      <c r="M3284" s="23" t="s">
        <v>78</v>
      </c>
      <c r="N3284" s="23" t="s">
        <v>78</v>
      </c>
      <c r="O3284" s="23">
        <v>695</v>
      </c>
      <c r="P3284" s="23" t="s">
        <v>79</v>
      </c>
      <c r="Q3284" s="23" t="s">
        <v>83</v>
      </c>
      <c r="S3284" s="24" t="s">
        <v>80</v>
      </c>
      <c r="T3284" s="24">
        <v>46087</v>
      </c>
      <c r="U3284" s="24" t="s">
        <v>80</v>
      </c>
      <c r="X3284" s="24">
        <v>46086</v>
      </c>
      <c r="Y3284" s="23">
        <v>1111</v>
      </c>
      <c r="Z3284" s="23">
        <v>11400745</v>
      </c>
      <c r="AA3284" s="23">
        <v>335103</v>
      </c>
      <c r="AB3284" s="24">
        <v>46086</v>
      </c>
    </row>
    <row r="3285" spans="2:28" x14ac:dyDescent="0.2">
      <c r="C3285" s="23">
        <v>1100578783</v>
      </c>
      <c r="E3285" s="23">
        <v>40</v>
      </c>
      <c r="F3285" s="23" t="s">
        <v>94</v>
      </c>
      <c r="G3285" s="23" t="s">
        <v>95</v>
      </c>
      <c r="H3285" s="24">
        <v>47118</v>
      </c>
      <c r="I3285" s="24">
        <v>47118</v>
      </c>
      <c r="J3285" s="23" t="s">
        <v>4323</v>
      </c>
      <c r="K3285" s="23" t="s">
        <v>4323</v>
      </c>
      <c r="L3285" s="23">
        <v>1</v>
      </c>
      <c r="M3285" s="23" t="s">
        <v>78</v>
      </c>
      <c r="N3285" s="23" t="s">
        <v>78</v>
      </c>
      <c r="O3285" s="23">
        <v>58</v>
      </c>
      <c r="P3285" s="23" t="s">
        <v>79</v>
      </c>
      <c r="Q3285" s="23" t="s">
        <v>83</v>
      </c>
      <c r="S3285" s="24" t="s">
        <v>80</v>
      </c>
      <c r="T3285" s="24">
        <v>46087</v>
      </c>
      <c r="U3285" s="24" t="s">
        <v>80</v>
      </c>
      <c r="X3285" s="24">
        <v>46086</v>
      </c>
      <c r="Y3285" s="23">
        <v>1111</v>
      </c>
      <c r="Z3285" s="23">
        <v>11400745</v>
      </c>
      <c r="AA3285" s="23">
        <v>335103</v>
      </c>
      <c r="AB3285" s="24">
        <v>46086</v>
      </c>
    </row>
    <row r="3286" spans="2:28" x14ac:dyDescent="0.2">
      <c r="B3286" s="23" t="s">
        <v>81</v>
      </c>
      <c r="C3286" s="23">
        <v>1100578783</v>
      </c>
      <c r="H3286" s="24">
        <v>47118</v>
      </c>
      <c r="O3286" s="23">
        <v>4226.76</v>
      </c>
      <c r="P3286" s="23" t="s">
        <v>79</v>
      </c>
    </row>
    <row r="3287" spans="2:28" x14ac:dyDescent="0.2">
      <c r="C3287" s="23">
        <v>1100572367</v>
      </c>
      <c r="E3287" s="23">
        <v>20</v>
      </c>
      <c r="F3287" s="23" t="s">
        <v>2293</v>
      </c>
      <c r="G3287" s="23" t="s">
        <v>2294</v>
      </c>
      <c r="H3287" s="24">
        <v>47483</v>
      </c>
      <c r="I3287" s="24">
        <v>47483</v>
      </c>
      <c r="J3287" s="23" t="s">
        <v>2295</v>
      </c>
      <c r="K3287" s="23" t="s">
        <v>2295</v>
      </c>
      <c r="L3287" s="23">
        <v>3</v>
      </c>
      <c r="M3287" s="23" t="s">
        <v>78</v>
      </c>
      <c r="N3287" s="23" t="s">
        <v>78</v>
      </c>
      <c r="O3287" s="23">
        <v>1243.26</v>
      </c>
      <c r="P3287" s="23" t="s">
        <v>79</v>
      </c>
      <c r="Q3287" s="23" t="s">
        <v>83</v>
      </c>
      <c r="R3287" s="23">
        <v>11100299</v>
      </c>
      <c r="S3287" s="24">
        <v>46049</v>
      </c>
      <c r="T3287" s="24">
        <v>46017</v>
      </c>
      <c r="U3287" s="24">
        <v>46028</v>
      </c>
      <c r="X3287" s="24">
        <v>45979</v>
      </c>
      <c r="Y3287" s="23">
        <v>1111</v>
      </c>
      <c r="Z3287" s="23">
        <v>11400704</v>
      </c>
      <c r="AA3287" s="23">
        <v>3951</v>
      </c>
      <c r="AB3287" s="24">
        <v>45975</v>
      </c>
    </row>
    <row r="3288" spans="2:28" x14ac:dyDescent="0.2">
      <c r="C3288" s="23">
        <v>1100572367</v>
      </c>
      <c r="E3288" s="23">
        <v>30</v>
      </c>
      <c r="F3288" s="23" t="s">
        <v>209</v>
      </c>
      <c r="G3288" s="23" t="s">
        <v>210</v>
      </c>
      <c r="H3288" s="24">
        <v>47483</v>
      </c>
      <c r="I3288" s="24">
        <v>47483</v>
      </c>
      <c r="J3288" s="23" t="s">
        <v>2295</v>
      </c>
      <c r="K3288" s="23" t="s">
        <v>2295</v>
      </c>
      <c r="L3288" s="23">
        <v>1</v>
      </c>
      <c r="M3288" s="23" t="s">
        <v>78</v>
      </c>
      <c r="N3288" s="23" t="s">
        <v>78</v>
      </c>
      <c r="O3288" s="23">
        <v>12.39</v>
      </c>
      <c r="P3288" s="23" t="s">
        <v>79</v>
      </c>
      <c r="Q3288" s="23" t="s">
        <v>83</v>
      </c>
      <c r="R3288" s="23">
        <v>11100299</v>
      </c>
      <c r="S3288" s="24" t="s">
        <v>80</v>
      </c>
      <c r="T3288" s="24">
        <v>46017</v>
      </c>
      <c r="U3288" s="24">
        <v>46021</v>
      </c>
      <c r="X3288" s="24">
        <v>45979</v>
      </c>
      <c r="Y3288" s="23">
        <v>1111</v>
      </c>
      <c r="Z3288" s="23">
        <v>11400704</v>
      </c>
      <c r="AA3288" s="23">
        <v>3951</v>
      </c>
      <c r="AB3288" s="24">
        <v>45975</v>
      </c>
    </row>
    <row r="3289" spans="2:28" x14ac:dyDescent="0.2">
      <c r="B3289" s="23" t="s">
        <v>81</v>
      </c>
      <c r="C3289" s="23">
        <v>1100572367</v>
      </c>
      <c r="H3289" s="24">
        <v>47483</v>
      </c>
      <c r="O3289" s="23">
        <v>1255.6500000000001</v>
      </c>
      <c r="P3289" s="23" t="s">
        <v>79</v>
      </c>
    </row>
    <row r="3290" spans="2:28" x14ac:dyDescent="0.2">
      <c r="C3290" s="23">
        <v>1100520513</v>
      </c>
      <c r="E3290" s="23">
        <v>10</v>
      </c>
      <c r="F3290" s="23" t="s">
        <v>216</v>
      </c>
      <c r="G3290" s="23" t="s">
        <v>232</v>
      </c>
      <c r="H3290" s="24">
        <v>47848</v>
      </c>
      <c r="I3290" s="24">
        <v>47537</v>
      </c>
      <c r="J3290" s="23" t="s">
        <v>98</v>
      </c>
      <c r="K3290" s="23" t="s">
        <v>98</v>
      </c>
      <c r="L3290" s="23">
        <v>4</v>
      </c>
      <c r="M3290" s="23" t="s">
        <v>78</v>
      </c>
      <c r="N3290" s="23" t="s">
        <v>78</v>
      </c>
      <c r="O3290" s="23">
        <v>0</v>
      </c>
      <c r="P3290" s="23" t="s">
        <v>79</v>
      </c>
      <c r="Q3290" s="23" t="s">
        <v>83</v>
      </c>
      <c r="R3290" s="23">
        <v>11100189</v>
      </c>
      <c r="S3290" s="24" t="s">
        <v>80</v>
      </c>
      <c r="T3290" s="24">
        <v>45345</v>
      </c>
      <c r="U3290" s="24">
        <v>46022</v>
      </c>
      <c r="X3290" s="24" t="s">
        <v>80</v>
      </c>
      <c r="Y3290" s="23">
        <v>1111</v>
      </c>
      <c r="Z3290" s="23">
        <v>11100042</v>
      </c>
      <c r="AA3290" s="23">
        <v>3153</v>
      </c>
      <c r="AB3290" s="24" t="s">
        <v>80</v>
      </c>
    </row>
    <row r="3291" spans="2:28" x14ac:dyDescent="0.2">
      <c r="C3291" s="23">
        <v>1100520513</v>
      </c>
      <c r="E3291" s="23">
        <v>30</v>
      </c>
      <c r="F3291" s="23" t="s">
        <v>216</v>
      </c>
      <c r="G3291" s="23" t="s">
        <v>232</v>
      </c>
      <c r="H3291" s="24">
        <v>47848</v>
      </c>
      <c r="I3291" s="24">
        <v>47537</v>
      </c>
      <c r="J3291" s="23" t="s">
        <v>98</v>
      </c>
      <c r="K3291" s="23" t="s">
        <v>98</v>
      </c>
      <c r="L3291" s="23">
        <v>4</v>
      </c>
      <c r="M3291" s="23" t="s">
        <v>78</v>
      </c>
      <c r="N3291" s="23" t="s">
        <v>78</v>
      </c>
      <c r="O3291" s="23">
        <v>0</v>
      </c>
      <c r="P3291" s="23" t="s">
        <v>79</v>
      </c>
      <c r="Q3291" s="23" t="s">
        <v>83</v>
      </c>
      <c r="R3291" s="23">
        <v>11100189</v>
      </c>
      <c r="S3291" s="24" t="s">
        <v>80</v>
      </c>
      <c r="T3291" s="24">
        <v>45345</v>
      </c>
      <c r="U3291" s="24">
        <v>46022</v>
      </c>
      <c r="X3291" s="24" t="s">
        <v>80</v>
      </c>
      <c r="Y3291" s="23">
        <v>1111</v>
      </c>
      <c r="Z3291" s="23">
        <v>11100042</v>
      </c>
      <c r="AA3291" s="23">
        <v>3153</v>
      </c>
      <c r="AB3291" s="24" t="s">
        <v>80</v>
      </c>
    </row>
    <row r="3292" spans="2:28" x14ac:dyDescent="0.2">
      <c r="B3292" s="23" t="s">
        <v>81</v>
      </c>
      <c r="C3292" s="23">
        <v>1100520513</v>
      </c>
      <c r="H3292" s="24">
        <v>47848</v>
      </c>
      <c r="O3292" s="23">
        <v>0</v>
      </c>
      <c r="P3292" s="23" t="s">
        <v>79</v>
      </c>
    </row>
    <row r="3293" spans="2:28" x14ac:dyDescent="0.2">
      <c r="C3293" s="23">
        <v>1100539449</v>
      </c>
      <c r="E3293" s="23">
        <v>20</v>
      </c>
      <c r="F3293" s="23" t="s">
        <v>82</v>
      </c>
      <c r="G3293" s="23" t="s">
        <v>139</v>
      </c>
      <c r="H3293" s="24">
        <v>47848</v>
      </c>
      <c r="I3293" s="24">
        <v>47848</v>
      </c>
      <c r="J3293" s="23" t="s">
        <v>397</v>
      </c>
      <c r="K3293" s="23" t="s">
        <v>397</v>
      </c>
      <c r="L3293" s="23">
        <v>1</v>
      </c>
      <c r="M3293" s="23" t="s">
        <v>78</v>
      </c>
      <c r="N3293" s="23" t="s">
        <v>78</v>
      </c>
      <c r="O3293" s="23">
        <v>0.01</v>
      </c>
      <c r="P3293" s="23" t="s">
        <v>79</v>
      </c>
      <c r="Q3293" s="23" t="s">
        <v>83</v>
      </c>
      <c r="R3293" s="23">
        <v>11100018</v>
      </c>
      <c r="S3293" s="24" t="s">
        <v>80</v>
      </c>
      <c r="T3293" s="24">
        <v>45630</v>
      </c>
      <c r="U3293" s="24">
        <v>45635</v>
      </c>
      <c r="X3293" s="24">
        <v>45630</v>
      </c>
      <c r="Y3293" s="23">
        <v>1111</v>
      </c>
      <c r="Z3293" s="23">
        <v>11400742</v>
      </c>
      <c r="AA3293" s="23">
        <v>5051</v>
      </c>
      <c r="AB3293" s="24">
        <v>45629</v>
      </c>
    </row>
    <row r="3294" spans="2:28" x14ac:dyDescent="0.2">
      <c r="B3294" s="23" t="s">
        <v>81</v>
      </c>
      <c r="C3294" s="23">
        <v>1100539449</v>
      </c>
      <c r="H3294" s="24">
        <v>47848</v>
      </c>
      <c r="O3294" s="23">
        <v>0.01</v>
      </c>
      <c r="P3294" s="23" t="s">
        <v>79</v>
      </c>
    </row>
    <row r="3295" spans="2:28" x14ac:dyDescent="0.2">
      <c r="C3295" s="23">
        <v>1100543854</v>
      </c>
      <c r="E3295" s="23">
        <v>20</v>
      </c>
      <c r="F3295" s="23" t="s">
        <v>82</v>
      </c>
      <c r="G3295" s="23" t="s">
        <v>139</v>
      </c>
      <c r="H3295" s="24">
        <v>47848</v>
      </c>
      <c r="I3295" s="24">
        <v>47848</v>
      </c>
      <c r="J3295" s="23" t="s">
        <v>509</v>
      </c>
      <c r="K3295" s="23" t="s">
        <v>509</v>
      </c>
      <c r="L3295" s="23">
        <v>1</v>
      </c>
      <c r="M3295" s="23" t="s">
        <v>78</v>
      </c>
      <c r="N3295" s="23" t="s">
        <v>78</v>
      </c>
      <c r="O3295" s="23">
        <v>0.01</v>
      </c>
      <c r="P3295" s="23" t="s">
        <v>79</v>
      </c>
      <c r="Q3295" s="23" t="s">
        <v>83</v>
      </c>
      <c r="R3295" s="23">
        <v>11100299</v>
      </c>
      <c r="S3295" s="24" t="s">
        <v>80</v>
      </c>
      <c r="T3295" s="24">
        <v>45706</v>
      </c>
      <c r="U3295" s="24">
        <v>45713</v>
      </c>
      <c r="X3295" s="24">
        <v>45706</v>
      </c>
      <c r="Y3295" s="23">
        <v>1111</v>
      </c>
      <c r="Z3295" s="23">
        <v>11400745</v>
      </c>
      <c r="AA3295" s="23">
        <v>3351</v>
      </c>
      <c r="AB3295" s="24">
        <v>45701</v>
      </c>
    </row>
    <row r="3296" spans="2:28" x14ac:dyDescent="0.2">
      <c r="B3296" s="23" t="s">
        <v>81</v>
      </c>
      <c r="C3296" s="23">
        <v>1100543854</v>
      </c>
      <c r="H3296" s="24">
        <v>47848</v>
      </c>
      <c r="O3296" s="23">
        <v>0.01</v>
      </c>
      <c r="P3296" s="23" t="s">
        <v>79</v>
      </c>
    </row>
    <row r="3297" spans="2:28" x14ac:dyDescent="0.2">
      <c r="C3297" s="23">
        <v>1100544959</v>
      </c>
      <c r="E3297" s="23">
        <v>20</v>
      </c>
      <c r="F3297" s="23" t="s">
        <v>82</v>
      </c>
      <c r="G3297" s="23" t="s">
        <v>139</v>
      </c>
      <c r="H3297" s="24">
        <v>47848</v>
      </c>
      <c r="I3297" s="24">
        <v>47848</v>
      </c>
      <c r="J3297" s="23" t="s">
        <v>147</v>
      </c>
      <c r="K3297" s="23" t="s">
        <v>147</v>
      </c>
      <c r="L3297" s="23">
        <v>1</v>
      </c>
      <c r="M3297" s="23" t="s">
        <v>78</v>
      </c>
      <c r="N3297" s="23" t="s">
        <v>78</v>
      </c>
      <c r="O3297" s="23">
        <v>0.01</v>
      </c>
      <c r="P3297" s="23" t="s">
        <v>79</v>
      </c>
      <c r="Q3297" s="23" t="s">
        <v>83</v>
      </c>
      <c r="R3297" s="23">
        <v>11100018</v>
      </c>
      <c r="S3297" s="24" t="s">
        <v>80</v>
      </c>
      <c r="T3297" s="24">
        <v>45721</v>
      </c>
      <c r="U3297" s="24">
        <v>45743</v>
      </c>
      <c r="X3297" s="24">
        <v>45717</v>
      </c>
      <c r="Y3297" s="23">
        <v>1111</v>
      </c>
      <c r="Z3297" s="23">
        <v>11400789</v>
      </c>
      <c r="AA3297" s="23">
        <v>3351</v>
      </c>
      <c r="AB3297" s="24">
        <v>45715</v>
      </c>
    </row>
    <row r="3298" spans="2:28" x14ac:dyDescent="0.2">
      <c r="B3298" s="23" t="s">
        <v>81</v>
      </c>
      <c r="C3298" s="23">
        <v>1100544959</v>
      </c>
      <c r="H3298" s="24">
        <v>47848</v>
      </c>
      <c r="O3298" s="23">
        <v>0.01</v>
      </c>
      <c r="P3298" s="23" t="s">
        <v>79</v>
      </c>
    </row>
    <row r="3299" spans="2:28" x14ac:dyDescent="0.2">
      <c r="C3299" s="23">
        <v>1100546944</v>
      </c>
      <c r="E3299" s="23">
        <v>20</v>
      </c>
      <c r="F3299" s="23" t="s">
        <v>82</v>
      </c>
      <c r="G3299" s="23" t="s">
        <v>139</v>
      </c>
      <c r="H3299" s="24">
        <v>47848</v>
      </c>
      <c r="I3299" s="24">
        <v>47848</v>
      </c>
      <c r="J3299" s="23" t="s">
        <v>397</v>
      </c>
      <c r="K3299" s="23" t="s">
        <v>397</v>
      </c>
      <c r="L3299" s="23">
        <v>1</v>
      </c>
      <c r="M3299" s="23" t="s">
        <v>78</v>
      </c>
      <c r="N3299" s="23" t="s">
        <v>78</v>
      </c>
      <c r="O3299" s="23">
        <v>0.01</v>
      </c>
      <c r="P3299" s="23" t="s">
        <v>79</v>
      </c>
      <c r="Q3299" s="23" t="s">
        <v>83</v>
      </c>
      <c r="R3299" s="23">
        <v>11100008</v>
      </c>
      <c r="S3299" s="24" t="s">
        <v>80</v>
      </c>
      <c r="T3299" s="24">
        <v>45747</v>
      </c>
      <c r="U3299" s="24">
        <v>45758</v>
      </c>
      <c r="X3299" s="24">
        <v>45747</v>
      </c>
      <c r="Y3299" s="23">
        <v>1111</v>
      </c>
      <c r="Z3299" s="23">
        <v>11100137</v>
      </c>
      <c r="AA3299" s="23">
        <v>5051</v>
      </c>
      <c r="AB3299" s="24">
        <v>45742</v>
      </c>
    </row>
    <row r="3300" spans="2:28" x14ac:dyDescent="0.2">
      <c r="B3300" s="23" t="s">
        <v>81</v>
      </c>
      <c r="C3300" s="23">
        <v>1100546944</v>
      </c>
      <c r="H3300" s="24">
        <v>47848</v>
      </c>
      <c r="O3300" s="23">
        <v>0.01</v>
      </c>
      <c r="P3300" s="23" t="s">
        <v>79</v>
      </c>
    </row>
    <row r="3301" spans="2:28" x14ac:dyDescent="0.2">
      <c r="C3301" s="23">
        <v>1100557283</v>
      </c>
      <c r="E3301" s="23">
        <v>30</v>
      </c>
      <c r="F3301" s="23" t="s">
        <v>209</v>
      </c>
      <c r="G3301" s="23" t="s">
        <v>210</v>
      </c>
      <c r="H3301" s="24">
        <v>47848</v>
      </c>
      <c r="I3301" s="24">
        <v>47848</v>
      </c>
      <c r="J3301" s="23" t="s">
        <v>1130</v>
      </c>
      <c r="K3301" s="23" t="s">
        <v>1130</v>
      </c>
      <c r="L3301" s="23">
        <v>1</v>
      </c>
      <c r="M3301" s="23" t="s">
        <v>78</v>
      </c>
      <c r="N3301" s="23" t="s">
        <v>78</v>
      </c>
      <c r="O3301" s="23">
        <v>0</v>
      </c>
      <c r="P3301" s="23" t="s">
        <v>79</v>
      </c>
      <c r="Q3301" s="23" t="s">
        <v>83</v>
      </c>
      <c r="R3301" s="23">
        <v>11100299</v>
      </c>
      <c r="S3301" s="24" t="s">
        <v>80</v>
      </c>
      <c r="T3301" s="24">
        <v>45860</v>
      </c>
      <c r="U3301" s="24">
        <v>46084</v>
      </c>
      <c r="X3301" s="24">
        <v>45852</v>
      </c>
      <c r="Y3301" s="23">
        <v>1111</v>
      </c>
      <c r="Z3301" s="23">
        <v>11400704</v>
      </c>
      <c r="AA3301" s="23">
        <v>335103</v>
      </c>
      <c r="AB3301" s="24">
        <v>45857</v>
      </c>
    </row>
    <row r="3302" spans="2:28" x14ac:dyDescent="0.2">
      <c r="B3302" s="23" t="s">
        <v>81</v>
      </c>
      <c r="C3302" s="23">
        <v>1100557283</v>
      </c>
      <c r="H3302" s="24">
        <v>47848</v>
      </c>
      <c r="O3302" s="23">
        <v>0</v>
      </c>
      <c r="P3302" s="23" t="s">
        <v>79</v>
      </c>
    </row>
    <row r="3303" spans="2:28" x14ac:dyDescent="0.2">
      <c r="C3303" s="23">
        <v>1100560277</v>
      </c>
      <c r="E3303" s="23">
        <v>30</v>
      </c>
      <c r="F3303" s="23" t="s">
        <v>82</v>
      </c>
      <c r="G3303" s="23" t="s">
        <v>139</v>
      </c>
      <c r="H3303" s="24">
        <v>47848</v>
      </c>
      <c r="I3303" s="24">
        <v>47848</v>
      </c>
      <c r="J3303" s="23" t="s">
        <v>135</v>
      </c>
      <c r="K3303" s="23" t="s">
        <v>135</v>
      </c>
      <c r="L3303" s="23">
        <v>1</v>
      </c>
      <c r="M3303" s="23" t="s">
        <v>78</v>
      </c>
      <c r="N3303" s="23" t="s">
        <v>78</v>
      </c>
      <c r="O3303" s="23">
        <v>0.01</v>
      </c>
      <c r="P3303" s="23" t="s">
        <v>79</v>
      </c>
      <c r="Q3303" s="23" t="s">
        <v>83</v>
      </c>
      <c r="R3303" s="23">
        <v>11100189</v>
      </c>
      <c r="S3303" s="24" t="s">
        <v>80</v>
      </c>
      <c r="T3303" s="24">
        <v>45889</v>
      </c>
      <c r="U3303" s="24">
        <v>46752</v>
      </c>
      <c r="X3303" s="24">
        <v>45889</v>
      </c>
      <c r="Y3303" s="23">
        <v>1111</v>
      </c>
      <c r="Z3303" s="23">
        <v>11100042</v>
      </c>
      <c r="AA3303" s="23">
        <v>3355</v>
      </c>
      <c r="AB3303" s="24">
        <v>45889</v>
      </c>
    </row>
    <row r="3304" spans="2:28" x14ac:dyDescent="0.2">
      <c r="B3304" s="23" t="s">
        <v>81</v>
      </c>
      <c r="C3304" s="23">
        <v>1100560277</v>
      </c>
      <c r="H3304" s="24">
        <v>47848</v>
      </c>
      <c r="O3304" s="23">
        <v>0.01</v>
      </c>
      <c r="P3304" s="23" t="s">
        <v>79</v>
      </c>
    </row>
    <row r="3305" spans="2:28" x14ac:dyDescent="0.2">
      <c r="C3305" s="23">
        <v>1100560817</v>
      </c>
      <c r="E3305" s="23">
        <v>30</v>
      </c>
      <c r="F3305" s="23" t="s">
        <v>82</v>
      </c>
      <c r="G3305" s="23" t="s">
        <v>139</v>
      </c>
      <c r="H3305" s="24">
        <v>47848</v>
      </c>
      <c r="I3305" s="24">
        <v>47848</v>
      </c>
      <c r="J3305" s="23" t="s">
        <v>971</v>
      </c>
      <c r="K3305" s="23" t="s">
        <v>971</v>
      </c>
      <c r="L3305" s="23">
        <v>1</v>
      </c>
      <c r="M3305" s="23" t="s">
        <v>78</v>
      </c>
      <c r="N3305" s="23" t="s">
        <v>78</v>
      </c>
      <c r="O3305" s="23">
        <v>0.01</v>
      </c>
      <c r="P3305" s="23" t="s">
        <v>79</v>
      </c>
      <c r="Q3305" s="23" t="s">
        <v>83</v>
      </c>
      <c r="R3305" s="23">
        <v>11100008</v>
      </c>
      <c r="S3305" s="24" t="s">
        <v>80</v>
      </c>
      <c r="T3305" s="24">
        <v>45895</v>
      </c>
      <c r="U3305" s="24">
        <v>45897</v>
      </c>
      <c r="X3305" s="24">
        <v>45895</v>
      </c>
      <c r="Y3305" s="23">
        <v>1111</v>
      </c>
      <c r="Z3305" s="23">
        <v>11100172</v>
      </c>
      <c r="AA3305" s="23">
        <v>3553</v>
      </c>
      <c r="AB3305" s="24">
        <v>45895</v>
      </c>
    </row>
    <row r="3306" spans="2:28" x14ac:dyDescent="0.2">
      <c r="B3306" s="23" t="s">
        <v>81</v>
      </c>
      <c r="C3306" s="23">
        <v>1100560817</v>
      </c>
      <c r="H3306" s="24">
        <v>47848</v>
      </c>
      <c r="O3306" s="23">
        <v>0.01</v>
      </c>
      <c r="P3306" s="23" t="s">
        <v>79</v>
      </c>
    </row>
    <row r="3307" spans="2:28" x14ac:dyDescent="0.2">
      <c r="C3307" s="23">
        <v>1100562970</v>
      </c>
      <c r="E3307" s="23">
        <v>20</v>
      </c>
      <c r="F3307" s="23" t="s">
        <v>82</v>
      </c>
      <c r="G3307" s="23" t="s">
        <v>139</v>
      </c>
      <c r="H3307" s="24">
        <v>47848</v>
      </c>
      <c r="I3307" s="24">
        <v>47848</v>
      </c>
      <c r="J3307" s="23" t="s">
        <v>408</v>
      </c>
      <c r="K3307" s="23" t="s">
        <v>408</v>
      </c>
      <c r="L3307" s="23">
        <v>1</v>
      </c>
      <c r="M3307" s="23" t="s">
        <v>78</v>
      </c>
      <c r="N3307" s="23" t="s">
        <v>78</v>
      </c>
      <c r="O3307" s="23">
        <v>0.01</v>
      </c>
      <c r="P3307" s="23" t="s">
        <v>79</v>
      </c>
      <c r="Q3307" s="23" t="s">
        <v>83</v>
      </c>
      <c r="R3307" s="23">
        <v>11100299</v>
      </c>
      <c r="S3307" s="24" t="s">
        <v>80</v>
      </c>
      <c r="T3307" s="24">
        <v>45916</v>
      </c>
      <c r="U3307" s="24">
        <v>46034</v>
      </c>
      <c r="X3307" s="24">
        <v>45911</v>
      </c>
      <c r="Y3307" s="23">
        <v>1111</v>
      </c>
      <c r="Z3307" s="23">
        <v>11100319</v>
      </c>
      <c r="AA3307" s="23">
        <v>3951</v>
      </c>
      <c r="AB3307" s="24">
        <v>45911</v>
      </c>
    </row>
    <row r="3308" spans="2:28" x14ac:dyDescent="0.2">
      <c r="B3308" s="23" t="s">
        <v>81</v>
      </c>
      <c r="C3308" s="23">
        <v>1100562970</v>
      </c>
      <c r="H3308" s="24">
        <v>47848</v>
      </c>
      <c r="O3308" s="23">
        <v>0.01</v>
      </c>
      <c r="P3308" s="23" t="s">
        <v>79</v>
      </c>
    </row>
    <row r="3309" spans="2:28" x14ac:dyDescent="0.2">
      <c r="C3309" s="23">
        <v>1100565221</v>
      </c>
      <c r="E3309" s="23">
        <v>20</v>
      </c>
      <c r="F3309" s="23" t="s">
        <v>82</v>
      </c>
      <c r="G3309" s="23" t="s">
        <v>139</v>
      </c>
      <c r="H3309" s="24">
        <v>47848</v>
      </c>
      <c r="I3309" s="24">
        <v>47848</v>
      </c>
      <c r="J3309" s="23" t="s">
        <v>493</v>
      </c>
      <c r="K3309" s="23" t="s">
        <v>493</v>
      </c>
      <c r="L3309" s="23">
        <v>1</v>
      </c>
      <c r="M3309" s="23" t="s">
        <v>78</v>
      </c>
      <c r="N3309" s="23" t="s">
        <v>78</v>
      </c>
      <c r="O3309" s="23">
        <v>0.01</v>
      </c>
      <c r="P3309" s="23" t="s">
        <v>79</v>
      </c>
      <c r="Q3309" s="23" t="s">
        <v>83</v>
      </c>
      <c r="R3309" s="23">
        <v>11100008</v>
      </c>
      <c r="S3309" s="24" t="s">
        <v>80</v>
      </c>
      <c r="T3309" s="24">
        <v>45933</v>
      </c>
      <c r="U3309" s="24">
        <v>46078</v>
      </c>
      <c r="X3309" s="24">
        <v>45897</v>
      </c>
      <c r="Y3309" s="23">
        <v>1111</v>
      </c>
      <c r="Z3309" s="23">
        <v>11400704</v>
      </c>
      <c r="AA3309" s="23">
        <v>335103</v>
      </c>
      <c r="AB3309" s="24">
        <v>45933</v>
      </c>
    </row>
    <row r="3310" spans="2:28" x14ac:dyDescent="0.2">
      <c r="B3310" s="23" t="s">
        <v>81</v>
      </c>
      <c r="C3310" s="23">
        <v>1100565221</v>
      </c>
      <c r="H3310" s="24">
        <v>47848</v>
      </c>
      <c r="O3310" s="23">
        <v>0.01</v>
      </c>
      <c r="P3310" s="23" t="s">
        <v>79</v>
      </c>
    </row>
    <row r="3311" spans="2:28" x14ac:dyDescent="0.2">
      <c r="C3311" s="23">
        <v>1100566147</v>
      </c>
      <c r="E3311" s="23">
        <v>20</v>
      </c>
      <c r="F3311" s="23" t="s">
        <v>82</v>
      </c>
      <c r="G3311" s="23" t="s">
        <v>139</v>
      </c>
      <c r="H3311" s="24">
        <v>47848</v>
      </c>
      <c r="I3311" s="24">
        <v>47848</v>
      </c>
      <c r="J3311" s="23" t="s">
        <v>1104</v>
      </c>
      <c r="K3311" s="23" t="s">
        <v>1104</v>
      </c>
      <c r="L3311" s="23">
        <v>1</v>
      </c>
      <c r="M3311" s="23" t="s">
        <v>78</v>
      </c>
      <c r="N3311" s="23" t="s">
        <v>78</v>
      </c>
      <c r="O3311" s="23">
        <v>0.01</v>
      </c>
      <c r="P3311" s="23" t="s">
        <v>79</v>
      </c>
      <c r="Q3311" s="23" t="s">
        <v>83</v>
      </c>
      <c r="R3311" s="23">
        <v>11100299</v>
      </c>
      <c r="S3311" s="24">
        <v>45967</v>
      </c>
      <c r="T3311" s="24">
        <v>45945</v>
      </c>
      <c r="U3311" s="24">
        <v>46043</v>
      </c>
      <c r="X3311" s="24">
        <v>45944</v>
      </c>
      <c r="Y3311" s="23">
        <v>1111</v>
      </c>
      <c r="Z3311" s="23">
        <v>11100320</v>
      </c>
      <c r="AA3311" s="23">
        <v>3351</v>
      </c>
      <c r="AB3311" s="24">
        <v>45945</v>
      </c>
    </row>
    <row r="3312" spans="2:28" x14ac:dyDescent="0.2">
      <c r="B3312" s="23" t="s">
        <v>81</v>
      </c>
      <c r="C3312" s="23">
        <v>1100566147</v>
      </c>
      <c r="H3312" s="24">
        <v>47848</v>
      </c>
      <c r="O3312" s="23">
        <v>0.01</v>
      </c>
      <c r="P3312" s="23" t="s">
        <v>79</v>
      </c>
    </row>
    <row r="3313" spans="2:28" x14ac:dyDescent="0.2">
      <c r="C3313" s="23">
        <v>1100568086</v>
      </c>
      <c r="E3313" s="23">
        <v>30</v>
      </c>
      <c r="F3313" s="23" t="s">
        <v>82</v>
      </c>
      <c r="G3313" s="23" t="s">
        <v>139</v>
      </c>
      <c r="H3313" s="24">
        <v>47848</v>
      </c>
      <c r="I3313" s="24">
        <v>47848</v>
      </c>
      <c r="J3313" s="23" t="s">
        <v>369</v>
      </c>
      <c r="K3313" s="23" t="s">
        <v>369</v>
      </c>
      <c r="L3313" s="23">
        <v>1</v>
      </c>
      <c r="M3313" s="23" t="s">
        <v>78</v>
      </c>
      <c r="N3313" s="23" t="s">
        <v>78</v>
      </c>
      <c r="O3313" s="23">
        <v>0.01</v>
      </c>
      <c r="P3313" s="23" t="s">
        <v>79</v>
      </c>
      <c r="Q3313" s="23" t="s">
        <v>83</v>
      </c>
      <c r="R3313" s="23">
        <v>11100008</v>
      </c>
      <c r="S3313" s="24" t="s">
        <v>80</v>
      </c>
      <c r="T3313" s="24">
        <v>45966</v>
      </c>
      <c r="U3313" s="24">
        <v>46752</v>
      </c>
      <c r="X3313" s="24">
        <v>45966</v>
      </c>
      <c r="Y3313" s="23">
        <v>1111</v>
      </c>
      <c r="Z3313" s="23">
        <v>11100172</v>
      </c>
      <c r="AA3313" s="23">
        <v>3355</v>
      </c>
      <c r="AB3313" s="24">
        <v>45966</v>
      </c>
    </row>
    <row r="3314" spans="2:28" x14ac:dyDescent="0.2">
      <c r="B3314" s="23" t="s">
        <v>81</v>
      </c>
      <c r="C3314" s="23">
        <v>1100568086</v>
      </c>
      <c r="H3314" s="24">
        <v>47848</v>
      </c>
      <c r="O3314" s="23">
        <v>0.01</v>
      </c>
      <c r="P3314" s="23" t="s">
        <v>79</v>
      </c>
    </row>
    <row r="3315" spans="2:28" x14ac:dyDescent="0.2">
      <c r="C3315" s="23">
        <v>1100568555</v>
      </c>
      <c r="E3315" s="23">
        <v>30</v>
      </c>
      <c r="F3315" s="23" t="s">
        <v>82</v>
      </c>
      <c r="G3315" s="23" t="s">
        <v>139</v>
      </c>
      <c r="H3315" s="24">
        <v>47848</v>
      </c>
      <c r="I3315" s="24">
        <v>47848</v>
      </c>
      <c r="J3315" s="23" t="s">
        <v>1084</v>
      </c>
      <c r="K3315" s="23" t="s">
        <v>1084</v>
      </c>
      <c r="L3315" s="23">
        <v>1</v>
      </c>
      <c r="M3315" s="23" t="s">
        <v>78</v>
      </c>
      <c r="N3315" s="23" t="s">
        <v>78</v>
      </c>
      <c r="O3315" s="23">
        <v>0.01</v>
      </c>
      <c r="P3315" s="23" t="s">
        <v>79</v>
      </c>
      <c r="Q3315" s="23" t="s">
        <v>83</v>
      </c>
      <c r="R3315" s="23">
        <v>11100008</v>
      </c>
      <c r="S3315" s="24" t="s">
        <v>80</v>
      </c>
      <c r="T3315" s="24">
        <v>45972</v>
      </c>
      <c r="U3315" s="24">
        <v>46752</v>
      </c>
      <c r="X3315" s="24">
        <v>45972</v>
      </c>
      <c r="Y3315" s="23">
        <v>1111</v>
      </c>
      <c r="Z3315" s="23">
        <v>11100172</v>
      </c>
      <c r="AA3315" s="23">
        <v>3155</v>
      </c>
      <c r="AB3315" s="24">
        <v>45972</v>
      </c>
    </row>
    <row r="3316" spans="2:28" x14ac:dyDescent="0.2">
      <c r="B3316" s="23" t="s">
        <v>81</v>
      </c>
      <c r="C3316" s="23">
        <v>1100568555</v>
      </c>
      <c r="H3316" s="24">
        <v>47848</v>
      </c>
      <c r="O3316" s="23">
        <v>0.01</v>
      </c>
      <c r="P3316" s="23" t="s">
        <v>79</v>
      </c>
    </row>
    <row r="3317" spans="2:28" x14ac:dyDescent="0.2">
      <c r="C3317" s="23">
        <v>1100568951</v>
      </c>
      <c r="E3317" s="23">
        <v>20</v>
      </c>
      <c r="F3317" s="23" t="s">
        <v>82</v>
      </c>
      <c r="G3317" s="23" t="s">
        <v>139</v>
      </c>
      <c r="H3317" s="24">
        <v>47848</v>
      </c>
      <c r="I3317" s="24">
        <v>47848</v>
      </c>
      <c r="J3317" s="23" t="s">
        <v>2296</v>
      </c>
      <c r="K3317" s="23" t="s">
        <v>2296</v>
      </c>
      <c r="L3317" s="23">
        <v>1</v>
      </c>
      <c r="M3317" s="23" t="s">
        <v>78</v>
      </c>
      <c r="N3317" s="23" t="s">
        <v>78</v>
      </c>
      <c r="O3317" s="23">
        <v>0.01</v>
      </c>
      <c r="P3317" s="23" t="s">
        <v>79</v>
      </c>
      <c r="Q3317" s="23" t="s">
        <v>83</v>
      </c>
      <c r="R3317" s="23">
        <v>11100008</v>
      </c>
      <c r="S3317" s="24" t="s">
        <v>80</v>
      </c>
      <c r="T3317" s="24">
        <v>45975</v>
      </c>
      <c r="U3317" s="24">
        <v>45980</v>
      </c>
      <c r="X3317" s="24">
        <v>45975</v>
      </c>
      <c r="Y3317" s="23">
        <v>1111</v>
      </c>
      <c r="Z3317" s="23">
        <v>11400789</v>
      </c>
      <c r="AA3317" s="23">
        <v>335103</v>
      </c>
      <c r="AB3317" s="24">
        <v>45975</v>
      </c>
    </row>
    <row r="3318" spans="2:28" x14ac:dyDescent="0.2">
      <c r="B3318" s="23" t="s">
        <v>81</v>
      </c>
      <c r="C3318" s="23">
        <v>1100568951</v>
      </c>
      <c r="H3318" s="24">
        <v>47848</v>
      </c>
      <c r="O3318" s="23">
        <v>0.01</v>
      </c>
      <c r="P3318" s="23" t="s">
        <v>79</v>
      </c>
    </row>
    <row r="3319" spans="2:28" x14ac:dyDescent="0.2">
      <c r="C3319" s="23">
        <v>1100569277</v>
      </c>
      <c r="E3319" s="23">
        <v>20</v>
      </c>
      <c r="F3319" s="23" t="s">
        <v>82</v>
      </c>
      <c r="G3319" s="23" t="s">
        <v>139</v>
      </c>
      <c r="H3319" s="24">
        <v>47848</v>
      </c>
      <c r="I3319" s="24">
        <v>47848</v>
      </c>
      <c r="J3319" s="23" t="s">
        <v>4206</v>
      </c>
      <c r="K3319" s="23" t="s">
        <v>4206</v>
      </c>
      <c r="L3319" s="23">
        <v>1</v>
      </c>
      <c r="M3319" s="23" t="s">
        <v>78</v>
      </c>
      <c r="N3319" s="23" t="s">
        <v>78</v>
      </c>
      <c r="O3319" s="23">
        <v>0.01</v>
      </c>
      <c r="P3319" s="23" t="s">
        <v>79</v>
      </c>
      <c r="Q3319" s="23" t="s">
        <v>83</v>
      </c>
      <c r="R3319" s="23">
        <v>11100176</v>
      </c>
      <c r="S3319" s="24" t="s">
        <v>80</v>
      </c>
      <c r="T3319" s="24">
        <v>45980</v>
      </c>
      <c r="U3319" s="24">
        <v>47848</v>
      </c>
      <c r="X3319" s="24">
        <v>45978</v>
      </c>
      <c r="Y3319" s="23">
        <v>1111</v>
      </c>
      <c r="Z3319" s="23">
        <v>11400811</v>
      </c>
      <c r="AA3319" s="23">
        <v>3951</v>
      </c>
      <c r="AB3319" s="24">
        <v>45978</v>
      </c>
    </row>
    <row r="3320" spans="2:28" x14ac:dyDescent="0.2">
      <c r="B3320" s="23" t="s">
        <v>81</v>
      </c>
      <c r="C3320" s="23">
        <v>1100569277</v>
      </c>
      <c r="H3320" s="24">
        <v>47848</v>
      </c>
      <c r="O3320" s="23">
        <v>0.01</v>
      </c>
      <c r="P3320" s="23" t="s">
        <v>79</v>
      </c>
    </row>
    <row r="3321" spans="2:28" x14ac:dyDescent="0.2">
      <c r="C3321" s="23">
        <v>1100569601</v>
      </c>
      <c r="E3321" s="23">
        <v>30</v>
      </c>
      <c r="F3321" s="23" t="s">
        <v>82</v>
      </c>
      <c r="G3321" s="23" t="s">
        <v>139</v>
      </c>
      <c r="H3321" s="24">
        <v>47848</v>
      </c>
      <c r="I3321" s="24">
        <v>47848</v>
      </c>
      <c r="J3321" s="23" t="s">
        <v>2119</v>
      </c>
      <c r="K3321" s="23" t="s">
        <v>2119</v>
      </c>
      <c r="L3321" s="23">
        <v>1</v>
      </c>
      <c r="M3321" s="23" t="s">
        <v>78</v>
      </c>
      <c r="N3321" s="23" t="s">
        <v>78</v>
      </c>
      <c r="O3321" s="23">
        <v>0.01</v>
      </c>
      <c r="P3321" s="23" t="s">
        <v>79</v>
      </c>
      <c r="Q3321" s="23" t="s">
        <v>83</v>
      </c>
      <c r="R3321" s="23">
        <v>11100299</v>
      </c>
      <c r="S3321" s="24" t="s">
        <v>80</v>
      </c>
      <c r="T3321" s="24">
        <v>45982</v>
      </c>
      <c r="U3321" s="24">
        <v>46094</v>
      </c>
      <c r="X3321" s="24">
        <v>45981</v>
      </c>
      <c r="Y3321" s="23">
        <v>1111</v>
      </c>
      <c r="Z3321" s="23">
        <v>11400742</v>
      </c>
      <c r="AA3321" s="23">
        <v>5051</v>
      </c>
      <c r="AB3321" s="24">
        <v>45981</v>
      </c>
    </row>
    <row r="3322" spans="2:28" x14ac:dyDescent="0.2">
      <c r="B3322" s="23" t="s">
        <v>81</v>
      </c>
      <c r="C3322" s="23">
        <v>1100569601</v>
      </c>
      <c r="H3322" s="24">
        <v>47848</v>
      </c>
      <c r="O3322" s="23">
        <v>0.01</v>
      </c>
      <c r="P3322" s="23" t="s">
        <v>79</v>
      </c>
    </row>
    <row r="3323" spans="2:28" x14ac:dyDescent="0.2">
      <c r="C3323" s="23">
        <v>1100569778</v>
      </c>
      <c r="E3323" s="23">
        <v>20</v>
      </c>
      <c r="F3323" s="23" t="s">
        <v>82</v>
      </c>
      <c r="G3323" s="23" t="s">
        <v>139</v>
      </c>
      <c r="H3323" s="24">
        <v>47848</v>
      </c>
      <c r="I3323" s="24">
        <v>47848</v>
      </c>
      <c r="J3323" s="23" t="s">
        <v>2297</v>
      </c>
      <c r="K3323" s="23" t="s">
        <v>2297</v>
      </c>
      <c r="L3323" s="23">
        <v>1</v>
      </c>
      <c r="M3323" s="23" t="s">
        <v>78</v>
      </c>
      <c r="N3323" s="23" t="s">
        <v>78</v>
      </c>
      <c r="O3323" s="23">
        <v>0.01</v>
      </c>
      <c r="P3323" s="23" t="s">
        <v>79</v>
      </c>
      <c r="Q3323" s="23" t="s">
        <v>83</v>
      </c>
      <c r="R3323" s="23">
        <v>11100176</v>
      </c>
      <c r="S3323" s="24" t="s">
        <v>80</v>
      </c>
      <c r="T3323" s="24">
        <v>45985</v>
      </c>
      <c r="U3323" s="24">
        <v>45996</v>
      </c>
      <c r="X3323" s="24">
        <v>45985</v>
      </c>
      <c r="Y3323" s="23">
        <v>1111</v>
      </c>
      <c r="Z3323" s="23">
        <v>11600007</v>
      </c>
      <c r="AA3323" s="23">
        <v>3951</v>
      </c>
      <c r="AB3323" s="24">
        <v>45982</v>
      </c>
    </row>
    <row r="3324" spans="2:28" x14ac:dyDescent="0.2">
      <c r="B3324" s="23" t="s">
        <v>81</v>
      </c>
      <c r="C3324" s="23">
        <v>1100569778</v>
      </c>
      <c r="H3324" s="24">
        <v>47848</v>
      </c>
      <c r="O3324" s="23">
        <v>0.01</v>
      </c>
      <c r="P3324" s="23" t="s">
        <v>79</v>
      </c>
    </row>
    <row r="3325" spans="2:28" x14ac:dyDescent="0.2">
      <c r="C3325" s="23">
        <v>1100570283</v>
      </c>
      <c r="E3325" s="23">
        <v>70</v>
      </c>
      <c r="F3325" s="23" t="s">
        <v>82</v>
      </c>
      <c r="G3325" s="23" t="s">
        <v>4207</v>
      </c>
      <c r="H3325" s="24">
        <v>47848</v>
      </c>
      <c r="I3325" s="24">
        <v>47848</v>
      </c>
      <c r="J3325" s="23" t="s">
        <v>2055</v>
      </c>
      <c r="K3325" s="23" t="s">
        <v>2055</v>
      </c>
      <c r="L3325" s="23">
        <v>1</v>
      </c>
      <c r="M3325" s="23" t="s">
        <v>78</v>
      </c>
      <c r="N3325" s="23" t="s">
        <v>78</v>
      </c>
      <c r="O3325" s="23">
        <v>0</v>
      </c>
      <c r="P3325" s="23" t="s">
        <v>79</v>
      </c>
      <c r="Q3325" s="23" t="s">
        <v>83</v>
      </c>
      <c r="R3325" s="23">
        <v>11100008</v>
      </c>
      <c r="S3325" s="24" t="s">
        <v>80</v>
      </c>
      <c r="T3325" s="24">
        <v>45993</v>
      </c>
      <c r="U3325" s="24">
        <v>46080</v>
      </c>
      <c r="X3325" s="24">
        <v>45951</v>
      </c>
      <c r="Y3325" s="23">
        <v>1111</v>
      </c>
      <c r="Z3325" s="23">
        <v>11400937</v>
      </c>
      <c r="AA3325" s="23">
        <v>335103</v>
      </c>
      <c r="AB3325" s="24">
        <v>45938</v>
      </c>
    </row>
    <row r="3326" spans="2:28" x14ac:dyDescent="0.2">
      <c r="B3326" s="23" t="s">
        <v>81</v>
      </c>
      <c r="C3326" s="23">
        <v>1100570283</v>
      </c>
      <c r="H3326" s="24">
        <v>47848</v>
      </c>
      <c r="O3326" s="23">
        <v>0</v>
      </c>
      <c r="P3326" s="23" t="s">
        <v>79</v>
      </c>
    </row>
    <row r="3327" spans="2:28" x14ac:dyDescent="0.2">
      <c r="C3327" s="23">
        <v>1100570306</v>
      </c>
      <c r="E3327" s="23">
        <v>20</v>
      </c>
      <c r="F3327" s="23" t="s">
        <v>82</v>
      </c>
      <c r="G3327" s="23" t="s">
        <v>139</v>
      </c>
      <c r="H3327" s="24">
        <v>47848</v>
      </c>
      <c r="I3327" s="24">
        <v>47848</v>
      </c>
      <c r="J3327" s="23" t="s">
        <v>1090</v>
      </c>
      <c r="K3327" s="23" t="s">
        <v>1090</v>
      </c>
      <c r="L3327" s="23">
        <v>1</v>
      </c>
      <c r="M3327" s="23" t="s">
        <v>78</v>
      </c>
      <c r="N3327" s="23" t="s">
        <v>78</v>
      </c>
      <c r="O3327" s="23">
        <v>0.01</v>
      </c>
      <c r="P3327" s="23" t="s">
        <v>79</v>
      </c>
      <c r="Q3327" s="23" t="s">
        <v>83</v>
      </c>
      <c r="R3327" s="23">
        <v>11100176</v>
      </c>
      <c r="S3327" s="24" t="s">
        <v>80</v>
      </c>
      <c r="T3327" s="24">
        <v>45993</v>
      </c>
      <c r="U3327" s="24">
        <v>46001</v>
      </c>
      <c r="X3327" s="24">
        <v>45993</v>
      </c>
      <c r="Y3327" s="23">
        <v>1111</v>
      </c>
      <c r="Z3327" s="23">
        <v>11400937</v>
      </c>
      <c r="AA3327" s="23">
        <v>515103</v>
      </c>
      <c r="AB3327" s="24">
        <v>45985</v>
      </c>
    </row>
    <row r="3328" spans="2:28" x14ac:dyDescent="0.2">
      <c r="B3328" s="23" t="s">
        <v>81</v>
      </c>
      <c r="C3328" s="23">
        <v>1100570306</v>
      </c>
      <c r="H3328" s="24">
        <v>47848</v>
      </c>
      <c r="O3328" s="23">
        <v>0.01</v>
      </c>
      <c r="P3328" s="23" t="s">
        <v>79</v>
      </c>
    </row>
    <row r="3329" spans="2:28" x14ac:dyDescent="0.2">
      <c r="C3329" s="23">
        <v>1100570356</v>
      </c>
      <c r="E3329" s="23">
        <v>30</v>
      </c>
      <c r="F3329" s="23" t="s">
        <v>82</v>
      </c>
      <c r="G3329" s="23" t="s">
        <v>139</v>
      </c>
      <c r="H3329" s="24">
        <v>47848</v>
      </c>
      <c r="I3329" s="24">
        <v>47848</v>
      </c>
      <c r="J3329" s="23" t="s">
        <v>2298</v>
      </c>
      <c r="K3329" s="23" t="s">
        <v>2298</v>
      </c>
      <c r="L3329" s="23">
        <v>1</v>
      </c>
      <c r="M3329" s="23" t="s">
        <v>78</v>
      </c>
      <c r="N3329" s="23" t="s">
        <v>78</v>
      </c>
      <c r="O3329" s="23">
        <v>0.01</v>
      </c>
      <c r="P3329" s="23" t="s">
        <v>79</v>
      </c>
      <c r="Q3329" s="23" t="s">
        <v>83</v>
      </c>
      <c r="R3329" s="23">
        <v>11100008</v>
      </c>
      <c r="S3329" s="24" t="s">
        <v>80</v>
      </c>
      <c r="T3329" s="24">
        <v>45994</v>
      </c>
      <c r="U3329" s="24">
        <v>47116</v>
      </c>
      <c r="X3329" s="24">
        <v>45994</v>
      </c>
      <c r="Y3329" s="23">
        <v>1111</v>
      </c>
      <c r="Z3329" s="23">
        <v>11100042</v>
      </c>
      <c r="AA3329" s="23">
        <v>3953</v>
      </c>
      <c r="AB3329" s="24">
        <v>45994</v>
      </c>
    </row>
    <row r="3330" spans="2:28" x14ac:dyDescent="0.2">
      <c r="B3330" s="23" t="s">
        <v>81</v>
      </c>
      <c r="C3330" s="23">
        <v>1100570356</v>
      </c>
      <c r="H3330" s="24">
        <v>47848</v>
      </c>
      <c r="O3330" s="23">
        <v>0.01</v>
      </c>
      <c r="P3330" s="23" t="s">
        <v>79</v>
      </c>
    </row>
    <row r="3331" spans="2:28" x14ac:dyDescent="0.2">
      <c r="C3331" s="23">
        <v>1100570505</v>
      </c>
      <c r="E3331" s="23">
        <v>20</v>
      </c>
      <c r="F3331" s="23" t="s">
        <v>82</v>
      </c>
      <c r="G3331" s="23" t="s">
        <v>139</v>
      </c>
      <c r="H3331" s="24">
        <v>47848</v>
      </c>
      <c r="I3331" s="24">
        <v>47848</v>
      </c>
      <c r="J3331" s="23" t="s">
        <v>500</v>
      </c>
      <c r="K3331" s="23" t="s">
        <v>500</v>
      </c>
      <c r="L3331" s="23">
        <v>1</v>
      </c>
      <c r="M3331" s="23" t="s">
        <v>78</v>
      </c>
      <c r="N3331" s="23" t="s">
        <v>78</v>
      </c>
      <c r="O3331" s="23">
        <v>0.01</v>
      </c>
      <c r="P3331" s="23" t="s">
        <v>79</v>
      </c>
      <c r="Q3331" s="23" t="s">
        <v>83</v>
      </c>
      <c r="R3331" s="23">
        <v>11100176</v>
      </c>
      <c r="S3331" s="24">
        <v>46020</v>
      </c>
      <c r="T3331" s="24">
        <v>45995</v>
      </c>
      <c r="U3331" s="24">
        <v>46006</v>
      </c>
      <c r="X3331" s="24">
        <v>45994</v>
      </c>
      <c r="Y3331" s="23">
        <v>1111</v>
      </c>
      <c r="Z3331" s="23">
        <v>11600007</v>
      </c>
      <c r="AA3331" s="23">
        <v>515103</v>
      </c>
      <c r="AB3331" s="24">
        <v>45986</v>
      </c>
    </row>
    <row r="3332" spans="2:28" x14ac:dyDescent="0.2">
      <c r="B3332" s="23" t="s">
        <v>81</v>
      </c>
      <c r="C3332" s="23">
        <v>1100570505</v>
      </c>
      <c r="H3332" s="24">
        <v>47848</v>
      </c>
      <c r="O3332" s="23">
        <v>0.01</v>
      </c>
      <c r="P3332" s="23" t="s">
        <v>79</v>
      </c>
    </row>
    <row r="3333" spans="2:28" x14ac:dyDescent="0.2">
      <c r="C3333" s="23">
        <v>1100570917</v>
      </c>
      <c r="E3333" s="23">
        <v>20</v>
      </c>
      <c r="F3333" s="23" t="s">
        <v>82</v>
      </c>
      <c r="G3333" s="23" t="s">
        <v>139</v>
      </c>
      <c r="H3333" s="24">
        <v>47848</v>
      </c>
      <c r="I3333" s="24">
        <v>47848</v>
      </c>
      <c r="J3333" s="23" t="s">
        <v>852</v>
      </c>
      <c r="K3333" s="23" t="s">
        <v>852</v>
      </c>
      <c r="L3333" s="23">
        <v>1</v>
      </c>
      <c r="M3333" s="23" t="s">
        <v>78</v>
      </c>
      <c r="N3333" s="23" t="s">
        <v>78</v>
      </c>
      <c r="O3333" s="23">
        <v>0.01</v>
      </c>
      <c r="P3333" s="23" t="s">
        <v>79</v>
      </c>
      <c r="Q3333" s="23" t="s">
        <v>83</v>
      </c>
      <c r="R3333" s="23">
        <v>11100176</v>
      </c>
      <c r="S3333" s="24" t="s">
        <v>80</v>
      </c>
      <c r="T3333" s="24">
        <v>46000</v>
      </c>
      <c r="U3333" s="24">
        <v>46087</v>
      </c>
      <c r="X3333" s="24">
        <v>46000</v>
      </c>
      <c r="Y3333" s="23">
        <v>1111</v>
      </c>
      <c r="Z3333" s="23">
        <v>11400789</v>
      </c>
      <c r="AA3333" s="23">
        <v>5051</v>
      </c>
      <c r="AB3333" s="24">
        <v>45999</v>
      </c>
    </row>
    <row r="3334" spans="2:28" x14ac:dyDescent="0.2">
      <c r="B3334" s="23" t="s">
        <v>81</v>
      </c>
      <c r="C3334" s="23">
        <v>1100570917</v>
      </c>
      <c r="H3334" s="24">
        <v>47848</v>
      </c>
      <c r="O3334" s="23">
        <v>0.01</v>
      </c>
      <c r="P3334" s="23" t="s">
        <v>79</v>
      </c>
    </row>
    <row r="3335" spans="2:28" x14ac:dyDescent="0.2">
      <c r="C3335" s="23">
        <v>1100570985</v>
      </c>
      <c r="E3335" s="23">
        <v>20</v>
      </c>
      <c r="F3335" s="23" t="s">
        <v>82</v>
      </c>
      <c r="G3335" s="23" t="s">
        <v>139</v>
      </c>
      <c r="H3335" s="24">
        <v>47848</v>
      </c>
      <c r="I3335" s="24">
        <v>47848</v>
      </c>
      <c r="J3335" s="23" t="s">
        <v>392</v>
      </c>
      <c r="K3335" s="23" t="s">
        <v>392</v>
      </c>
      <c r="L3335" s="23">
        <v>1</v>
      </c>
      <c r="M3335" s="23" t="s">
        <v>78</v>
      </c>
      <c r="N3335" s="23" t="s">
        <v>78</v>
      </c>
      <c r="O3335" s="23">
        <v>0.01</v>
      </c>
      <c r="P3335" s="23" t="s">
        <v>79</v>
      </c>
      <c r="Q3335" s="23" t="s">
        <v>83</v>
      </c>
      <c r="R3335" s="23">
        <v>11100176</v>
      </c>
      <c r="S3335" s="24" t="s">
        <v>80</v>
      </c>
      <c r="T3335" s="24">
        <v>46001</v>
      </c>
      <c r="U3335" s="24">
        <v>46010</v>
      </c>
      <c r="X3335" s="24">
        <v>46000</v>
      </c>
      <c r="Y3335" s="23">
        <v>1111</v>
      </c>
      <c r="Z3335" s="23">
        <v>11400606</v>
      </c>
      <c r="AA3335" s="23">
        <v>5051</v>
      </c>
      <c r="AB3335" s="24">
        <v>45999</v>
      </c>
    </row>
    <row r="3336" spans="2:28" x14ac:dyDescent="0.2">
      <c r="B3336" s="23" t="s">
        <v>81</v>
      </c>
      <c r="C3336" s="23">
        <v>1100570985</v>
      </c>
      <c r="H3336" s="24">
        <v>47848</v>
      </c>
      <c r="O3336" s="23">
        <v>0.01</v>
      </c>
      <c r="P3336" s="23" t="s">
        <v>79</v>
      </c>
    </row>
    <row r="3337" spans="2:28" x14ac:dyDescent="0.2">
      <c r="C3337" s="23">
        <v>1100571443</v>
      </c>
      <c r="E3337" s="23">
        <v>20</v>
      </c>
      <c r="F3337" s="23" t="s">
        <v>82</v>
      </c>
      <c r="G3337" s="23" t="s">
        <v>139</v>
      </c>
      <c r="H3337" s="24">
        <v>47848</v>
      </c>
      <c r="I3337" s="24">
        <v>47848</v>
      </c>
      <c r="J3337" s="23" t="s">
        <v>814</v>
      </c>
      <c r="K3337" s="23" t="s">
        <v>814</v>
      </c>
      <c r="L3337" s="23">
        <v>1</v>
      </c>
      <c r="M3337" s="23" t="s">
        <v>78</v>
      </c>
      <c r="N3337" s="23" t="s">
        <v>78</v>
      </c>
      <c r="O3337" s="23">
        <v>0.01</v>
      </c>
      <c r="P3337" s="23" t="s">
        <v>79</v>
      </c>
      <c r="Q3337" s="23" t="s">
        <v>83</v>
      </c>
      <c r="R3337" s="23">
        <v>11100176</v>
      </c>
      <c r="S3337" s="24" t="s">
        <v>80</v>
      </c>
      <c r="T3337" s="24">
        <v>46006</v>
      </c>
      <c r="U3337" s="24">
        <v>46092</v>
      </c>
      <c r="X3337" s="24">
        <v>46003</v>
      </c>
      <c r="Y3337" s="23">
        <v>1111</v>
      </c>
      <c r="Z3337" s="23">
        <v>11600007</v>
      </c>
      <c r="AA3337" s="23">
        <v>5251</v>
      </c>
      <c r="AB3337" s="24">
        <v>46002</v>
      </c>
    </row>
    <row r="3338" spans="2:28" x14ac:dyDescent="0.2">
      <c r="B3338" s="23" t="s">
        <v>81</v>
      </c>
      <c r="C3338" s="23">
        <v>1100571443</v>
      </c>
      <c r="H3338" s="24">
        <v>47848</v>
      </c>
      <c r="O3338" s="23">
        <v>0.01</v>
      </c>
      <c r="P3338" s="23" t="s">
        <v>79</v>
      </c>
    </row>
    <row r="3339" spans="2:28" x14ac:dyDescent="0.2">
      <c r="C3339" s="23">
        <v>1100571741</v>
      </c>
      <c r="E3339" s="23">
        <v>20</v>
      </c>
      <c r="F3339" s="23" t="s">
        <v>82</v>
      </c>
      <c r="G3339" s="23" t="s">
        <v>139</v>
      </c>
      <c r="H3339" s="24">
        <v>47848</v>
      </c>
      <c r="I3339" s="24">
        <v>47848</v>
      </c>
      <c r="J3339" s="23" t="s">
        <v>883</v>
      </c>
      <c r="K3339" s="23" t="s">
        <v>883</v>
      </c>
      <c r="L3339" s="23">
        <v>1</v>
      </c>
      <c r="M3339" s="23" t="s">
        <v>78</v>
      </c>
      <c r="N3339" s="23" t="s">
        <v>78</v>
      </c>
      <c r="O3339" s="23">
        <v>0.01</v>
      </c>
      <c r="P3339" s="23" t="s">
        <v>79</v>
      </c>
      <c r="Q3339" s="23" t="s">
        <v>83</v>
      </c>
      <c r="R3339" s="23">
        <v>11100176</v>
      </c>
      <c r="S3339" s="24" t="s">
        <v>80</v>
      </c>
      <c r="T3339" s="24">
        <v>46008</v>
      </c>
      <c r="U3339" s="24">
        <v>46091</v>
      </c>
      <c r="X3339" s="24">
        <v>46007</v>
      </c>
      <c r="Y3339" s="23">
        <v>1111</v>
      </c>
      <c r="Z3339" s="23">
        <v>11400811</v>
      </c>
      <c r="AA3339" s="23">
        <v>335103</v>
      </c>
      <c r="AB3339" s="24">
        <v>45994</v>
      </c>
    </row>
    <row r="3340" spans="2:28" x14ac:dyDescent="0.2">
      <c r="B3340" s="23" t="s">
        <v>81</v>
      </c>
      <c r="C3340" s="23">
        <v>1100571741</v>
      </c>
      <c r="H3340" s="24">
        <v>47848</v>
      </c>
      <c r="O3340" s="23">
        <v>0.01</v>
      </c>
      <c r="P3340" s="23" t="s">
        <v>79</v>
      </c>
    </row>
    <row r="3341" spans="2:28" x14ac:dyDescent="0.2">
      <c r="C3341" s="23">
        <v>1100571812</v>
      </c>
      <c r="E3341" s="23">
        <v>20</v>
      </c>
      <c r="F3341" s="23" t="s">
        <v>82</v>
      </c>
      <c r="G3341" s="23" t="s">
        <v>139</v>
      </c>
      <c r="H3341" s="24">
        <v>47848</v>
      </c>
      <c r="I3341" s="24">
        <v>47848</v>
      </c>
      <c r="J3341" s="23" t="s">
        <v>2043</v>
      </c>
      <c r="K3341" s="23" t="s">
        <v>2043</v>
      </c>
      <c r="L3341" s="23">
        <v>1</v>
      </c>
      <c r="M3341" s="23" t="s">
        <v>78</v>
      </c>
      <c r="N3341" s="23" t="s">
        <v>78</v>
      </c>
      <c r="O3341" s="23">
        <v>0.01</v>
      </c>
      <c r="P3341" s="23" t="s">
        <v>79</v>
      </c>
      <c r="Q3341" s="23" t="s">
        <v>83</v>
      </c>
      <c r="R3341" s="23">
        <v>11100176</v>
      </c>
      <c r="S3341" s="24" t="s">
        <v>80</v>
      </c>
      <c r="T3341" s="24">
        <v>46008</v>
      </c>
      <c r="U3341" s="24">
        <v>46091</v>
      </c>
      <c r="X3341" s="24">
        <v>46008</v>
      </c>
      <c r="Y3341" s="23">
        <v>1111</v>
      </c>
      <c r="Z3341" s="23">
        <v>11400742</v>
      </c>
      <c r="AA3341" s="23">
        <v>335103</v>
      </c>
      <c r="AB3341" s="24">
        <v>46008</v>
      </c>
    </row>
    <row r="3342" spans="2:28" x14ac:dyDescent="0.2">
      <c r="B3342" s="23" t="s">
        <v>81</v>
      </c>
      <c r="C3342" s="23">
        <v>1100571812</v>
      </c>
      <c r="H3342" s="24">
        <v>47848</v>
      </c>
      <c r="O3342" s="23">
        <v>0.01</v>
      </c>
      <c r="P3342" s="23" t="s">
        <v>79</v>
      </c>
    </row>
    <row r="3343" spans="2:28" x14ac:dyDescent="0.2">
      <c r="C3343" s="23">
        <v>1100571844</v>
      </c>
      <c r="E3343" s="23">
        <v>20</v>
      </c>
      <c r="F3343" s="23" t="s">
        <v>82</v>
      </c>
      <c r="G3343" s="23" t="s">
        <v>139</v>
      </c>
      <c r="H3343" s="24">
        <v>47848</v>
      </c>
      <c r="I3343" s="24">
        <v>47848</v>
      </c>
      <c r="J3343" s="23" t="s">
        <v>1081</v>
      </c>
      <c r="K3343" s="23" t="s">
        <v>1081</v>
      </c>
      <c r="L3343" s="23">
        <v>1</v>
      </c>
      <c r="M3343" s="23" t="s">
        <v>78</v>
      </c>
      <c r="N3343" s="23" t="s">
        <v>78</v>
      </c>
      <c r="O3343" s="23">
        <v>0.01</v>
      </c>
      <c r="P3343" s="23" t="s">
        <v>79</v>
      </c>
      <c r="Q3343" s="23" t="s">
        <v>83</v>
      </c>
      <c r="R3343" s="23">
        <v>11100176</v>
      </c>
      <c r="S3343" s="24" t="s">
        <v>80</v>
      </c>
      <c r="T3343" s="24">
        <v>46008</v>
      </c>
      <c r="U3343" s="24">
        <v>46091</v>
      </c>
      <c r="X3343" s="24">
        <v>46008</v>
      </c>
      <c r="Y3343" s="23">
        <v>1111</v>
      </c>
      <c r="Z3343" s="23">
        <v>11400811</v>
      </c>
      <c r="AA3343" s="23">
        <v>505103</v>
      </c>
      <c r="AB3343" s="24">
        <v>46008</v>
      </c>
    </row>
    <row r="3344" spans="2:28" x14ac:dyDescent="0.2">
      <c r="B3344" s="23" t="s">
        <v>81</v>
      </c>
      <c r="C3344" s="23">
        <v>1100571844</v>
      </c>
      <c r="H3344" s="24">
        <v>47848</v>
      </c>
      <c r="O3344" s="23">
        <v>0.01</v>
      </c>
      <c r="P3344" s="23" t="s">
        <v>79</v>
      </c>
    </row>
    <row r="3345" spans="2:28" x14ac:dyDescent="0.2">
      <c r="C3345" s="23">
        <v>1100571936</v>
      </c>
      <c r="E3345" s="23">
        <v>60</v>
      </c>
      <c r="F3345" s="23" t="s">
        <v>82</v>
      </c>
      <c r="G3345" s="23" t="s">
        <v>139</v>
      </c>
      <c r="H3345" s="24">
        <v>47848</v>
      </c>
      <c r="I3345" s="24">
        <v>47848</v>
      </c>
      <c r="J3345" s="23" t="s">
        <v>2117</v>
      </c>
      <c r="K3345" s="23" t="s">
        <v>2117</v>
      </c>
      <c r="L3345" s="23">
        <v>1</v>
      </c>
      <c r="M3345" s="23" t="s">
        <v>78</v>
      </c>
      <c r="N3345" s="23" t="s">
        <v>78</v>
      </c>
      <c r="O3345" s="23">
        <v>0.01</v>
      </c>
      <c r="P3345" s="23" t="s">
        <v>79</v>
      </c>
      <c r="Q3345" s="23" t="s">
        <v>83</v>
      </c>
      <c r="R3345" s="23">
        <v>11100176</v>
      </c>
      <c r="S3345" s="24" t="s">
        <v>80</v>
      </c>
      <c r="T3345" s="24">
        <v>46009</v>
      </c>
      <c r="U3345" s="24">
        <v>46021</v>
      </c>
      <c r="X3345" s="24">
        <v>46008</v>
      </c>
      <c r="Y3345" s="23">
        <v>1111</v>
      </c>
      <c r="Z3345" s="23">
        <v>11600007</v>
      </c>
      <c r="AA3345" s="23">
        <v>335103</v>
      </c>
      <c r="AB3345" s="24">
        <v>46008</v>
      </c>
    </row>
    <row r="3346" spans="2:28" x14ac:dyDescent="0.2">
      <c r="B3346" s="23" t="s">
        <v>81</v>
      </c>
      <c r="C3346" s="23">
        <v>1100571936</v>
      </c>
      <c r="H3346" s="24">
        <v>47848</v>
      </c>
      <c r="O3346" s="23">
        <v>0.01</v>
      </c>
      <c r="P3346" s="23" t="s">
        <v>79</v>
      </c>
    </row>
    <row r="3347" spans="2:28" x14ac:dyDescent="0.2">
      <c r="C3347" s="23">
        <v>1100573199</v>
      </c>
      <c r="E3347" s="23">
        <v>50</v>
      </c>
      <c r="F3347" s="23" t="s">
        <v>82</v>
      </c>
      <c r="G3347" s="23" t="s">
        <v>139</v>
      </c>
      <c r="H3347" s="24">
        <v>47848</v>
      </c>
      <c r="I3347" s="24">
        <v>47848</v>
      </c>
      <c r="J3347" s="23" t="s">
        <v>157</v>
      </c>
      <c r="K3347" s="23" t="s">
        <v>157</v>
      </c>
      <c r="L3347" s="23">
        <v>1</v>
      </c>
      <c r="M3347" s="23" t="s">
        <v>78</v>
      </c>
      <c r="N3347" s="23" t="s">
        <v>78</v>
      </c>
      <c r="O3347" s="23">
        <v>0.01</v>
      </c>
      <c r="P3347" s="23" t="s">
        <v>79</v>
      </c>
      <c r="Q3347" s="23" t="s">
        <v>83</v>
      </c>
      <c r="R3347" s="23">
        <v>11100176</v>
      </c>
      <c r="S3347" s="24" t="s">
        <v>80</v>
      </c>
      <c r="T3347" s="24">
        <v>46030</v>
      </c>
      <c r="U3347" s="24">
        <v>46752</v>
      </c>
      <c r="X3347" s="24">
        <v>46029</v>
      </c>
      <c r="Y3347" s="23">
        <v>1111</v>
      </c>
      <c r="Z3347" s="23">
        <v>11400745</v>
      </c>
      <c r="AA3347" s="23">
        <v>3351</v>
      </c>
      <c r="AB3347" s="24">
        <v>45971</v>
      </c>
    </row>
    <row r="3348" spans="2:28" x14ac:dyDescent="0.2">
      <c r="B3348" s="23" t="s">
        <v>81</v>
      </c>
      <c r="C3348" s="23">
        <v>1100573199</v>
      </c>
      <c r="H3348" s="24">
        <v>47848</v>
      </c>
      <c r="O3348" s="23">
        <v>0.01</v>
      </c>
      <c r="P3348" s="23" t="s">
        <v>79</v>
      </c>
    </row>
    <row r="3349" spans="2:28" x14ac:dyDescent="0.2">
      <c r="C3349" s="23">
        <v>1100573389</v>
      </c>
      <c r="E3349" s="23">
        <v>20</v>
      </c>
      <c r="F3349" s="23" t="s">
        <v>82</v>
      </c>
      <c r="G3349" s="23" t="s">
        <v>139</v>
      </c>
      <c r="H3349" s="24">
        <v>47848</v>
      </c>
      <c r="I3349" s="24">
        <v>47848</v>
      </c>
      <c r="J3349" s="23" t="s">
        <v>650</v>
      </c>
      <c r="K3349" s="23" t="s">
        <v>650</v>
      </c>
      <c r="L3349" s="23">
        <v>1</v>
      </c>
      <c r="M3349" s="23" t="s">
        <v>78</v>
      </c>
      <c r="N3349" s="23" t="s">
        <v>78</v>
      </c>
      <c r="O3349" s="23">
        <v>0.01</v>
      </c>
      <c r="P3349" s="23" t="s">
        <v>79</v>
      </c>
      <c r="Q3349" s="23" t="s">
        <v>83</v>
      </c>
      <c r="R3349" s="23">
        <v>11100176</v>
      </c>
      <c r="S3349" s="24" t="s">
        <v>80</v>
      </c>
      <c r="T3349" s="24">
        <v>46032</v>
      </c>
      <c r="U3349" s="24">
        <v>46090</v>
      </c>
      <c r="X3349" s="24">
        <v>46008</v>
      </c>
      <c r="Y3349" s="23">
        <v>1111</v>
      </c>
      <c r="Z3349" s="23">
        <v>11400937</v>
      </c>
      <c r="AA3349" s="23">
        <v>525103</v>
      </c>
      <c r="AB3349" s="24">
        <v>46008</v>
      </c>
    </row>
    <row r="3350" spans="2:28" x14ac:dyDescent="0.2">
      <c r="B3350" s="23" t="s">
        <v>81</v>
      </c>
      <c r="C3350" s="23">
        <v>1100573389</v>
      </c>
      <c r="H3350" s="24">
        <v>47848</v>
      </c>
      <c r="O3350" s="23">
        <v>0.01</v>
      </c>
      <c r="P3350" s="23" t="s">
        <v>79</v>
      </c>
    </row>
    <row r="3351" spans="2:28" x14ac:dyDescent="0.2">
      <c r="C3351" s="23">
        <v>1100573709</v>
      </c>
      <c r="E3351" s="23">
        <v>20</v>
      </c>
      <c r="F3351" s="23" t="s">
        <v>82</v>
      </c>
      <c r="G3351" s="23" t="s">
        <v>139</v>
      </c>
      <c r="H3351" s="24">
        <v>47848</v>
      </c>
      <c r="I3351" s="24">
        <v>47848</v>
      </c>
      <c r="J3351" s="23" t="s">
        <v>113</v>
      </c>
      <c r="K3351" s="23" t="s">
        <v>113</v>
      </c>
      <c r="L3351" s="23">
        <v>1</v>
      </c>
      <c r="M3351" s="23" t="s">
        <v>78</v>
      </c>
      <c r="N3351" s="23" t="s">
        <v>78</v>
      </c>
      <c r="O3351" s="23">
        <v>0.01</v>
      </c>
      <c r="P3351" s="23" t="s">
        <v>79</v>
      </c>
      <c r="Q3351" s="23" t="s">
        <v>83</v>
      </c>
      <c r="R3351" s="23">
        <v>11100176</v>
      </c>
      <c r="S3351" s="24" t="s">
        <v>80</v>
      </c>
      <c r="T3351" s="24">
        <v>46036</v>
      </c>
      <c r="U3351" s="24">
        <v>46091</v>
      </c>
      <c r="X3351" s="24">
        <v>46035</v>
      </c>
      <c r="Y3351" s="23">
        <v>1111</v>
      </c>
      <c r="Z3351" s="23">
        <v>11400797</v>
      </c>
      <c r="AA3351" s="23">
        <v>335103</v>
      </c>
      <c r="AB3351" s="24">
        <v>46031</v>
      </c>
    </row>
    <row r="3352" spans="2:28" x14ac:dyDescent="0.2">
      <c r="B3352" s="23" t="s">
        <v>81</v>
      </c>
      <c r="C3352" s="23">
        <v>1100573709</v>
      </c>
      <c r="H3352" s="24">
        <v>47848</v>
      </c>
      <c r="O3352" s="23">
        <v>0.01</v>
      </c>
      <c r="P3352" s="23" t="s">
        <v>79</v>
      </c>
    </row>
    <row r="3353" spans="2:28" x14ac:dyDescent="0.2">
      <c r="C3353" s="23">
        <v>1100573864</v>
      </c>
      <c r="E3353" s="23">
        <v>20</v>
      </c>
      <c r="F3353" s="23" t="s">
        <v>82</v>
      </c>
      <c r="G3353" s="23" t="s">
        <v>139</v>
      </c>
      <c r="H3353" s="24">
        <v>47848</v>
      </c>
      <c r="I3353" s="24">
        <v>47848</v>
      </c>
      <c r="J3353" s="23" t="s">
        <v>113</v>
      </c>
      <c r="K3353" s="23" t="s">
        <v>113</v>
      </c>
      <c r="L3353" s="23">
        <v>1</v>
      </c>
      <c r="M3353" s="23" t="s">
        <v>78</v>
      </c>
      <c r="N3353" s="23" t="s">
        <v>78</v>
      </c>
      <c r="O3353" s="23">
        <v>0.01</v>
      </c>
      <c r="P3353" s="23" t="s">
        <v>79</v>
      </c>
      <c r="Q3353" s="23" t="s">
        <v>83</v>
      </c>
      <c r="R3353" s="23">
        <v>11100176</v>
      </c>
      <c r="S3353" s="24" t="s">
        <v>80</v>
      </c>
      <c r="T3353" s="24">
        <v>46037</v>
      </c>
      <c r="U3353" s="24">
        <v>46093</v>
      </c>
      <c r="X3353" s="24">
        <v>46035</v>
      </c>
      <c r="Y3353" s="23">
        <v>1111</v>
      </c>
      <c r="Z3353" s="23">
        <v>11400937</v>
      </c>
      <c r="AA3353" s="23">
        <v>3351</v>
      </c>
      <c r="AB3353" s="24">
        <v>46031</v>
      </c>
    </row>
    <row r="3354" spans="2:28" x14ac:dyDescent="0.2">
      <c r="B3354" s="23" t="s">
        <v>81</v>
      </c>
      <c r="C3354" s="23">
        <v>1100573864</v>
      </c>
      <c r="H3354" s="24">
        <v>47848</v>
      </c>
      <c r="O3354" s="23">
        <v>0.01</v>
      </c>
      <c r="P3354" s="23" t="s">
        <v>79</v>
      </c>
    </row>
    <row r="3355" spans="2:28" x14ac:dyDescent="0.2">
      <c r="C3355" s="23">
        <v>1100574051</v>
      </c>
      <c r="E3355" s="23">
        <v>30</v>
      </c>
      <c r="F3355" s="23" t="s">
        <v>82</v>
      </c>
      <c r="G3355" s="23" t="s">
        <v>139</v>
      </c>
      <c r="H3355" s="24">
        <v>47848</v>
      </c>
      <c r="I3355" s="24">
        <v>47848</v>
      </c>
      <c r="J3355" s="23" t="s">
        <v>4208</v>
      </c>
      <c r="K3355" s="23" t="s">
        <v>4208</v>
      </c>
      <c r="L3355" s="23">
        <v>1</v>
      </c>
      <c r="M3355" s="23" t="s">
        <v>78</v>
      </c>
      <c r="N3355" s="23" t="s">
        <v>78</v>
      </c>
      <c r="O3355" s="23">
        <v>0.01</v>
      </c>
      <c r="P3355" s="23" t="s">
        <v>79</v>
      </c>
      <c r="Q3355" s="23" t="s">
        <v>83</v>
      </c>
      <c r="R3355" s="23">
        <v>11100176</v>
      </c>
      <c r="S3355" s="24" t="s">
        <v>80</v>
      </c>
      <c r="T3355" s="24">
        <v>46038</v>
      </c>
      <c r="U3355" s="24">
        <v>46087</v>
      </c>
      <c r="X3355" s="24">
        <v>45869</v>
      </c>
      <c r="Y3355" s="23">
        <v>1111</v>
      </c>
      <c r="Z3355" s="23">
        <v>11400606</v>
      </c>
      <c r="AA3355" s="23">
        <v>3351</v>
      </c>
      <c r="AB3355" s="24">
        <v>46030</v>
      </c>
    </row>
    <row r="3356" spans="2:28" x14ac:dyDescent="0.2">
      <c r="B3356" s="23" t="s">
        <v>81</v>
      </c>
      <c r="C3356" s="23">
        <v>1100574051</v>
      </c>
      <c r="H3356" s="24">
        <v>47848</v>
      </c>
      <c r="O3356" s="23">
        <v>0.01</v>
      </c>
      <c r="P3356" s="23" t="s">
        <v>79</v>
      </c>
    </row>
    <row r="3357" spans="2:28" x14ac:dyDescent="0.2">
      <c r="C3357" s="23">
        <v>1100574265</v>
      </c>
      <c r="E3357" s="23">
        <v>30</v>
      </c>
      <c r="F3357" s="23" t="s">
        <v>82</v>
      </c>
      <c r="G3357" s="23" t="s">
        <v>139</v>
      </c>
      <c r="H3357" s="24">
        <v>47848</v>
      </c>
      <c r="I3357" s="24">
        <v>47848</v>
      </c>
      <c r="J3357" s="23" t="s">
        <v>1056</v>
      </c>
      <c r="K3357" s="23" t="s">
        <v>1056</v>
      </c>
      <c r="L3357" s="23">
        <v>1</v>
      </c>
      <c r="M3357" s="23" t="s">
        <v>78</v>
      </c>
      <c r="N3357" s="23" t="s">
        <v>78</v>
      </c>
      <c r="O3357" s="23">
        <v>0.01</v>
      </c>
      <c r="P3357" s="23" t="s">
        <v>79</v>
      </c>
      <c r="Q3357" s="23" t="s">
        <v>83</v>
      </c>
      <c r="R3357" s="23">
        <v>11100176</v>
      </c>
      <c r="S3357" s="24" t="s">
        <v>80</v>
      </c>
      <c r="T3357" s="24">
        <v>46043</v>
      </c>
      <c r="U3357" s="24">
        <v>46091</v>
      </c>
      <c r="X3357" s="24">
        <v>46038</v>
      </c>
      <c r="Y3357" s="23">
        <v>1111</v>
      </c>
      <c r="Z3357" s="23">
        <v>11400811</v>
      </c>
      <c r="AA3357" s="23">
        <v>335103</v>
      </c>
      <c r="AB3357" s="24">
        <v>46038</v>
      </c>
    </row>
    <row r="3358" spans="2:28" x14ac:dyDescent="0.2">
      <c r="B3358" s="23" t="s">
        <v>81</v>
      </c>
      <c r="C3358" s="23">
        <v>1100574265</v>
      </c>
      <c r="H3358" s="24">
        <v>47848</v>
      </c>
      <c r="O3358" s="23">
        <v>0.01</v>
      </c>
      <c r="P3358" s="23" t="s">
        <v>79</v>
      </c>
    </row>
    <row r="3359" spans="2:28" x14ac:dyDescent="0.2">
      <c r="C3359" s="23">
        <v>1100574434</v>
      </c>
      <c r="E3359" s="23">
        <v>20</v>
      </c>
      <c r="F3359" s="23" t="s">
        <v>82</v>
      </c>
      <c r="G3359" s="23" t="s">
        <v>139</v>
      </c>
      <c r="H3359" s="24">
        <v>47848</v>
      </c>
      <c r="I3359" s="24">
        <v>47848</v>
      </c>
      <c r="J3359" s="23" t="s">
        <v>2180</v>
      </c>
      <c r="K3359" s="23" t="s">
        <v>2180</v>
      </c>
      <c r="L3359" s="23">
        <v>1</v>
      </c>
      <c r="M3359" s="23" t="s">
        <v>78</v>
      </c>
      <c r="N3359" s="23" t="s">
        <v>78</v>
      </c>
      <c r="O3359" s="23">
        <v>0.01</v>
      </c>
      <c r="P3359" s="23" t="s">
        <v>79</v>
      </c>
      <c r="Q3359" s="23" t="s">
        <v>83</v>
      </c>
      <c r="R3359" s="23">
        <v>11100176</v>
      </c>
      <c r="S3359" s="24" t="s">
        <v>80</v>
      </c>
      <c r="T3359" s="24">
        <v>46044</v>
      </c>
      <c r="U3359" s="24">
        <v>47116</v>
      </c>
      <c r="X3359" s="24">
        <v>46028</v>
      </c>
      <c r="Y3359" s="23">
        <v>1111</v>
      </c>
      <c r="Z3359" s="23">
        <v>11400895</v>
      </c>
      <c r="AA3359" s="23">
        <v>3351</v>
      </c>
      <c r="AB3359" s="24">
        <v>46028</v>
      </c>
    </row>
    <row r="3360" spans="2:28" x14ac:dyDescent="0.2">
      <c r="B3360" s="23" t="s">
        <v>81</v>
      </c>
      <c r="C3360" s="23">
        <v>1100574434</v>
      </c>
      <c r="H3360" s="24">
        <v>47848</v>
      </c>
      <c r="O3360" s="23">
        <v>0.01</v>
      </c>
      <c r="P3360" s="23" t="s">
        <v>79</v>
      </c>
    </row>
    <row r="3361" spans="2:28" x14ac:dyDescent="0.2">
      <c r="C3361" s="23">
        <v>1100574443</v>
      </c>
      <c r="E3361" s="23">
        <v>20</v>
      </c>
      <c r="F3361" s="23" t="s">
        <v>82</v>
      </c>
      <c r="G3361" s="23" t="s">
        <v>139</v>
      </c>
      <c r="H3361" s="24">
        <v>47848</v>
      </c>
      <c r="I3361" s="24">
        <v>47848</v>
      </c>
      <c r="J3361" s="23" t="s">
        <v>4209</v>
      </c>
      <c r="K3361" s="23" t="s">
        <v>4209</v>
      </c>
      <c r="L3361" s="23">
        <v>1</v>
      </c>
      <c r="M3361" s="23" t="s">
        <v>78</v>
      </c>
      <c r="N3361" s="23" t="s">
        <v>78</v>
      </c>
      <c r="O3361" s="23">
        <v>0.01</v>
      </c>
      <c r="P3361" s="23" t="s">
        <v>79</v>
      </c>
      <c r="Q3361" s="23" t="s">
        <v>83</v>
      </c>
      <c r="R3361" s="23">
        <v>11100176</v>
      </c>
      <c r="S3361" s="24" t="s">
        <v>80</v>
      </c>
      <c r="T3361" s="24">
        <v>46044</v>
      </c>
      <c r="U3361" s="24">
        <v>46051</v>
      </c>
      <c r="X3361" s="24">
        <v>46042</v>
      </c>
      <c r="Y3361" s="23">
        <v>1111</v>
      </c>
      <c r="Z3361" s="23">
        <v>11400745</v>
      </c>
      <c r="AA3361" s="23">
        <v>5051</v>
      </c>
      <c r="AB3361" s="24">
        <v>46036</v>
      </c>
    </row>
    <row r="3362" spans="2:28" x14ac:dyDescent="0.2">
      <c r="B3362" s="23" t="s">
        <v>81</v>
      </c>
      <c r="C3362" s="23">
        <v>1100574443</v>
      </c>
      <c r="H3362" s="24">
        <v>47848</v>
      </c>
      <c r="O3362" s="23">
        <v>0.01</v>
      </c>
      <c r="P3362" s="23" t="s">
        <v>79</v>
      </c>
    </row>
    <row r="3363" spans="2:28" x14ac:dyDescent="0.2">
      <c r="C3363" s="23">
        <v>1100574707</v>
      </c>
      <c r="E3363" s="23">
        <v>20</v>
      </c>
      <c r="F3363" s="23" t="s">
        <v>82</v>
      </c>
      <c r="G3363" s="23" t="s">
        <v>139</v>
      </c>
      <c r="H3363" s="24">
        <v>47848</v>
      </c>
      <c r="I3363" s="24">
        <v>47848</v>
      </c>
      <c r="J3363" s="23" t="s">
        <v>4210</v>
      </c>
      <c r="K3363" s="23" t="s">
        <v>4210</v>
      </c>
      <c r="L3363" s="23">
        <v>1</v>
      </c>
      <c r="M3363" s="23" t="s">
        <v>78</v>
      </c>
      <c r="N3363" s="23" t="s">
        <v>78</v>
      </c>
      <c r="O3363" s="23">
        <v>0.01</v>
      </c>
      <c r="P3363" s="23" t="s">
        <v>79</v>
      </c>
      <c r="Q3363" s="23" t="s">
        <v>83</v>
      </c>
      <c r="R3363" s="23">
        <v>11100176</v>
      </c>
      <c r="S3363" s="24" t="s">
        <v>80</v>
      </c>
      <c r="T3363" s="24">
        <v>46046</v>
      </c>
      <c r="U3363" s="24">
        <v>46090</v>
      </c>
      <c r="X3363" s="24">
        <v>46044</v>
      </c>
      <c r="Y3363" s="23">
        <v>1111</v>
      </c>
      <c r="Z3363" s="23">
        <v>11400797</v>
      </c>
      <c r="AA3363" s="23">
        <v>3751</v>
      </c>
      <c r="AB3363" s="24">
        <v>46042</v>
      </c>
    </row>
    <row r="3364" spans="2:28" x14ac:dyDescent="0.2">
      <c r="B3364" s="23" t="s">
        <v>81</v>
      </c>
      <c r="C3364" s="23">
        <v>1100574707</v>
      </c>
      <c r="H3364" s="24">
        <v>47848</v>
      </c>
      <c r="O3364" s="23">
        <v>0.01</v>
      </c>
      <c r="P3364" s="23" t="s">
        <v>79</v>
      </c>
    </row>
    <row r="3365" spans="2:28" x14ac:dyDescent="0.2">
      <c r="C3365" s="23">
        <v>1100574733</v>
      </c>
      <c r="E3365" s="23">
        <v>20</v>
      </c>
      <c r="F3365" s="23" t="s">
        <v>82</v>
      </c>
      <c r="G3365" s="23" t="s">
        <v>4211</v>
      </c>
      <c r="H3365" s="24">
        <v>47848</v>
      </c>
      <c r="I3365" s="24">
        <v>47848</v>
      </c>
      <c r="J3365" s="23" t="s">
        <v>3656</v>
      </c>
      <c r="K3365" s="23" t="s">
        <v>3656</v>
      </c>
      <c r="L3365" s="23">
        <v>1</v>
      </c>
      <c r="M3365" s="23" t="s">
        <v>78</v>
      </c>
      <c r="N3365" s="23" t="s">
        <v>78</v>
      </c>
      <c r="O3365" s="23">
        <v>268.66000000000003</v>
      </c>
      <c r="P3365" s="23" t="s">
        <v>79</v>
      </c>
      <c r="Q3365" s="23" t="s">
        <v>83</v>
      </c>
      <c r="R3365" s="23">
        <v>11100176</v>
      </c>
      <c r="S3365" s="24" t="s">
        <v>80</v>
      </c>
      <c r="T3365" s="24">
        <v>46046</v>
      </c>
      <c r="U3365" s="24">
        <v>46085</v>
      </c>
      <c r="X3365" s="24">
        <v>46037</v>
      </c>
      <c r="Y3365" s="23">
        <v>1111</v>
      </c>
      <c r="Z3365" s="23">
        <v>11400937</v>
      </c>
      <c r="AA3365" s="23">
        <v>3351</v>
      </c>
      <c r="AB3365" s="24">
        <v>46042</v>
      </c>
    </row>
    <row r="3366" spans="2:28" x14ac:dyDescent="0.2">
      <c r="B3366" s="23" t="s">
        <v>81</v>
      </c>
      <c r="C3366" s="23">
        <v>1100574733</v>
      </c>
      <c r="H3366" s="24">
        <v>47848</v>
      </c>
      <c r="O3366" s="23">
        <v>268.66000000000003</v>
      </c>
      <c r="P3366" s="23" t="s">
        <v>79</v>
      </c>
    </row>
    <row r="3367" spans="2:28" x14ac:dyDescent="0.2">
      <c r="C3367" s="23">
        <v>1100574759</v>
      </c>
      <c r="E3367" s="23">
        <v>20</v>
      </c>
      <c r="F3367" s="23" t="s">
        <v>82</v>
      </c>
      <c r="G3367" s="23" t="s">
        <v>139</v>
      </c>
      <c r="H3367" s="24">
        <v>47848</v>
      </c>
      <c r="I3367" s="24">
        <v>47848</v>
      </c>
      <c r="J3367" s="23" t="s">
        <v>2712</v>
      </c>
      <c r="K3367" s="23" t="s">
        <v>2712</v>
      </c>
      <c r="L3367" s="23">
        <v>1</v>
      </c>
      <c r="M3367" s="23" t="s">
        <v>78</v>
      </c>
      <c r="N3367" s="23" t="s">
        <v>78</v>
      </c>
      <c r="O3367" s="23">
        <v>0.01</v>
      </c>
      <c r="P3367" s="23" t="s">
        <v>79</v>
      </c>
      <c r="Q3367" s="23" t="s">
        <v>83</v>
      </c>
      <c r="R3367" s="23">
        <v>11100176</v>
      </c>
      <c r="S3367" s="24" t="s">
        <v>80</v>
      </c>
      <c r="T3367" s="24">
        <v>46046</v>
      </c>
      <c r="U3367" s="24">
        <v>46093</v>
      </c>
      <c r="X3367" s="24">
        <v>46044</v>
      </c>
      <c r="Y3367" s="23">
        <v>1111</v>
      </c>
      <c r="Z3367" s="23">
        <v>11400811</v>
      </c>
      <c r="AA3367" s="23">
        <v>395103</v>
      </c>
      <c r="AB3367" s="24">
        <v>46045</v>
      </c>
    </row>
    <row r="3368" spans="2:28" x14ac:dyDescent="0.2">
      <c r="B3368" s="23" t="s">
        <v>81</v>
      </c>
      <c r="C3368" s="23">
        <v>1100574759</v>
      </c>
      <c r="H3368" s="24">
        <v>47848</v>
      </c>
      <c r="O3368" s="23">
        <v>0.01</v>
      </c>
      <c r="P3368" s="23" t="s">
        <v>79</v>
      </c>
    </row>
    <row r="3369" spans="2:28" x14ac:dyDescent="0.2">
      <c r="C3369" s="23">
        <v>1100574774</v>
      </c>
      <c r="E3369" s="23">
        <v>20</v>
      </c>
      <c r="F3369" s="23" t="s">
        <v>82</v>
      </c>
      <c r="G3369" s="23" t="s">
        <v>139</v>
      </c>
      <c r="H3369" s="24">
        <v>47848</v>
      </c>
      <c r="I3369" s="24">
        <v>47848</v>
      </c>
      <c r="J3369" s="23" t="s">
        <v>671</v>
      </c>
      <c r="K3369" s="23" t="s">
        <v>671</v>
      </c>
      <c r="L3369" s="23">
        <v>1</v>
      </c>
      <c r="M3369" s="23" t="s">
        <v>78</v>
      </c>
      <c r="N3369" s="23" t="s">
        <v>78</v>
      </c>
      <c r="O3369" s="23">
        <v>0.01</v>
      </c>
      <c r="P3369" s="23" t="s">
        <v>79</v>
      </c>
      <c r="Q3369" s="23" t="s">
        <v>83</v>
      </c>
      <c r="R3369" s="23">
        <v>11100176</v>
      </c>
      <c r="S3369" s="24" t="s">
        <v>80</v>
      </c>
      <c r="T3369" s="24">
        <v>46048</v>
      </c>
      <c r="U3369" s="24">
        <v>46091</v>
      </c>
      <c r="X3369" s="24">
        <v>46044</v>
      </c>
      <c r="Y3369" s="23">
        <v>1111</v>
      </c>
      <c r="Z3369" s="23">
        <v>11400606</v>
      </c>
      <c r="AA3369" s="23">
        <v>335103</v>
      </c>
      <c r="AB3369" s="24">
        <v>46045</v>
      </c>
    </row>
    <row r="3370" spans="2:28" x14ac:dyDescent="0.2">
      <c r="B3370" s="23" t="s">
        <v>81</v>
      </c>
      <c r="C3370" s="23">
        <v>1100574774</v>
      </c>
      <c r="H3370" s="24">
        <v>47848</v>
      </c>
      <c r="O3370" s="23">
        <v>0.01</v>
      </c>
      <c r="P3370" s="23" t="s">
        <v>79</v>
      </c>
    </row>
    <row r="3371" spans="2:28" x14ac:dyDescent="0.2">
      <c r="C3371" s="23">
        <v>1100574777</v>
      </c>
      <c r="E3371" s="23">
        <v>20</v>
      </c>
      <c r="F3371" s="23" t="s">
        <v>82</v>
      </c>
      <c r="G3371" s="23" t="s">
        <v>139</v>
      </c>
      <c r="H3371" s="24">
        <v>47848</v>
      </c>
      <c r="I3371" s="24">
        <v>47848</v>
      </c>
      <c r="J3371" s="23" t="s">
        <v>4212</v>
      </c>
      <c r="K3371" s="23" t="s">
        <v>4212</v>
      </c>
      <c r="L3371" s="23">
        <v>1</v>
      </c>
      <c r="M3371" s="23" t="s">
        <v>78</v>
      </c>
      <c r="N3371" s="23" t="s">
        <v>78</v>
      </c>
      <c r="O3371" s="23">
        <v>0.01</v>
      </c>
      <c r="P3371" s="23" t="s">
        <v>79</v>
      </c>
      <c r="Q3371" s="23" t="s">
        <v>83</v>
      </c>
      <c r="R3371" s="23">
        <v>11100176</v>
      </c>
      <c r="S3371" s="24" t="s">
        <v>80</v>
      </c>
      <c r="T3371" s="24">
        <v>46048</v>
      </c>
      <c r="U3371" s="24">
        <v>46087</v>
      </c>
      <c r="X3371" s="24">
        <v>46044</v>
      </c>
      <c r="Y3371" s="23">
        <v>1111</v>
      </c>
      <c r="Z3371" s="23">
        <v>11400606</v>
      </c>
      <c r="AA3371" s="23">
        <v>3351</v>
      </c>
      <c r="AB3371" s="24">
        <v>46043</v>
      </c>
    </row>
    <row r="3372" spans="2:28" x14ac:dyDescent="0.2">
      <c r="B3372" s="23" t="s">
        <v>81</v>
      </c>
      <c r="C3372" s="23">
        <v>1100574777</v>
      </c>
      <c r="H3372" s="24">
        <v>47848</v>
      </c>
      <c r="O3372" s="23">
        <v>0.01</v>
      </c>
      <c r="P3372" s="23" t="s">
        <v>79</v>
      </c>
    </row>
    <row r="3373" spans="2:28" x14ac:dyDescent="0.2">
      <c r="C3373" s="23">
        <v>1100574813</v>
      </c>
      <c r="E3373" s="23">
        <v>20</v>
      </c>
      <c r="F3373" s="23" t="s">
        <v>82</v>
      </c>
      <c r="G3373" s="23" t="s">
        <v>139</v>
      </c>
      <c r="H3373" s="24">
        <v>47848</v>
      </c>
      <c r="I3373" s="24">
        <v>47848</v>
      </c>
      <c r="J3373" s="23" t="s">
        <v>224</v>
      </c>
      <c r="K3373" s="23" t="s">
        <v>224</v>
      </c>
      <c r="L3373" s="23">
        <v>1</v>
      </c>
      <c r="M3373" s="23" t="s">
        <v>78</v>
      </c>
      <c r="N3373" s="23" t="s">
        <v>78</v>
      </c>
      <c r="O3373" s="23">
        <v>0.01</v>
      </c>
      <c r="P3373" s="23" t="s">
        <v>79</v>
      </c>
      <c r="Q3373" s="23" t="s">
        <v>83</v>
      </c>
      <c r="R3373" s="23">
        <v>11100176</v>
      </c>
      <c r="S3373" s="24">
        <v>46091</v>
      </c>
      <c r="T3373" s="24">
        <v>46048</v>
      </c>
      <c r="U3373" s="24">
        <v>46091</v>
      </c>
      <c r="X3373" s="24">
        <v>46044</v>
      </c>
      <c r="Y3373" s="23">
        <v>1111</v>
      </c>
      <c r="Z3373" s="23">
        <v>11100320</v>
      </c>
      <c r="AA3373" s="23">
        <v>3351</v>
      </c>
      <c r="AB3373" s="24">
        <v>46043</v>
      </c>
    </row>
    <row r="3374" spans="2:28" x14ac:dyDescent="0.2">
      <c r="B3374" s="23" t="s">
        <v>81</v>
      </c>
      <c r="C3374" s="23">
        <v>1100574813</v>
      </c>
      <c r="H3374" s="24">
        <v>47848</v>
      </c>
      <c r="O3374" s="23">
        <v>0.01</v>
      </c>
      <c r="P3374" s="23" t="s">
        <v>79</v>
      </c>
    </row>
    <row r="3375" spans="2:28" x14ac:dyDescent="0.2">
      <c r="C3375" s="23">
        <v>1100575031</v>
      </c>
      <c r="E3375" s="23">
        <v>60</v>
      </c>
      <c r="F3375" s="23" t="s">
        <v>82</v>
      </c>
      <c r="G3375" s="23" t="s">
        <v>139</v>
      </c>
      <c r="H3375" s="24">
        <v>47848</v>
      </c>
      <c r="I3375" s="24">
        <v>47848</v>
      </c>
      <c r="J3375" s="23" t="s">
        <v>3205</v>
      </c>
      <c r="K3375" s="23" t="s">
        <v>3205</v>
      </c>
      <c r="L3375" s="23">
        <v>1</v>
      </c>
      <c r="M3375" s="23" t="s">
        <v>78</v>
      </c>
      <c r="N3375" s="23" t="s">
        <v>78</v>
      </c>
      <c r="O3375" s="23">
        <v>0.01</v>
      </c>
      <c r="P3375" s="23" t="s">
        <v>79</v>
      </c>
      <c r="Q3375" s="23" t="s">
        <v>83</v>
      </c>
      <c r="R3375" s="23">
        <v>11100176</v>
      </c>
      <c r="S3375" s="24" t="s">
        <v>80</v>
      </c>
      <c r="T3375" s="24">
        <v>46049</v>
      </c>
      <c r="U3375" s="24">
        <v>46056</v>
      </c>
      <c r="X3375" s="24">
        <v>46049</v>
      </c>
      <c r="Y3375" s="23">
        <v>1111</v>
      </c>
      <c r="Z3375" s="23">
        <v>11100137</v>
      </c>
      <c r="AA3375" s="23">
        <v>335103</v>
      </c>
      <c r="AB3375" s="24">
        <v>46049</v>
      </c>
    </row>
    <row r="3376" spans="2:28" x14ac:dyDescent="0.2">
      <c r="B3376" s="23" t="s">
        <v>81</v>
      </c>
      <c r="C3376" s="23">
        <v>1100575031</v>
      </c>
      <c r="H3376" s="24">
        <v>47848</v>
      </c>
      <c r="O3376" s="23">
        <v>0.01</v>
      </c>
      <c r="P3376" s="23" t="s">
        <v>79</v>
      </c>
    </row>
    <row r="3377" spans="2:28" x14ac:dyDescent="0.2">
      <c r="C3377" s="23">
        <v>1100575059</v>
      </c>
      <c r="E3377" s="23">
        <v>20</v>
      </c>
      <c r="F3377" s="23" t="s">
        <v>82</v>
      </c>
      <c r="G3377" s="23" t="s">
        <v>139</v>
      </c>
      <c r="H3377" s="24">
        <v>47848</v>
      </c>
      <c r="I3377" s="24">
        <v>47848</v>
      </c>
      <c r="J3377" s="23" t="s">
        <v>1433</v>
      </c>
      <c r="K3377" s="23" t="s">
        <v>1433</v>
      </c>
      <c r="L3377" s="23">
        <v>1</v>
      </c>
      <c r="M3377" s="23" t="s">
        <v>78</v>
      </c>
      <c r="N3377" s="23" t="s">
        <v>78</v>
      </c>
      <c r="O3377" s="23">
        <v>0.01</v>
      </c>
      <c r="P3377" s="23" t="s">
        <v>79</v>
      </c>
      <c r="Q3377" s="23" t="s">
        <v>83</v>
      </c>
      <c r="R3377" s="23">
        <v>11100176</v>
      </c>
      <c r="S3377" s="24" t="s">
        <v>80</v>
      </c>
      <c r="T3377" s="24">
        <v>46049</v>
      </c>
      <c r="U3377" s="24">
        <v>46091</v>
      </c>
      <c r="X3377" s="24">
        <v>46045</v>
      </c>
      <c r="Y3377" s="23">
        <v>1111</v>
      </c>
      <c r="Z3377" s="23">
        <v>11400606</v>
      </c>
      <c r="AA3377" s="23">
        <v>335103</v>
      </c>
      <c r="AB3377" s="24">
        <v>46045</v>
      </c>
    </row>
    <row r="3378" spans="2:28" x14ac:dyDescent="0.2">
      <c r="B3378" s="23" t="s">
        <v>81</v>
      </c>
      <c r="C3378" s="23">
        <v>1100575059</v>
      </c>
      <c r="H3378" s="24">
        <v>47848</v>
      </c>
      <c r="O3378" s="23">
        <v>0.01</v>
      </c>
      <c r="P3378" s="23" t="s">
        <v>79</v>
      </c>
    </row>
    <row r="3379" spans="2:28" x14ac:dyDescent="0.2">
      <c r="C3379" s="23">
        <v>1100575100</v>
      </c>
      <c r="E3379" s="23">
        <v>20</v>
      </c>
      <c r="F3379" s="23" t="s">
        <v>94</v>
      </c>
      <c r="G3379" s="23" t="s">
        <v>95</v>
      </c>
      <c r="H3379" s="24">
        <v>47848</v>
      </c>
      <c r="I3379" s="24">
        <v>47848</v>
      </c>
      <c r="J3379" s="23" t="s">
        <v>4213</v>
      </c>
      <c r="K3379" s="23" t="s">
        <v>4213</v>
      </c>
      <c r="L3379" s="23">
        <v>1</v>
      </c>
      <c r="M3379" s="23" t="s">
        <v>78</v>
      </c>
      <c r="N3379" s="23" t="s">
        <v>78</v>
      </c>
      <c r="O3379" s="23">
        <v>65.08</v>
      </c>
      <c r="P3379" s="23" t="s">
        <v>79</v>
      </c>
      <c r="Q3379" s="23" t="s">
        <v>83</v>
      </c>
      <c r="R3379" s="23">
        <v>11100176</v>
      </c>
      <c r="S3379" s="24" t="s">
        <v>80</v>
      </c>
      <c r="T3379" s="24">
        <v>46049</v>
      </c>
      <c r="U3379" s="24">
        <v>46092</v>
      </c>
      <c r="X3379" s="24">
        <v>46049</v>
      </c>
      <c r="Y3379" s="23">
        <v>1111</v>
      </c>
      <c r="Z3379" s="23">
        <v>11400789</v>
      </c>
      <c r="AA3379" s="23">
        <v>3951</v>
      </c>
      <c r="AB3379" s="24">
        <v>46048</v>
      </c>
    </row>
    <row r="3380" spans="2:28" x14ac:dyDescent="0.2">
      <c r="B3380" s="23" t="s">
        <v>81</v>
      </c>
      <c r="C3380" s="23">
        <v>1100575100</v>
      </c>
      <c r="H3380" s="24">
        <v>47848</v>
      </c>
      <c r="O3380" s="23">
        <v>65.08</v>
      </c>
      <c r="P3380" s="23" t="s">
        <v>79</v>
      </c>
    </row>
    <row r="3381" spans="2:28" x14ac:dyDescent="0.2">
      <c r="C3381" s="23">
        <v>1100575128</v>
      </c>
      <c r="E3381" s="23">
        <v>20</v>
      </c>
      <c r="F3381" s="23" t="s">
        <v>82</v>
      </c>
      <c r="G3381" s="23" t="s">
        <v>139</v>
      </c>
      <c r="H3381" s="24">
        <v>47848</v>
      </c>
      <c r="I3381" s="24">
        <v>47848</v>
      </c>
      <c r="J3381" s="23" t="s">
        <v>686</v>
      </c>
      <c r="K3381" s="23" t="s">
        <v>686</v>
      </c>
      <c r="L3381" s="23">
        <v>1</v>
      </c>
      <c r="M3381" s="23" t="s">
        <v>78</v>
      </c>
      <c r="N3381" s="23" t="s">
        <v>78</v>
      </c>
      <c r="O3381" s="23">
        <v>0.01</v>
      </c>
      <c r="P3381" s="23" t="s">
        <v>79</v>
      </c>
      <c r="Q3381" s="23" t="s">
        <v>83</v>
      </c>
      <c r="R3381" s="23">
        <v>11100176</v>
      </c>
      <c r="S3381" s="24">
        <v>46080</v>
      </c>
      <c r="T3381" s="24">
        <v>46050</v>
      </c>
      <c r="U3381" s="24">
        <v>46091</v>
      </c>
      <c r="X3381" s="24">
        <v>46041</v>
      </c>
      <c r="Y3381" s="23">
        <v>1111</v>
      </c>
      <c r="Z3381" s="23">
        <v>11600003</v>
      </c>
      <c r="AA3381" s="23">
        <v>335103</v>
      </c>
      <c r="AB3381" s="24">
        <v>46048</v>
      </c>
    </row>
    <row r="3382" spans="2:28" x14ac:dyDescent="0.2">
      <c r="B3382" s="23" t="s">
        <v>81</v>
      </c>
      <c r="C3382" s="23">
        <v>1100575128</v>
      </c>
      <c r="H3382" s="24">
        <v>47848</v>
      </c>
      <c r="O3382" s="23">
        <v>0.01</v>
      </c>
      <c r="P3382" s="23" t="s">
        <v>79</v>
      </c>
    </row>
    <row r="3383" spans="2:28" x14ac:dyDescent="0.2">
      <c r="C3383" s="23">
        <v>1100575186</v>
      </c>
      <c r="E3383" s="23">
        <v>40</v>
      </c>
      <c r="F3383" s="23" t="s">
        <v>82</v>
      </c>
      <c r="G3383" s="23" t="s">
        <v>139</v>
      </c>
      <c r="H3383" s="24">
        <v>47848</v>
      </c>
      <c r="I3383" s="24">
        <v>47848</v>
      </c>
      <c r="J3383" s="23" t="s">
        <v>411</v>
      </c>
      <c r="K3383" s="23" t="s">
        <v>411</v>
      </c>
      <c r="L3383" s="23">
        <v>1</v>
      </c>
      <c r="M3383" s="23" t="s">
        <v>78</v>
      </c>
      <c r="N3383" s="23" t="s">
        <v>78</v>
      </c>
      <c r="O3383" s="23">
        <v>0.01</v>
      </c>
      <c r="P3383" s="23" t="s">
        <v>79</v>
      </c>
      <c r="Q3383" s="23" t="s">
        <v>83</v>
      </c>
      <c r="R3383" s="23">
        <v>11100176</v>
      </c>
      <c r="S3383" s="24">
        <v>46064</v>
      </c>
      <c r="T3383" s="24">
        <v>46050</v>
      </c>
      <c r="U3383" s="24">
        <v>46064</v>
      </c>
      <c r="X3383" s="24">
        <v>46048</v>
      </c>
      <c r="Y3383" s="23">
        <v>1111</v>
      </c>
      <c r="Z3383" s="23">
        <v>11600001</v>
      </c>
      <c r="AA3383" s="23">
        <v>3351</v>
      </c>
      <c r="AB3383" s="24">
        <v>46043</v>
      </c>
    </row>
    <row r="3384" spans="2:28" x14ac:dyDescent="0.2">
      <c r="B3384" s="23" t="s">
        <v>81</v>
      </c>
      <c r="C3384" s="23">
        <v>1100575186</v>
      </c>
      <c r="H3384" s="24">
        <v>47848</v>
      </c>
      <c r="O3384" s="23">
        <v>0.01</v>
      </c>
      <c r="P3384" s="23" t="s">
        <v>79</v>
      </c>
    </row>
    <row r="3385" spans="2:28" x14ac:dyDescent="0.2">
      <c r="C3385" s="23">
        <v>1100575245</v>
      </c>
      <c r="E3385" s="23">
        <v>20</v>
      </c>
      <c r="F3385" s="23" t="s">
        <v>82</v>
      </c>
      <c r="G3385" s="23" t="s">
        <v>139</v>
      </c>
      <c r="H3385" s="24">
        <v>47848</v>
      </c>
      <c r="I3385" s="24">
        <v>47848</v>
      </c>
      <c r="J3385" s="23" t="s">
        <v>2663</v>
      </c>
      <c r="K3385" s="23" t="s">
        <v>2663</v>
      </c>
      <c r="L3385" s="23">
        <v>1</v>
      </c>
      <c r="M3385" s="23" t="s">
        <v>78</v>
      </c>
      <c r="N3385" s="23" t="s">
        <v>78</v>
      </c>
      <c r="O3385" s="23">
        <v>0.01</v>
      </c>
      <c r="P3385" s="23" t="s">
        <v>79</v>
      </c>
      <c r="Q3385" s="23" t="s">
        <v>83</v>
      </c>
      <c r="R3385" s="23">
        <v>11100176</v>
      </c>
      <c r="S3385" s="24">
        <v>46093</v>
      </c>
      <c r="T3385" s="24">
        <v>46050</v>
      </c>
      <c r="U3385" s="24">
        <v>46091</v>
      </c>
      <c r="X3385" s="24">
        <v>46042</v>
      </c>
      <c r="Y3385" s="23">
        <v>1111</v>
      </c>
      <c r="Z3385" s="23">
        <v>11100320</v>
      </c>
      <c r="AA3385" s="23">
        <v>3351</v>
      </c>
      <c r="AB3385" s="24">
        <v>46036</v>
      </c>
    </row>
    <row r="3386" spans="2:28" x14ac:dyDescent="0.2">
      <c r="B3386" s="23" t="s">
        <v>81</v>
      </c>
      <c r="C3386" s="23">
        <v>1100575245</v>
      </c>
      <c r="H3386" s="24">
        <v>47848</v>
      </c>
      <c r="O3386" s="23">
        <v>0.01</v>
      </c>
      <c r="P3386" s="23" t="s">
        <v>79</v>
      </c>
    </row>
    <row r="3387" spans="2:28" x14ac:dyDescent="0.2">
      <c r="C3387" s="23">
        <v>1100575336</v>
      </c>
      <c r="E3387" s="23">
        <v>20</v>
      </c>
      <c r="F3387" s="23" t="s">
        <v>82</v>
      </c>
      <c r="G3387" s="23" t="s">
        <v>139</v>
      </c>
      <c r="H3387" s="24">
        <v>47848</v>
      </c>
      <c r="I3387" s="24">
        <v>47848</v>
      </c>
      <c r="J3387" s="23" t="s">
        <v>1053</v>
      </c>
      <c r="K3387" s="23" t="s">
        <v>1053</v>
      </c>
      <c r="L3387" s="23">
        <v>1</v>
      </c>
      <c r="M3387" s="23" t="s">
        <v>78</v>
      </c>
      <c r="N3387" s="23" t="s">
        <v>78</v>
      </c>
      <c r="O3387" s="23">
        <v>0.01</v>
      </c>
      <c r="P3387" s="23" t="s">
        <v>79</v>
      </c>
      <c r="Q3387" s="23" t="s">
        <v>83</v>
      </c>
      <c r="R3387" s="23">
        <v>11100176</v>
      </c>
      <c r="S3387" s="24" t="s">
        <v>80</v>
      </c>
      <c r="T3387" s="24">
        <v>46051</v>
      </c>
      <c r="U3387" s="24">
        <v>46087</v>
      </c>
      <c r="X3387" s="24">
        <v>46050</v>
      </c>
      <c r="Y3387" s="23">
        <v>1111</v>
      </c>
      <c r="Z3387" s="23">
        <v>11100137</v>
      </c>
      <c r="AA3387" s="23">
        <v>3951</v>
      </c>
      <c r="AB3387" s="24">
        <v>46050</v>
      </c>
    </row>
    <row r="3388" spans="2:28" x14ac:dyDescent="0.2">
      <c r="B3388" s="23" t="s">
        <v>81</v>
      </c>
      <c r="C3388" s="23">
        <v>1100575336</v>
      </c>
      <c r="H3388" s="24">
        <v>47848</v>
      </c>
      <c r="O3388" s="23">
        <v>0.01</v>
      </c>
      <c r="P3388" s="23" t="s">
        <v>79</v>
      </c>
    </row>
    <row r="3389" spans="2:28" x14ac:dyDescent="0.2">
      <c r="C3389" s="23">
        <v>1100575345</v>
      </c>
      <c r="E3389" s="23">
        <v>20</v>
      </c>
      <c r="F3389" s="23" t="s">
        <v>82</v>
      </c>
      <c r="G3389" s="23" t="s">
        <v>139</v>
      </c>
      <c r="H3389" s="24">
        <v>47848</v>
      </c>
      <c r="I3389" s="24">
        <v>47848</v>
      </c>
      <c r="J3389" s="23" t="s">
        <v>242</v>
      </c>
      <c r="K3389" s="23" t="s">
        <v>242</v>
      </c>
      <c r="L3389" s="23">
        <v>1</v>
      </c>
      <c r="M3389" s="23" t="s">
        <v>78</v>
      </c>
      <c r="N3389" s="23" t="s">
        <v>78</v>
      </c>
      <c r="O3389" s="23">
        <v>0.01</v>
      </c>
      <c r="P3389" s="23" t="s">
        <v>79</v>
      </c>
      <c r="Q3389" s="23" t="s">
        <v>83</v>
      </c>
      <c r="R3389" s="23">
        <v>11100176</v>
      </c>
      <c r="S3389" s="24" t="s">
        <v>80</v>
      </c>
      <c r="T3389" s="24">
        <v>46051</v>
      </c>
      <c r="U3389" s="24">
        <v>46093</v>
      </c>
      <c r="X3389" s="24">
        <v>46051</v>
      </c>
      <c r="Y3389" s="23">
        <v>1111</v>
      </c>
      <c r="Z3389" s="23">
        <v>11400789</v>
      </c>
      <c r="AA3389" s="23">
        <v>505103</v>
      </c>
      <c r="AB3389" s="24">
        <v>46050</v>
      </c>
    </row>
    <row r="3390" spans="2:28" x14ac:dyDescent="0.2">
      <c r="B3390" s="23" t="s">
        <v>81</v>
      </c>
      <c r="C3390" s="23">
        <v>1100575345</v>
      </c>
      <c r="H3390" s="24">
        <v>47848</v>
      </c>
      <c r="O3390" s="23">
        <v>0.01</v>
      </c>
      <c r="P3390" s="23" t="s">
        <v>79</v>
      </c>
    </row>
    <row r="3391" spans="2:28" x14ac:dyDescent="0.2">
      <c r="C3391" s="23">
        <v>1100575466</v>
      </c>
      <c r="E3391" s="23">
        <v>20</v>
      </c>
      <c r="F3391" s="23" t="s">
        <v>82</v>
      </c>
      <c r="G3391" s="23" t="s">
        <v>139</v>
      </c>
      <c r="H3391" s="24">
        <v>47848</v>
      </c>
      <c r="I3391" s="24">
        <v>47848</v>
      </c>
      <c r="J3391" s="23" t="s">
        <v>814</v>
      </c>
      <c r="K3391" s="23" t="s">
        <v>814</v>
      </c>
      <c r="L3391" s="23">
        <v>1</v>
      </c>
      <c r="M3391" s="23" t="s">
        <v>78</v>
      </c>
      <c r="N3391" s="23" t="s">
        <v>78</v>
      </c>
      <c r="O3391" s="23">
        <v>0.01</v>
      </c>
      <c r="P3391" s="23" t="s">
        <v>79</v>
      </c>
      <c r="Q3391" s="23" t="s">
        <v>83</v>
      </c>
      <c r="R3391" s="23">
        <v>11100176</v>
      </c>
      <c r="S3391" s="24" t="s">
        <v>80</v>
      </c>
      <c r="T3391" s="24">
        <v>46052</v>
      </c>
      <c r="U3391" s="24">
        <v>46091</v>
      </c>
      <c r="X3391" s="24">
        <v>46052</v>
      </c>
      <c r="Y3391" s="23">
        <v>1111</v>
      </c>
      <c r="Z3391" s="23">
        <v>11600007</v>
      </c>
      <c r="AA3391" s="23">
        <v>335103</v>
      </c>
      <c r="AB3391" s="24">
        <v>46049</v>
      </c>
    </row>
    <row r="3392" spans="2:28" x14ac:dyDescent="0.2">
      <c r="B3392" s="23" t="s">
        <v>81</v>
      </c>
      <c r="C3392" s="23">
        <v>1100575466</v>
      </c>
      <c r="H3392" s="24">
        <v>47848</v>
      </c>
      <c r="O3392" s="23">
        <v>0.01</v>
      </c>
      <c r="P3392" s="23" t="s">
        <v>79</v>
      </c>
    </row>
    <row r="3393" spans="2:28" x14ac:dyDescent="0.2">
      <c r="C3393" s="23">
        <v>1100575472</v>
      </c>
      <c r="E3393" s="23">
        <v>20</v>
      </c>
      <c r="F3393" s="23" t="s">
        <v>82</v>
      </c>
      <c r="G3393" s="23" t="s">
        <v>139</v>
      </c>
      <c r="H3393" s="24">
        <v>47848</v>
      </c>
      <c r="I3393" s="24">
        <v>47848</v>
      </c>
      <c r="J3393" s="23" t="s">
        <v>4214</v>
      </c>
      <c r="K3393" s="23" t="s">
        <v>4214</v>
      </c>
      <c r="L3393" s="23">
        <v>1</v>
      </c>
      <c r="M3393" s="23" t="s">
        <v>78</v>
      </c>
      <c r="N3393" s="23" t="s">
        <v>78</v>
      </c>
      <c r="O3393" s="23">
        <v>0.01</v>
      </c>
      <c r="P3393" s="23" t="s">
        <v>79</v>
      </c>
      <c r="Q3393" s="23" t="s">
        <v>83</v>
      </c>
      <c r="R3393" s="23">
        <v>11100176</v>
      </c>
      <c r="S3393" s="24" t="s">
        <v>80</v>
      </c>
      <c r="T3393" s="24">
        <v>46052</v>
      </c>
      <c r="U3393" s="24">
        <v>46090</v>
      </c>
      <c r="X3393" s="24">
        <v>46049</v>
      </c>
      <c r="Y3393" s="23">
        <v>1111</v>
      </c>
      <c r="Z3393" s="23">
        <v>11400811</v>
      </c>
      <c r="AA3393" s="23">
        <v>335103</v>
      </c>
      <c r="AB3393" s="24">
        <v>46049</v>
      </c>
    </row>
    <row r="3394" spans="2:28" x14ac:dyDescent="0.2">
      <c r="B3394" s="23" t="s">
        <v>81</v>
      </c>
      <c r="C3394" s="23">
        <v>1100575472</v>
      </c>
      <c r="H3394" s="24">
        <v>47848</v>
      </c>
      <c r="O3394" s="23">
        <v>0.01</v>
      </c>
      <c r="P3394" s="23" t="s">
        <v>79</v>
      </c>
    </row>
    <row r="3395" spans="2:28" x14ac:dyDescent="0.2">
      <c r="C3395" s="23">
        <v>1100575846</v>
      </c>
      <c r="E3395" s="23">
        <v>40</v>
      </c>
      <c r="F3395" s="23" t="s">
        <v>82</v>
      </c>
      <c r="G3395" s="23" t="s">
        <v>139</v>
      </c>
      <c r="H3395" s="24">
        <v>47848</v>
      </c>
      <c r="I3395" s="24">
        <v>47848</v>
      </c>
      <c r="J3395" s="23" t="s">
        <v>2663</v>
      </c>
      <c r="K3395" s="23" t="s">
        <v>2663</v>
      </c>
      <c r="L3395" s="23">
        <v>1</v>
      </c>
      <c r="M3395" s="23" t="s">
        <v>78</v>
      </c>
      <c r="N3395" s="23" t="s">
        <v>78</v>
      </c>
      <c r="O3395" s="23">
        <v>0.01</v>
      </c>
      <c r="P3395" s="23" t="s">
        <v>79</v>
      </c>
      <c r="Q3395" s="23" t="s">
        <v>83</v>
      </c>
      <c r="R3395" s="23">
        <v>11100299</v>
      </c>
      <c r="S3395" s="24">
        <v>46057</v>
      </c>
      <c r="T3395" s="24">
        <v>46057</v>
      </c>
      <c r="U3395" s="24">
        <v>46059</v>
      </c>
      <c r="X3395" s="24">
        <v>46057</v>
      </c>
      <c r="Y3395" s="23">
        <v>1111</v>
      </c>
      <c r="Z3395" s="23">
        <v>11600003</v>
      </c>
      <c r="AA3395" s="23">
        <v>3351</v>
      </c>
      <c r="AB3395" s="24">
        <v>46056</v>
      </c>
    </row>
    <row r="3396" spans="2:28" x14ac:dyDescent="0.2">
      <c r="B3396" s="23" t="s">
        <v>81</v>
      </c>
      <c r="C3396" s="23">
        <v>1100575846</v>
      </c>
      <c r="H3396" s="24">
        <v>47848</v>
      </c>
      <c r="O3396" s="23">
        <v>0.01</v>
      </c>
      <c r="P3396" s="23" t="s">
        <v>79</v>
      </c>
    </row>
    <row r="3397" spans="2:28" x14ac:dyDescent="0.2">
      <c r="C3397" s="23">
        <v>1100575932</v>
      </c>
      <c r="E3397" s="23">
        <v>140</v>
      </c>
      <c r="F3397" s="23" t="s">
        <v>82</v>
      </c>
      <c r="G3397" s="23" t="s">
        <v>139</v>
      </c>
      <c r="H3397" s="24">
        <v>47848</v>
      </c>
      <c r="I3397" s="24">
        <v>47848</v>
      </c>
      <c r="J3397" s="23" t="s">
        <v>4215</v>
      </c>
      <c r="K3397" s="23" t="s">
        <v>4215</v>
      </c>
      <c r="L3397" s="23">
        <v>1</v>
      </c>
      <c r="M3397" s="23" t="s">
        <v>78</v>
      </c>
      <c r="N3397" s="23" t="s">
        <v>78</v>
      </c>
      <c r="O3397" s="23">
        <v>0.01</v>
      </c>
      <c r="P3397" s="23" t="s">
        <v>79</v>
      </c>
      <c r="Q3397" s="23" t="s">
        <v>83</v>
      </c>
      <c r="R3397" s="23">
        <v>11100176</v>
      </c>
      <c r="S3397" s="24">
        <v>46073</v>
      </c>
      <c r="T3397" s="24">
        <v>46057</v>
      </c>
      <c r="U3397" s="24">
        <v>46065</v>
      </c>
      <c r="X3397" s="24">
        <v>46052</v>
      </c>
      <c r="Y3397" s="23">
        <v>1111</v>
      </c>
      <c r="Z3397" s="23">
        <v>11600003</v>
      </c>
      <c r="AA3397" s="23">
        <v>5051</v>
      </c>
      <c r="AB3397" s="24">
        <v>46038</v>
      </c>
    </row>
    <row r="3398" spans="2:28" x14ac:dyDescent="0.2">
      <c r="B3398" s="23" t="s">
        <v>81</v>
      </c>
      <c r="C3398" s="23">
        <v>1100575932</v>
      </c>
      <c r="H3398" s="24">
        <v>47848</v>
      </c>
      <c r="O3398" s="23">
        <v>0.01</v>
      </c>
      <c r="P3398" s="23" t="s">
        <v>79</v>
      </c>
    </row>
    <row r="3399" spans="2:28" x14ac:dyDescent="0.2">
      <c r="C3399" s="23">
        <v>1100576018</v>
      </c>
      <c r="E3399" s="23">
        <v>20</v>
      </c>
      <c r="F3399" s="23" t="s">
        <v>82</v>
      </c>
      <c r="G3399" s="23" t="s">
        <v>139</v>
      </c>
      <c r="H3399" s="24">
        <v>47848</v>
      </c>
      <c r="I3399" s="24">
        <v>47848</v>
      </c>
      <c r="J3399" s="23" t="s">
        <v>1947</v>
      </c>
      <c r="K3399" s="23" t="s">
        <v>1947</v>
      </c>
      <c r="L3399" s="23">
        <v>1</v>
      </c>
      <c r="M3399" s="23" t="s">
        <v>78</v>
      </c>
      <c r="N3399" s="23" t="s">
        <v>78</v>
      </c>
      <c r="O3399" s="23">
        <v>0.01</v>
      </c>
      <c r="P3399" s="23" t="s">
        <v>79</v>
      </c>
      <c r="Q3399" s="23" t="s">
        <v>83</v>
      </c>
      <c r="R3399" s="23">
        <v>11100176</v>
      </c>
      <c r="S3399" s="24">
        <v>46065</v>
      </c>
      <c r="T3399" s="24">
        <v>46058</v>
      </c>
      <c r="U3399" s="24">
        <v>46086</v>
      </c>
      <c r="X3399" s="24">
        <v>46057</v>
      </c>
      <c r="Y3399" s="23">
        <v>1111</v>
      </c>
      <c r="Z3399" s="23">
        <v>11100320</v>
      </c>
      <c r="AA3399" s="23">
        <v>3351</v>
      </c>
      <c r="AB3399" s="24">
        <v>46057</v>
      </c>
    </row>
    <row r="3400" spans="2:28" x14ac:dyDescent="0.2">
      <c r="B3400" s="23" t="s">
        <v>81</v>
      </c>
      <c r="C3400" s="23">
        <v>1100576018</v>
      </c>
      <c r="H3400" s="24">
        <v>47848</v>
      </c>
      <c r="O3400" s="23">
        <v>0.01</v>
      </c>
      <c r="P3400" s="23" t="s">
        <v>79</v>
      </c>
    </row>
    <row r="3401" spans="2:28" x14ac:dyDescent="0.2">
      <c r="C3401" s="23">
        <v>1100576156</v>
      </c>
      <c r="E3401" s="23">
        <v>20</v>
      </c>
      <c r="F3401" s="23" t="s">
        <v>82</v>
      </c>
      <c r="G3401" s="23" t="s">
        <v>139</v>
      </c>
      <c r="H3401" s="24">
        <v>47848</v>
      </c>
      <c r="I3401" s="24">
        <v>47848</v>
      </c>
      <c r="J3401" s="23" t="s">
        <v>2712</v>
      </c>
      <c r="K3401" s="23" t="s">
        <v>2712</v>
      </c>
      <c r="L3401" s="23">
        <v>1</v>
      </c>
      <c r="M3401" s="23" t="s">
        <v>78</v>
      </c>
      <c r="N3401" s="23" t="s">
        <v>78</v>
      </c>
      <c r="O3401" s="23">
        <v>0.01</v>
      </c>
      <c r="P3401" s="23" t="s">
        <v>79</v>
      </c>
      <c r="Q3401" s="23" t="s">
        <v>83</v>
      </c>
      <c r="R3401" s="23">
        <v>11100176</v>
      </c>
      <c r="S3401" s="24">
        <v>46080</v>
      </c>
      <c r="T3401" s="24">
        <v>46059</v>
      </c>
      <c r="U3401" s="24">
        <v>46093</v>
      </c>
      <c r="X3401" s="24">
        <v>46058</v>
      </c>
      <c r="Y3401" s="23">
        <v>1111</v>
      </c>
      <c r="Z3401" s="23">
        <v>11600003</v>
      </c>
      <c r="AA3401" s="23">
        <v>335103</v>
      </c>
      <c r="AB3401" s="24">
        <v>46058</v>
      </c>
    </row>
    <row r="3402" spans="2:28" x14ac:dyDescent="0.2">
      <c r="B3402" s="23" t="s">
        <v>81</v>
      </c>
      <c r="C3402" s="23">
        <v>1100576156</v>
      </c>
      <c r="H3402" s="24">
        <v>47848</v>
      </c>
      <c r="O3402" s="23">
        <v>0.01</v>
      </c>
      <c r="P3402" s="23" t="s">
        <v>79</v>
      </c>
    </row>
    <row r="3403" spans="2:28" x14ac:dyDescent="0.2">
      <c r="C3403" s="23">
        <v>1100576158</v>
      </c>
      <c r="E3403" s="23">
        <v>20</v>
      </c>
      <c r="F3403" s="23" t="s">
        <v>82</v>
      </c>
      <c r="G3403" s="23" t="s">
        <v>139</v>
      </c>
      <c r="H3403" s="24">
        <v>47848</v>
      </c>
      <c r="I3403" s="24">
        <v>47848</v>
      </c>
      <c r="J3403" s="23" t="s">
        <v>3037</v>
      </c>
      <c r="K3403" s="23" t="s">
        <v>3037</v>
      </c>
      <c r="L3403" s="23">
        <v>1</v>
      </c>
      <c r="M3403" s="23" t="s">
        <v>78</v>
      </c>
      <c r="N3403" s="23" t="s">
        <v>78</v>
      </c>
      <c r="O3403" s="23">
        <v>0.01</v>
      </c>
      <c r="P3403" s="23" t="s">
        <v>79</v>
      </c>
      <c r="Q3403" s="23" t="s">
        <v>83</v>
      </c>
      <c r="R3403" s="23">
        <v>11100176</v>
      </c>
      <c r="S3403" s="24" t="s">
        <v>80</v>
      </c>
      <c r="T3403" s="24">
        <v>46059</v>
      </c>
      <c r="U3403" s="24">
        <v>46091</v>
      </c>
      <c r="X3403" s="24">
        <v>46058</v>
      </c>
      <c r="Y3403" s="23">
        <v>1111</v>
      </c>
      <c r="Z3403" s="23">
        <v>11100137</v>
      </c>
      <c r="AA3403" s="23">
        <v>505103</v>
      </c>
      <c r="AB3403" s="24">
        <v>46058</v>
      </c>
    </row>
    <row r="3404" spans="2:28" x14ac:dyDescent="0.2">
      <c r="B3404" s="23" t="s">
        <v>81</v>
      </c>
      <c r="C3404" s="23">
        <v>1100576158</v>
      </c>
      <c r="H3404" s="24">
        <v>47848</v>
      </c>
      <c r="O3404" s="23">
        <v>0.01</v>
      </c>
      <c r="P3404" s="23" t="s">
        <v>79</v>
      </c>
    </row>
    <row r="3405" spans="2:28" x14ac:dyDescent="0.2">
      <c r="C3405" s="23">
        <v>1100576191</v>
      </c>
      <c r="E3405" s="23">
        <v>30</v>
      </c>
      <c r="F3405" s="23" t="s">
        <v>82</v>
      </c>
      <c r="G3405" s="23" t="s">
        <v>139</v>
      </c>
      <c r="H3405" s="24">
        <v>47848</v>
      </c>
      <c r="I3405" s="24">
        <v>47848</v>
      </c>
      <c r="J3405" s="23" t="s">
        <v>1777</v>
      </c>
      <c r="K3405" s="23" t="s">
        <v>1777</v>
      </c>
      <c r="L3405" s="23">
        <v>1</v>
      </c>
      <c r="M3405" s="23" t="s">
        <v>78</v>
      </c>
      <c r="N3405" s="23" t="s">
        <v>78</v>
      </c>
      <c r="O3405" s="23">
        <v>0.01</v>
      </c>
      <c r="P3405" s="23" t="s">
        <v>79</v>
      </c>
      <c r="Q3405" s="23" t="s">
        <v>83</v>
      </c>
      <c r="R3405" s="23">
        <v>11100008</v>
      </c>
      <c r="S3405" s="24" t="s">
        <v>80</v>
      </c>
      <c r="T3405" s="24">
        <v>46059</v>
      </c>
      <c r="U3405" s="24">
        <v>47116</v>
      </c>
      <c r="X3405" s="24">
        <v>46059</v>
      </c>
      <c r="Y3405" s="23">
        <v>1111</v>
      </c>
      <c r="Z3405" s="23">
        <v>11100172</v>
      </c>
      <c r="AA3405" s="23">
        <v>3355</v>
      </c>
      <c r="AB3405" s="24">
        <v>46059</v>
      </c>
    </row>
    <row r="3406" spans="2:28" x14ac:dyDescent="0.2">
      <c r="B3406" s="23" t="s">
        <v>81</v>
      </c>
      <c r="C3406" s="23">
        <v>1100576191</v>
      </c>
      <c r="H3406" s="24">
        <v>47848</v>
      </c>
      <c r="O3406" s="23">
        <v>0.01</v>
      </c>
      <c r="P3406" s="23" t="s">
        <v>79</v>
      </c>
    </row>
    <row r="3407" spans="2:28" x14ac:dyDescent="0.2">
      <c r="C3407" s="23">
        <v>1100576222</v>
      </c>
      <c r="E3407" s="23">
        <v>20</v>
      </c>
      <c r="F3407" s="23" t="s">
        <v>82</v>
      </c>
      <c r="G3407" s="23" t="s">
        <v>139</v>
      </c>
      <c r="H3407" s="24">
        <v>47848</v>
      </c>
      <c r="I3407" s="24">
        <v>47848</v>
      </c>
      <c r="J3407" s="23" t="s">
        <v>741</v>
      </c>
      <c r="K3407" s="23" t="s">
        <v>741</v>
      </c>
      <c r="L3407" s="23">
        <v>1</v>
      </c>
      <c r="M3407" s="23" t="s">
        <v>78</v>
      </c>
      <c r="N3407" s="23" t="s">
        <v>78</v>
      </c>
      <c r="O3407" s="23">
        <v>0.01</v>
      </c>
      <c r="P3407" s="23" t="s">
        <v>79</v>
      </c>
      <c r="Q3407" s="23" t="s">
        <v>83</v>
      </c>
      <c r="R3407" s="23">
        <v>11100176</v>
      </c>
      <c r="S3407" s="24" t="s">
        <v>80</v>
      </c>
      <c r="T3407" s="24">
        <v>46062</v>
      </c>
      <c r="U3407" s="24">
        <v>46093</v>
      </c>
      <c r="X3407" s="24">
        <v>46058</v>
      </c>
      <c r="Y3407" s="23">
        <v>1111</v>
      </c>
      <c r="Z3407" s="23">
        <v>11400606</v>
      </c>
      <c r="AA3407" s="23">
        <v>395103</v>
      </c>
      <c r="AB3407" s="24">
        <v>46059</v>
      </c>
    </row>
    <row r="3408" spans="2:28" x14ac:dyDescent="0.2">
      <c r="B3408" s="23" t="s">
        <v>81</v>
      </c>
      <c r="C3408" s="23">
        <v>1100576222</v>
      </c>
      <c r="H3408" s="24">
        <v>47848</v>
      </c>
      <c r="O3408" s="23">
        <v>0.01</v>
      </c>
      <c r="P3408" s="23" t="s">
        <v>79</v>
      </c>
    </row>
    <row r="3409" spans="2:28" x14ac:dyDescent="0.2">
      <c r="C3409" s="23">
        <v>1100576240</v>
      </c>
      <c r="E3409" s="23">
        <v>10</v>
      </c>
      <c r="F3409" s="23" t="s">
        <v>1933</v>
      </c>
      <c r="G3409" s="23" t="s">
        <v>1934</v>
      </c>
      <c r="H3409" s="24">
        <v>47848</v>
      </c>
      <c r="I3409" s="24">
        <v>46090</v>
      </c>
      <c r="J3409" s="23" t="s">
        <v>242</v>
      </c>
      <c r="K3409" s="23" t="s">
        <v>242</v>
      </c>
      <c r="L3409" s="23">
        <v>2</v>
      </c>
      <c r="M3409" s="23" t="s">
        <v>78</v>
      </c>
      <c r="N3409" s="23" t="s">
        <v>78</v>
      </c>
      <c r="O3409" s="23">
        <v>591.6</v>
      </c>
      <c r="P3409" s="23" t="s">
        <v>79</v>
      </c>
      <c r="Q3409" s="23" t="s">
        <v>83</v>
      </c>
      <c r="R3409" s="23">
        <v>11100176</v>
      </c>
      <c r="S3409" s="24">
        <v>46090</v>
      </c>
      <c r="T3409" s="24">
        <v>46062</v>
      </c>
      <c r="U3409" s="24">
        <v>46090</v>
      </c>
      <c r="X3409" s="24">
        <v>45845</v>
      </c>
      <c r="Y3409" s="23">
        <v>1111</v>
      </c>
      <c r="Z3409" s="23">
        <v>11400937</v>
      </c>
      <c r="AA3409" s="23">
        <v>5051</v>
      </c>
      <c r="AB3409" s="24">
        <v>46059</v>
      </c>
    </row>
    <row r="3410" spans="2:28" x14ac:dyDescent="0.2">
      <c r="C3410" s="23">
        <v>1100576240</v>
      </c>
      <c r="E3410" s="23">
        <v>60</v>
      </c>
      <c r="F3410" s="23" t="s">
        <v>82</v>
      </c>
      <c r="G3410" s="23" t="s">
        <v>139</v>
      </c>
      <c r="H3410" s="24">
        <v>47848</v>
      </c>
      <c r="I3410" s="24">
        <v>47848</v>
      </c>
      <c r="J3410" s="23" t="s">
        <v>242</v>
      </c>
      <c r="K3410" s="23" t="s">
        <v>242</v>
      </c>
      <c r="L3410" s="23">
        <v>1</v>
      </c>
      <c r="M3410" s="23" t="s">
        <v>78</v>
      </c>
      <c r="N3410" s="23" t="s">
        <v>78</v>
      </c>
      <c r="O3410" s="23">
        <v>0.01</v>
      </c>
      <c r="P3410" s="23" t="s">
        <v>79</v>
      </c>
      <c r="Q3410" s="23" t="s">
        <v>83</v>
      </c>
      <c r="R3410" s="23">
        <v>11100176</v>
      </c>
      <c r="S3410" s="24" t="s">
        <v>80</v>
      </c>
      <c r="T3410" s="24">
        <v>46062</v>
      </c>
      <c r="U3410" s="24">
        <v>46090</v>
      </c>
      <c r="X3410" s="24">
        <v>45845</v>
      </c>
      <c r="Y3410" s="23">
        <v>1111</v>
      </c>
      <c r="Z3410" s="23">
        <v>11400937</v>
      </c>
      <c r="AA3410" s="23">
        <v>5051</v>
      </c>
      <c r="AB3410" s="24">
        <v>46059</v>
      </c>
    </row>
    <row r="3411" spans="2:28" x14ac:dyDescent="0.2">
      <c r="B3411" s="23" t="s">
        <v>81</v>
      </c>
      <c r="C3411" s="23">
        <v>1100576240</v>
      </c>
      <c r="H3411" s="24">
        <v>47848</v>
      </c>
      <c r="O3411" s="23">
        <v>591.61</v>
      </c>
      <c r="P3411" s="23" t="s">
        <v>79</v>
      </c>
    </row>
    <row r="3412" spans="2:28" x14ac:dyDescent="0.2">
      <c r="C3412" s="23">
        <v>1100576246</v>
      </c>
      <c r="E3412" s="23">
        <v>30</v>
      </c>
      <c r="F3412" s="23" t="s">
        <v>82</v>
      </c>
      <c r="G3412" s="23" t="s">
        <v>139</v>
      </c>
      <c r="H3412" s="24">
        <v>47848</v>
      </c>
      <c r="I3412" s="24">
        <v>47848</v>
      </c>
      <c r="J3412" s="23" t="s">
        <v>2283</v>
      </c>
      <c r="K3412" s="23" t="s">
        <v>2283</v>
      </c>
      <c r="L3412" s="23">
        <v>1</v>
      </c>
      <c r="M3412" s="23" t="s">
        <v>78</v>
      </c>
      <c r="N3412" s="23" t="s">
        <v>78</v>
      </c>
      <c r="O3412" s="23">
        <v>0.01</v>
      </c>
      <c r="P3412" s="23" t="s">
        <v>79</v>
      </c>
      <c r="Q3412" s="23" t="s">
        <v>83</v>
      </c>
      <c r="R3412" s="23">
        <v>11100176</v>
      </c>
      <c r="S3412" s="24" t="s">
        <v>80</v>
      </c>
      <c r="T3412" s="24">
        <v>46062</v>
      </c>
      <c r="U3412" s="24">
        <v>46090</v>
      </c>
      <c r="X3412" s="24">
        <v>46058</v>
      </c>
      <c r="Y3412" s="23">
        <v>1111</v>
      </c>
      <c r="Z3412" s="23">
        <v>11400937</v>
      </c>
      <c r="AA3412" s="23">
        <v>335103</v>
      </c>
      <c r="AB3412" s="24">
        <v>46059</v>
      </c>
    </row>
    <row r="3413" spans="2:28" x14ac:dyDescent="0.2">
      <c r="B3413" s="23" t="s">
        <v>81</v>
      </c>
      <c r="C3413" s="23">
        <v>1100576246</v>
      </c>
      <c r="H3413" s="24">
        <v>47848</v>
      </c>
      <c r="O3413" s="23">
        <v>0.01</v>
      </c>
      <c r="P3413" s="23" t="s">
        <v>79</v>
      </c>
    </row>
    <row r="3414" spans="2:28" x14ac:dyDescent="0.2">
      <c r="C3414" s="23">
        <v>1100576496</v>
      </c>
      <c r="E3414" s="23">
        <v>30</v>
      </c>
      <c r="F3414" s="23" t="s">
        <v>82</v>
      </c>
      <c r="G3414" s="23" t="s">
        <v>139</v>
      </c>
      <c r="H3414" s="24">
        <v>47848</v>
      </c>
      <c r="I3414" s="24">
        <v>47848</v>
      </c>
      <c r="J3414" s="23" t="s">
        <v>668</v>
      </c>
      <c r="K3414" s="23" t="s">
        <v>668</v>
      </c>
      <c r="L3414" s="23">
        <v>1</v>
      </c>
      <c r="M3414" s="23" t="s">
        <v>78</v>
      </c>
      <c r="N3414" s="23" t="s">
        <v>78</v>
      </c>
      <c r="O3414" s="23">
        <v>0.01</v>
      </c>
      <c r="P3414" s="23" t="s">
        <v>79</v>
      </c>
      <c r="Q3414" s="23" t="s">
        <v>83</v>
      </c>
      <c r="R3414" s="23">
        <v>11100008</v>
      </c>
      <c r="S3414" s="24" t="s">
        <v>80</v>
      </c>
      <c r="T3414" s="24">
        <v>46064</v>
      </c>
      <c r="U3414" s="24">
        <v>47116</v>
      </c>
      <c r="X3414" s="24">
        <v>46064</v>
      </c>
      <c r="Y3414" s="23">
        <v>1111</v>
      </c>
      <c r="Z3414" s="23">
        <v>11100172</v>
      </c>
      <c r="AA3414" s="23">
        <v>3555</v>
      </c>
      <c r="AB3414" s="24">
        <v>46064</v>
      </c>
    </row>
    <row r="3415" spans="2:28" x14ac:dyDescent="0.2">
      <c r="B3415" s="23" t="s">
        <v>81</v>
      </c>
      <c r="C3415" s="23">
        <v>1100576496</v>
      </c>
      <c r="H3415" s="24">
        <v>47848</v>
      </c>
      <c r="O3415" s="23">
        <v>0.01</v>
      </c>
      <c r="P3415" s="23" t="s">
        <v>79</v>
      </c>
    </row>
    <row r="3416" spans="2:28" x14ac:dyDescent="0.2">
      <c r="C3416" s="23">
        <v>1100576532</v>
      </c>
      <c r="E3416" s="23">
        <v>20</v>
      </c>
      <c r="F3416" s="23" t="s">
        <v>82</v>
      </c>
      <c r="G3416" s="23" t="s">
        <v>139</v>
      </c>
      <c r="H3416" s="24">
        <v>47848</v>
      </c>
      <c r="I3416" s="24">
        <v>47848</v>
      </c>
      <c r="J3416" s="23" t="s">
        <v>4216</v>
      </c>
      <c r="K3416" s="23" t="s">
        <v>4216</v>
      </c>
      <c r="L3416" s="23">
        <v>1</v>
      </c>
      <c r="M3416" s="23" t="s">
        <v>78</v>
      </c>
      <c r="N3416" s="23" t="s">
        <v>78</v>
      </c>
      <c r="O3416" s="23">
        <v>0.01</v>
      </c>
      <c r="P3416" s="23" t="s">
        <v>79</v>
      </c>
      <c r="Q3416" s="23" t="s">
        <v>83</v>
      </c>
      <c r="R3416" s="23">
        <v>11100176</v>
      </c>
      <c r="S3416" s="24" t="s">
        <v>80</v>
      </c>
      <c r="T3416" s="24">
        <v>46064</v>
      </c>
      <c r="U3416" s="24">
        <v>46086</v>
      </c>
      <c r="X3416" s="24">
        <v>46064</v>
      </c>
      <c r="Y3416" s="23">
        <v>1111</v>
      </c>
      <c r="Z3416" s="23">
        <v>11600007</v>
      </c>
      <c r="AA3416" s="23">
        <v>335103</v>
      </c>
      <c r="AB3416" s="24">
        <v>46063</v>
      </c>
    </row>
    <row r="3417" spans="2:28" x14ac:dyDescent="0.2">
      <c r="B3417" s="23" t="s">
        <v>81</v>
      </c>
      <c r="C3417" s="23">
        <v>1100576532</v>
      </c>
      <c r="H3417" s="24">
        <v>47848</v>
      </c>
      <c r="O3417" s="23">
        <v>0.01</v>
      </c>
      <c r="P3417" s="23" t="s">
        <v>79</v>
      </c>
    </row>
    <row r="3418" spans="2:28" x14ac:dyDescent="0.2">
      <c r="C3418" s="23">
        <v>1100576639</v>
      </c>
      <c r="E3418" s="23">
        <v>20</v>
      </c>
      <c r="F3418" s="23" t="s">
        <v>82</v>
      </c>
      <c r="G3418" s="23" t="s">
        <v>139</v>
      </c>
      <c r="H3418" s="24">
        <v>47848</v>
      </c>
      <c r="I3418" s="24">
        <v>47848</v>
      </c>
      <c r="J3418" s="23" t="s">
        <v>4217</v>
      </c>
      <c r="K3418" s="23" t="s">
        <v>4217</v>
      </c>
      <c r="L3418" s="23">
        <v>1</v>
      </c>
      <c r="M3418" s="23" t="s">
        <v>78</v>
      </c>
      <c r="N3418" s="23" t="s">
        <v>78</v>
      </c>
      <c r="O3418" s="23">
        <v>0.01</v>
      </c>
      <c r="P3418" s="23" t="s">
        <v>79</v>
      </c>
      <c r="Q3418" s="23" t="s">
        <v>83</v>
      </c>
      <c r="R3418" s="23">
        <v>11100176</v>
      </c>
      <c r="S3418" s="24" t="s">
        <v>80</v>
      </c>
      <c r="T3418" s="24">
        <v>46065</v>
      </c>
      <c r="U3418" s="24">
        <v>46091</v>
      </c>
      <c r="X3418" s="24">
        <v>46059</v>
      </c>
      <c r="Y3418" s="23">
        <v>1111</v>
      </c>
      <c r="Z3418" s="23">
        <v>11400797</v>
      </c>
      <c r="AA3418" s="23">
        <v>3351</v>
      </c>
      <c r="AB3418" s="24">
        <v>46048</v>
      </c>
    </row>
    <row r="3419" spans="2:28" x14ac:dyDescent="0.2">
      <c r="B3419" s="23" t="s">
        <v>81</v>
      </c>
      <c r="C3419" s="23">
        <v>1100576639</v>
      </c>
      <c r="H3419" s="24">
        <v>47848</v>
      </c>
      <c r="O3419" s="23">
        <v>0.01</v>
      </c>
      <c r="P3419" s="23" t="s">
        <v>79</v>
      </c>
    </row>
    <row r="3420" spans="2:28" x14ac:dyDescent="0.2">
      <c r="C3420" s="23">
        <v>1100576665</v>
      </c>
      <c r="E3420" s="23">
        <v>20</v>
      </c>
      <c r="F3420" s="23" t="s">
        <v>82</v>
      </c>
      <c r="G3420" s="23" t="s">
        <v>139</v>
      </c>
      <c r="H3420" s="24">
        <v>47848</v>
      </c>
      <c r="I3420" s="24">
        <v>47848</v>
      </c>
      <c r="J3420" s="23" t="s">
        <v>827</v>
      </c>
      <c r="K3420" s="23" t="s">
        <v>827</v>
      </c>
      <c r="L3420" s="23">
        <v>1</v>
      </c>
      <c r="M3420" s="23" t="s">
        <v>78</v>
      </c>
      <c r="N3420" s="23" t="s">
        <v>78</v>
      </c>
      <c r="O3420" s="23">
        <v>0.01</v>
      </c>
      <c r="P3420" s="23" t="s">
        <v>79</v>
      </c>
      <c r="Q3420" s="23" t="s">
        <v>83</v>
      </c>
      <c r="R3420" s="23">
        <v>11100176</v>
      </c>
      <c r="S3420" s="24" t="s">
        <v>80</v>
      </c>
      <c r="T3420" s="24">
        <v>46065</v>
      </c>
      <c r="U3420" s="24">
        <v>46072</v>
      </c>
      <c r="X3420" s="24">
        <v>46065</v>
      </c>
      <c r="Y3420" s="23">
        <v>1111</v>
      </c>
      <c r="Z3420" s="23">
        <v>11600007</v>
      </c>
      <c r="AA3420" s="23">
        <v>335103</v>
      </c>
      <c r="AB3420" s="24">
        <v>46064</v>
      </c>
    </row>
    <row r="3421" spans="2:28" x14ac:dyDescent="0.2">
      <c r="B3421" s="23" t="s">
        <v>81</v>
      </c>
      <c r="C3421" s="23">
        <v>1100576665</v>
      </c>
      <c r="H3421" s="24">
        <v>47848</v>
      </c>
      <c r="O3421" s="23">
        <v>0.01</v>
      </c>
      <c r="P3421" s="23" t="s">
        <v>79</v>
      </c>
    </row>
    <row r="3422" spans="2:28" x14ac:dyDescent="0.2">
      <c r="C3422" s="23">
        <v>1100576777</v>
      </c>
      <c r="E3422" s="23">
        <v>30</v>
      </c>
      <c r="F3422" s="23" t="s">
        <v>82</v>
      </c>
      <c r="G3422" s="23" t="s">
        <v>139</v>
      </c>
      <c r="H3422" s="24">
        <v>47848</v>
      </c>
      <c r="I3422" s="24">
        <v>47848</v>
      </c>
      <c r="J3422" s="23" t="s">
        <v>1144</v>
      </c>
      <c r="K3422" s="23" t="s">
        <v>1144</v>
      </c>
      <c r="L3422" s="23">
        <v>1</v>
      </c>
      <c r="M3422" s="23" t="s">
        <v>78</v>
      </c>
      <c r="N3422" s="23" t="s">
        <v>78</v>
      </c>
      <c r="O3422" s="23">
        <v>0.01</v>
      </c>
      <c r="P3422" s="23" t="s">
        <v>79</v>
      </c>
      <c r="Q3422" s="23" t="s">
        <v>83</v>
      </c>
      <c r="R3422" s="23">
        <v>11100176</v>
      </c>
      <c r="S3422" s="24">
        <v>46071</v>
      </c>
      <c r="T3422" s="24">
        <v>46066</v>
      </c>
      <c r="U3422" s="24">
        <v>46073</v>
      </c>
      <c r="X3422" s="24">
        <v>46064</v>
      </c>
      <c r="Y3422" s="23">
        <v>1111</v>
      </c>
      <c r="Z3422" s="23">
        <v>11600003</v>
      </c>
      <c r="AA3422" s="23">
        <v>335103</v>
      </c>
      <c r="AB3422" s="24">
        <v>46065</v>
      </c>
    </row>
    <row r="3423" spans="2:28" x14ac:dyDescent="0.2">
      <c r="B3423" s="23" t="s">
        <v>81</v>
      </c>
      <c r="C3423" s="23">
        <v>1100576777</v>
      </c>
      <c r="H3423" s="24">
        <v>47848</v>
      </c>
      <c r="O3423" s="23">
        <v>0.01</v>
      </c>
      <c r="P3423" s="23" t="s">
        <v>79</v>
      </c>
    </row>
    <row r="3424" spans="2:28" x14ac:dyDescent="0.2">
      <c r="C3424" s="23">
        <v>1100576865</v>
      </c>
      <c r="E3424" s="23">
        <v>20</v>
      </c>
      <c r="F3424" s="23" t="s">
        <v>4324</v>
      </c>
      <c r="G3424" s="23" t="s">
        <v>4325</v>
      </c>
      <c r="H3424" s="24">
        <v>47848</v>
      </c>
      <c r="I3424" s="24">
        <v>47118</v>
      </c>
      <c r="J3424" s="23" t="s">
        <v>752</v>
      </c>
      <c r="K3424" s="23" t="s">
        <v>752</v>
      </c>
      <c r="L3424" s="23">
        <v>2</v>
      </c>
      <c r="M3424" s="23" t="s">
        <v>78</v>
      </c>
      <c r="N3424" s="23" t="s">
        <v>78</v>
      </c>
      <c r="O3424" s="23">
        <v>0</v>
      </c>
      <c r="P3424" s="23" t="s">
        <v>79</v>
      </c>
      <c r="Q3424" s="23" t="s">
        <v>83</v>
      </c>
      <c r="R3424" s="23">
        <v>11100299</v>
      </c>
      <c r="S3424" s="24" t="s">
        <v>80</v>
      </c>
      <c r="T3424" s="24">
        <v>46066</v>
      </c>
      <c r="U3424" s="24">
        <v>47116</v>
      </c>
      <c r="X3424" s="24">
        <v>46066</v>
      </c>
      <c r="Y3424" s="23">
        <v>1111</v>
      </c>
      <c r="Z3424" s="23">
        <v>11400797</v>
      </c>
      <c r="AA3424" s="23">
        <v>510103</v>
      </c>
      <c r="AB3424" s="24">
        <v>46066</v>
      </c>
    </row>
    <row r="3425" spans="2:28" x14ac:dyDescent="0.2">
      <c r="C3425" s="23">
        <v>1100576865</v>
      </c>
      <c r="E3425" s="23">
        <v>30</v>
      </c>
      <c r="F3425" s="23" t="s">
        <v>4326</v>
      </c>
      <c r="G3425" s="23" t="s">
        <v>4327</v>
      </c>
      <c r="H3425" s="24">
        <v>47848</v>
      </c>
      <c r="I3425" s="24">
        <v>47118</v>
      </c>
      <c r="J3425" s="23" t="s">
        <v>752</v>
      </c>
      <c r="K3425" s="23" t="s">
        <v>752</v>
      </c>
      <c r="L3425" s="23">
        <v>2</v>
      </c>
      <c r="M3425" s="23" t="s">
        <v>78</v>
      </c>
      <c r="N3425" s="23" t="s">
        <v>78</v>
      </c>
      <c r="O3425" s="23">
        <v>0</v>
      </c>
      <c r="P3425" s="23" t="s">
        <v>79</v>
      </c>
      <c r="Q3425" s="23" t="s">
        <v>83</v>
      </c>
      <c r="R3425" s="23">
        <v>11100299</v>
      </c>
      <c r="S3425" s="24" t="s">
        <v>80</v>
      </c>
      <c r="T3425" s="24">
        <v>46066</v>
      </c>
      <c r="U3425" s="24">
        <v>47116</v>
      </c>
      <c r="X3425" s="24">
        <v>46066</v>
      </c>
      <c r="Y3425" s="23">
        <v>1111</v>
      </c>
      <c r="Z3425" s="23">
        <v>11400797</v>
      </c>
      <c r="AA3425" s="23">
        <v>510103</v>
      </c>
      <c r="AB3425" s="24">
        <v>46066</v>
      </c>
    </row>
    <row r="3426" spans="2:28" x14ac:dyDescent="0.2">
      <c r="C3426" s="23">
        <v>1100576865</v>
      </c>
      <c r="E3426" s="23">
        <v>40</v>
      </c>
      <c r="F3426" s="23" t="s">
        <v>4328</v>
      </c>
      <c r="G3426" s="23" t="s">
        <v>4329</v>
      </c>
      <c r="H3426" s="24">
        <v>47848</v>
      </c>
      <c r="I3426" s="24">
        <v>47118</v>
      </c>
      <c r="J3426" s="23" t="s">
        <v>752</v>
      </c>
      <c r="K3426" s="23" t="s">
        <v>752</v>
      </c>
      <c r="L3426" s="23">
        <v>2</v>
      </c>
      <c r="M3426" s="23" t="s">
        <v>78</v>
      </c>
      <c r="N3426" s="23" t="s">
        <v>78</v>
      </c>
      <c r="O3426" s="23">
        <v>0</v>
      </c>
      <c r="P3426" s="23" t="s">
        <v>79</v>
      </c>
      <c r="Q3426" s="23" t="s">
        <v>83</v>
      </c>
      <c r="R3426" s="23">
        <v>11100299</v>
      </c>
      <c r="S3426" s="24" t="s">
        <v>80</v>
      </c>
      <c r="T3426" s="24">
        <v>46066</v>
      </c>
      <c r="U3426" s="24">
        <v>47116</v>
      </c>
      <c r="X3426" s="24">
        <v>46066</v>
      </c>
      <c r="Y3426" s="23">
        <v>1111</v>
      </c>
      <c r="Z3426" s="23">
        <v>11400797</v>
      </c>
      <c r="AA3426" s="23">
        <v>510103</v>
      </c>
      <c r="AB3426" s="24">
        <v>46066</v>
      </c>
    </row>
    <row r="3427" spans="2:28" x14ac:dyDescent="0.2">
      <c r="B3427" s="23" t="s">
        <v>81</v>
      </c>
      <c r="C3427" s="23">
        <v>1100576865</v>
      </c>
      <c r="H3427" s="24">
        <v>47848</v>
      </c>
      <c r="O3427" s="23">
        <v>0</v>
      </c>
      <c r="P3427" s="23" t="s">
        <v>79</v>
      </c>
    </row>
    <row r="3428" spans="2:28" x14ac:dyDescent="0.2">
      <c r="C3428" s="23">
        <v>1100576866</v>
      </c>
      <c r="E3428" s="23">
        <v>30</v>
      </c>
      <c r="F3428" s="23" t="s">
        <v>82</v>
      </c>
      <c r="G3428" s="23" t="s">
        <v>139</v>
      </c>
      <c r="H3428" s="24">
        <v>47848</v>
      </c>
      <c r="I3428" s="24">
        <v>47848</v>
      </c>
      <c r="J3428" s="23" t="s">
        <v>102</v>
      </c>
      <c r="K3428" s="23" t="s">
        <v>102</v>
      </c>
      <c r="L3428" s="23">
        <v>1</v>
      </c>
      <c r="M3428" s="23" t="s">
        <v>78</v>
      </c>
      <c r="N3428" s="23" t="s">
        <v>78</v>
      </c>
      <c r="O3428" s="23">
        <v>0.01</v>
      </c>
      <c r="P3428" s="23" t="s">
        <v>79</v>
      </c>
      <c r="Q3428" s="23" t="s">
        <v>83</v>
      </c>
      <c r="R3428" s="23">
        <v>11100008</v>
      </c>
      <c r="S3428" s="24" t="s">
        <v>80</v>
      </c>
      <c r="T3428" s="24">
        <v>46066</v>
      </c>
      <c r="U3428" s="24">
        <v>46094</v>
      </c>
      <c r="X3428" s="24">
        <v>46066</v>
      </c>
      <c r="Y3428" s="23">
        <v>1111</v>
      </c>
      <c r="Z3428" s="23">
        <v>11400811</v>
      </c>
      <c r="AA3428" s="23">
        <v>515103</v>
      </c>
      <c r="AB3428" s="24">
        <v>46066</v>
      </c>
    </row>
    <row r="3429" spans="2:28" x14ac:dyDescent="0.2">
      <c r="B3429" s="23" t="s">
        <v>81</v>
      </c>
      <c r="C3429" s="23">
        <v>1100576866</v>
      </c>
      <c r="H3429" s="24">
        <v>47848</v>
      </c>
      <c r="O3429" s="23">
        <v>0.01</v>
      </c>
      <c r="P3429" s="23" t="s">
        <v>79</v>
      </c>
    </row>
    <row r="3430" spans="2:28" x14ac:dyDescent="0.2">
      <c r="C3430" s="23">
        <v>1100577064</v>
      </c>
      <c r="E3430" s="23">
        <v>20</v>
      </c>
      <c r="F3430" s="23" t="s">
        <v>82</v>
      </c>
      <c r="G3430" s="23" t="s">
        <v>139</v>
      </c>
      <c r="H3430" s="24">
        <v>47848</v>
      </c>
      <c r="I3430" s="24">
        <v>47848</v>
      </c>
      <c r="J3430" s="23" t="s">
        <v>2887</v>
      </c>
      <c r="K3430" s="23" t="s">
        <v>2887</v>
      </c>
      <c r="L3430" s="23">
        <v>1</v>
      </c>
      <c r="M3430" s="23" t="s">
        <v>78</v>
      </c>
      <c r="N3430" s="23" t="s">
        <v>78</v>
      </c>
      <c r="O3430" s="23">
        <v>0.01</v>
      </c>
      <c r="P3430" s="23" t="s">
        <v>79</v>
      </c>
      <c r="Q3430" s="23" t="s">
        <v>83</v>
      </c>
      <c r="R3430" s="23">
        <v>11100176</v>
      </c>
      <c r="S3430" s="24">
        <v>46076</v>
      </c>
      <c r="T3430" s="24">
        <v>46071</v>
      </c>
      <c r="U3430" s="24">
        <v>46078</v>
      </c>
      <c r="X3430" s="24">
        <v>46058</v>
      </c>
      <c r="Y3430" s="23">
        <v>1111</v>
      </c>
      <c r="Z3430" s="23">
        <v>11600003</v>
      </c>
      <c r="AA3430" s="23">
        <v>515103</v>
      </c>
      <c r="AB3430" s="24">
        <v>46066</v>
      </c>
    </row>
    <row r="3431" spans="2:28" x14ac:dyDescent="0.2">
      <c r="B3431" s="23" t="s">
        <v>81</v>
      </c>
      <c r="C3431" s="23">
        <v>1100577064</v>
      </c>
      <c r="H3431" s="24">
        <v>47848</v>
      </c>
      <c r="O3431" s="23">
        <v>0.01</v>
      </c>
      <c r="P3431" s="23" t="s">
        <v>79</v>
      </c>
    </row>
    <row r="3432" spans="2:28" x14ac:dyDescent="0.2">
      <c r="C3432" s="23">
        <v>1100577143</v>
      </c>
      <c r="E3432" s="23">
        <v>30</v>
      </c>
      <c r="F3432" s="23" t="s">
        <v>82</v>
      </c>
      <c r="G3432" s="23" t="s">
        <v>139</v>
      </c>
      <c r="H3432" s="24">
        <v>47848</v>
      </c>
      <c r="I3432" s="24">
        <v>47848</v>
      </c>
      <c r="J3432" s="23" t="s">
        <v>853</v>
      </c>
      <c r="K3432" s="23" t="s">
        <v>853</v>
      </c>
      <c r="L3432" s="23">
        <v>1</v>
      </c>
      <c r="M3432" s="23" t="s">
        <v>78</v>
      </c>
      <c r="N3432" s="23" t="s">
        <v>78</v>
      </c>
      <c r="O3432" s="23">
        <v>0.01</v>
      </c>
      <c r="P3432" s="23" t="s">
        <v>79</v>
      </c>
      <c r="Q3432" s="23" t="s">
        <v>83</v>
      </c>
      <c r="R3432" s="23">
        <v>11100008</v>
      </c>
      <c r="S3432" s="24" t="s">
        <v>80</v>
      </c>
      <c r="T3432" s="24">
        <v>46071</v>
      </c>
      <c r="U3432" s="24">
        <v>46752</v>
      </c>
      <c r="X3432" s="24">
        <v>46071</v>
      </c>
      <c r="Y3432" s="23">
        <v>1111</v>
      </c>
      <c r="Z3432" s="23">
        <v>11100042</v>
      </c>
      <c r="AA3432" s="23">
        <v>3355</v>
      </c>
      <c r="AB3432" s="24">
        <v>46071</v>
      </c>
    </row>
    <row r="3433" spans="2:28" x14ac:dyDescent="0.2">
      <c r="B3433" s="23" t="s">
        <v>81</v>
      </c>
      <c r="C3433" s="23">
        <v>1100577143</v>
      </c>
      <c r="H3433" s="24">
        <v>47848</v>
      </c>
      <c r="O3433" s="23">
        <v>0.01</v>
      </c>
      <c r="P3433" s="23" t="s">
        <v>79</v>
      </c>
    </row>
    <row r="3434" spans="2:28" x14ac:dyDescent="0.2">
      <c r="C3434" s="23">
        <v>1100577360</v>
      </c>
      <c r="E3434" s="23">
        <v>30</v>
      </c>
      <c r="F3434" s="23" t="s">
        <v>82</v>
      </c>
      <c r="G3434" s="23" t="s">
        <v>139</v>
      </c>
      <c r="H3434" s="24">
        <v>47848</v>
      </c>
      <c r="I3434" s="24">
        <v>47848</v>
      </c>
      <c r="J3434" s="23" t="s">
        <v>91</v>
      </c>
      <c r="K3434" s="23" t="s">
        <v>91</v>
      </c>
      <c r="L3434" s="23">
        <v>1</v>
      </c>
      <c r="M3434" s="23" t="s">
        <v>78</v>
      </c>
      <c r="N3434" s="23" t="s">
        <v>78</v>
      </c>
      <c r="O3434" s="23">
        <v>0.01</v>
      </c>
      <c r="P3434" s="23" t="s">
        <v>79</v>
      </c>
      <c r="Q3434" s="23" t="s">
        <v>83</v>
      </c>
      <c r="R3434" s="23">
        <v>11100008</v>
      </c>
      <c r="S3434" s="24" t="s">
        <v>80</v>
      </c>
      <c r="T3434" s="24">
        <v>46073</v>
      </c>
      <c r="U3434" s="24">
        <v>46101</v>
      </c>
      <c r="X3434" s="24">
        <v>46073</v>
      </c>
      <c r="Y3434" s="23">
        <v>1111</v>
      </c>
      <c r="Z3434" s="23">
        <v>11400789</v>
      </c>
      <c r="AA3434" s="23">
        <v>5251</v>
      </c>
      <c r="AB3434" s="24">
        <v>46035</v>
      </c>
    </row>
    <row r="3435" spans="2:28" x14ac:dyDescent="0.2">
      <c r="B3435" s="23" t="s">
        <v>81</v>
      </c>
      <c r="C3435" s="23">
        <v>1100577360</v>
      </c>
      <c r="H3435" s="24">
        <v>47848</v>
      </c>
      <c r="O3435" s="23">
        <v>0.01</v>
      </c>
      <c r="P3435" s="23" t="s">
        <v>79</v>
      </c>
    </row>
    <row r="3436" spans="2:28" x14ac:dyDescent="0.2">
      <c r="C3436" s="23">
        <v>1100577380</v>
      </c>
      <c r="E3436" s="23">
        <v>50</v>
      </c>
      <c r="F3436" s="23" t="s">
        <v>82</v>
      </c>
      <c r="G3436" s="23" t="s">
        <v>139</v>
      </c>
      <c r="H3436" s="24">
        <v>47848</v>
      </c>
      <c r="I3436" s="24">
        <v>47848</v>
      </c>
      <c r="J3436" s="23" t="s">
        <v>682</v>
      </c>
      <c r="K3436" s="23" t="s">
        <v>682</v>
      </c>
      <c r="L3436" s="23">
        <v>1</v>
      </c>
      <c r="M3436" s="23" t="s">
        <v>78</v>
      </c>
      <c r="N3436" s="23" t="s">
        <v>78</v>
      </c>
      <c r="O3436" s="23">
        <v>0.01</v>
      </c>
      <c r="P3436" s="23" t="s">
        <v>79</v>
      </c>
      <c r="Q3436" s="23" t="s">
        <v>83</v>
      </c>
      <c r="R3436" s="23">
        <v>11100008</v>
      </c>
      <c r="S3436" s="24" t="s">
        <v>80</v>
      </c>
      <c r="T3436" s="24">
        <v>46073</v>
      </c>
      <c r="U3436" s="24">
        <v>47116</v>
      </c>
      <c r="X3436" s="24">
        <v>46073</v>
      </c>
      <c r="Y3436" s="23">
        <v>1111</v>
      </c>
      <c r="Z3436" s="23">
        <v>11100042</v>
      </c>
      <c r="AA3436" s="23">
        <v>3355</v>
      </c>
      <c r="AB3436" s="24">
        <v>46073</v>
      </c>
    </row>
    <row r="3437" spans="2:28" x14ac:dyDescent="0.2">
      <c r="B3437" s="23" t="s">
        <v>81</v>
      </c>
      <c r="C3437" s="23">
        <v>1100577380</v>
      </c>
      <c r="H3437" s="24">
        <v>47848</v>
      </c>
      <c r="O3437" s="23">
        <v>0.01</v>
      </c>
      <c r="P3437" s="23" t="s">
        <v>79</v>
      </c>
    </row>
    <row r="3438" spans="2:28" x14ac:dyDescent="0.2">
      <c r="C3438" s="23">
        <v>1100577440</v>
      </c>
      <c r="E3438" s="23">
        <v>20</v>
      </c>
      <c r="F3438" s="23" t="s">
        <v>82</v>
      </c>
      <c r="G3438" s="23" t="s">
        <v>139</v>
      </c>
      <c r="H3438" s="24">
        <v>47848</v>
      </c>
      <c r="I3438" s="24">
        <v>47848</v>
      </c>
      <c r="J3438" s="23" t="s">
        <v>91</v>
      </c>
      <c r="K3438" s="23" t="s">
        <v>91</v>
      </c>
      <c r="L3438" s="23">
        <v>1</v>
      </c>
      <c r="M3438" s="23" t="s">
        <v>78</v>
      </c>
      <c r="N3438" s="23" t="s">
        <v>78</v>
      </c>
      <c r="O3438" s="23">
        <v>0.01</v>
      </c>
      <c r="P3438" s="23" t="s">
        <v>79</v>
      </c>
      <c r="Q3438" s="23" t="s">
        <v>83</v>
      </c>
      <c r="R3438" s="23">
        <v>11100008</v>
      </c>
      <c r="S3438" s="24" t="s">
        <v>80</v>
      </c>
      <c r="T3438" s="24">
        <v>46073</v>
      </c>
      <c r="U3438" s="24">
        <v>46094</v>
      </c>
      <c r="X3438" s="24">
        <v>46070</v>
      </c>
      <c r="Y3438" s="23">
        <v>1111</v>
      </c>
      <c r="Z3438" s="23">
        <v>11400745</v>
      </c>
      <c r="AA3438" s="23">
        <v>5251</v>
      </c>
      <c r="AB3438" s="24">
        <v>46070</v>
      </c>
    </row>
    <row r="3439" spans="2:28" x14ac:dyDescent="0.2">
      <c r="B3439" s="23" t="s">
        <v>81</v>
      </c>
      <c r="C3439" s="23">
        <v>1100577440</v>
      </c>
      <c r="H3439" s="24">
        <v>47848</v>
      </c>
      <c r="O3439" s="23">
        <v>0.01</v>
      </c>
      <c r="P3439" s="23" t="s">
        <v>79</v>
      </c>
    </row>
    <row r="3440" spans="2:28" x14ac:dyDescent="0.2">
      <c r="C3440" s="23">
        <v>1100577480</v>
      </c>
      <c r="E3440" s="23">
        <v>10</v>
      </c>
      <c r="F3440" s="23" t="s">
        <v>769</v>
      </c>
      <c r="G3440" s="23" t="s">
        <v>770</v>
      </c>
      <c r="H3440" s="24">
        <v>47848</v>
      </c>
      <c r="I3440" s="24">
        <v>46083</v>
      </c>
      <c r="J3440" s="23" t="s">
        <v>4218</v>
      </c>
      <c r="K3440" s="23" t="s">
        <v>4218</v>
      </c>
      <c r="L3440" s="23">
        <v>5</v>
      </c>
      <c r="M3440" s="23" t="s">
        <v>78</v>
      </c>
      <c r="N3440" s="23" t="s">
        <v>78</v>
      </c>
      <c r="O3440" s="23">
        <v>227</v>
      </c>
      <c r="P3440" s="23" t="s">
        <v>79</v>
      </c>
      <c r="Q3440" s="23" t="s">
        <v>83</v>
      </c>
      <c r="R3440" s="23">
        <v>11100176</v>
      </c>
      <c r="S3440" s="24">
        <v>46078</v>
      </c>
      <c r="T3440" s="24">
        <v>46074</v>
      </c>
      <c r="U3440" s="24">
        <v>46083</v>
      </c>
      <c r="X3440" s="24">
        <v>46071</v>
      </c>
      <c r="Y3440" s="23">
        <v>1111</v>
      </c>
      <c r="Z3440" s="23">
        <v>11600003</v>
      </c>
      <c r="AA3440" s="23">
        <v>335103</v>
      </c>
      <c r="AB3440" s="24">
        <v>46072</v>
      </c>
    </row>
    <row r="3441" spans="2:28" x14ac:dyDescent="0.2">
      <c r="C3441" s="23">
        <v>1100577480</v>
      </c>
      <c r="E3441" s="23">
        <v>20</v>
      </c>
      <c r="F3441" s="23" t="s">
        <v>82</v>
      </c>
      <c r="G3441" s="23" t="s">
        <v>139</v>
      </c>
      <c r="H3441" s="24">
        <v>47848</v>
      </c>
      <c r="I3441" s="24">
        <v>47848</v>
      </c>
      <c r="J3441" s="23" t="s">
        <v>4218</v>
      </c>
      <c r="K3441" s="23" t="s">
        <v>4218</v>
      </c>
      <c r="L3441" s="23">
        <v>1</v>
      </c>
      <c r="M3441" s="23" t="s">
        <v>78</v>
      </c>
      <c r="N3441" s="23" t="s">
        <v>78</v>
      </c>
      <c r="O3441" s="23">
        <v>0.01</v>
      </c>
      <c r="P3441" s="23" t="s">
        <v>79</v>
      </c>
      <c r="Q3441" s="23" t="s">
        <v>83</v>
      </c>
      <c r="R3441" s="23">
        <v>11100176</v>
      </c>
      <c r="S3441" s="24">
        <v>46078</v>
      </c>
      <c r="T3441" s="24">
        <v>46074</v>
      </c>
      <c r="U3441" s="24">
        <v>46083</v>
      </c>
      <c r="X3441" s="24">
        <v>46071</v>
      </c>
      <c r="Y3441" s="23">
        <v>1111</v>
      </c>
      <c r="Z3441" s="23">
        <v>11600003</v>
      </c>
      <c r="AA3441" s="23">
        <v>335103</v>
      </c>
      <c r="AB3441" s="24">
        <v>46072</v>
      </c>
    </row>
    <row r="3442" spans="2:28" x14ac:dyDescent="0.2">
      <c r="B3442" s="23" t="s">
        <v>81</v>
      </c>
      <c r="C3442" s="23">
        <v>1100577480</v>
      </c>
      <c r="H3442" s="24">
        <v>47848</v>
      </c>
      <c r="O3442" s="23">
        <v>227.01</v>
      </c>
      <c r="P3442" s="23" t="s">
        <v>79</v>
      </c>
    </row>
    <row r="3443" spans="2:28" x14ac:dyDescent="0.2">
      <c r="C3443" s="23">
        <v>1100577530</v>
      </c>
      <c r="E3443" s="23">
        <v>20</v>
      </c>
      <c r="F3443" s="23" t="s">
        <v>82</v>
      </c>
      <c r="G3443" s="23" t="s">
        <v>139</v>
      </c>
      <c r="H3443" s="24">
        <v>47848</v>
      </c>
      <c r="I3443" s="24">
        <v>47848</v>
      </c>
      <c r="J3443" s="23" t="s">
        <v>2119</v>
      </c>
      <c r="K3443" s="23" t="s">
        <v>2119</v>
      </c>
      <c r="L3443" s="23">
        <v>1</v>
      </c>
      <c r="M3443" s="23" t="s">
        <v>78</v>
      </c>
      <c r="N3443" s="23" t="s">
        <v>78</v>
      </c>
      <c r="O3443" s="23">
        <v>0.01</v>
      </c>
      <c r="P3443" s="23" t="s">
        <v>79</v>
      </c>
      <c r="Q3443" s="23" t="s">
        <v>83</v>
      </c>
      <c r="R3443" s="23">
        <v>11100008</v>
      </c>
      <c r="S3443" s="24" t="s">
        <v>80</v>
      </c>
      <c r="T3443" s="24">
        <v>46075</v>
      </c>
      <c r="U3443" s="24">
        <v>46091</v>
      </c>
      <c r="X3443" s="24">
        <v>46072</v>
      </c>
      <c r="Y3443" s="23">
        <v>1111</v>
      </c>
      <c r="Z3443" s="23">
        <v>11400797</v>
      </c>
      <c r="AA3443" s="23">
        <v>5051</v>
      </c>
      <c r="AB3443" s="24">
        <v>46071</v>
      </c>
    </row>
    <row r="3444" spans="2:28" x14ac:dyDescent="0.2">
      <c r="B3444" s="23" t="s">
        <v>81</v>
      </c>
      <c r="C3444" s="23">
        <v>1100577530</v>
      </c>
      <c r="H3444" s="24">
        <v>47848</v>
      </c>
      <c r="O3444" s="23">
        <v>0.01</v>
      </c>
      <c r="P3444" s="23" t="s">
        <v>79</v>
      </c>
    </row>
    <row r="3445" spans="2:28" x14ac:dyDescent="0.2">
      <c r="C3445" s="23">
        <v>1100577655</v>
      </c>
      <c r="E3445" s="23">
        <v>20</v>
      </c>
      <c r="F3445" s="23" t="s">
        <v>82</v>
      </c>
      <c r="G3445" s="23" t="s">
        <v>139</v>
      </c>
      <c r="H3445" s="24">
        <v>47848</v>
      </c>
      <c r="I3445" s="24">
        <v>47848</v>
      </c>
      <c r="J3445" s="23" t="s">
        <v>2301</v>
      </c>
      <c r="K3445" s="23" t="s">
        <v>2301</v>
      </c>
      <c r="L3445" s="23">
        <v>1</v>
      </c>
      <c r="M3445" s="23" t="s">
        <v>78</v>
      </c>
      <c r="N3445" s="23" t="s">
        <v>78</v>
      </c>
      <c r="O3445" s="23">
        <v>0.01</v>
      </c>
      <c r="P3445" s="23" t="s">
        <v>79</v>
      </c>
      <c r="Q3445" s="23" t="s">
        <v>83</v>
      </c>
      <c r="R3445" s="23">
        <v>11100176</v>
      </c>
      <c r="S3445" s="24">
        <v>46098</v>
      </c>
      <c r="T3445" s="24">
        <v>46076</v>
      </c>
      <c r="U3445" s="24">
        <v>46092</v>
      </c>
      <c r="X3445" s="24">
        <v>46073</v>
      </c>
      <c r="Y3445" s="23">
        <v>1111</v>
      </c>
      <c r="Z3445" s="23">
        <v>11100320</v>
      </c>
      <c r="AA3445" s="23">
        <v>5051</v>
      </c>
      <c r="AB3445" s="24">
        <v>46069</v>
      </c>
    </row>
    <row r="3446" spans="2:28" x14ac:dyDescent="0.2">
      <c r="B3446" s="23" t="s">
        <v>81</v>
      </c>
      <c r="C3446" s="23">
        <v>1100577655</v>
      </c>
      <c r="H3446" s="24">
        <v>47848</v>
      </c>
      <c r="O3446" s="23">
        <v>0.01</v>
      </c>
      <c r="P3446" s="23" t="s">
        <v>79</v>
      </c>
    </row>
    <row r="3447" spans="2:28" x14ac:dyDescent="0.2">
      <c r="C3447" s="23">
        <v>1100577851</v>
      </c>
      <c r="E3447" s="23">
        <v>30</v>
      </c>
      <c r="F3447" s="23" t="s">
        <v>82</v>
      </c>
      <c r="G3447" s="23" t="s">
        <v>139</v>
      </c>
      <c r="H3447" s="24">
        <v>47848</v>
      </c>
      <c r="I3447" s="24">
        <v>47848</v>
      </c>
      <c r="J3447" s="23" t="s">
        <v>4219</v>
      </c>
      <c r="K3447" s="23" t="s">
        <v>4219</v>
      </c>
      <c r="L3447" s="23">
        <v>1</v>
      </c>
      <c r="M3447" s="23" t="s">
        <v>78</v>
      </c>
      <c r="N3447" s="23" t="s">
        <v>78</v>
      </c>
      <c r="O3447" s="23">
        <v>0.01</v>
      </c>
      <c r="P3447" s="23" t="s">
        <v>79</v>
      </c>
      <c r="Q3447" s="23" t="s">
        <v>83</v>
      </c>
      <c r="R3447" s="23">
        <v>11100176</v>
      </c>
      <c r="S3447" s="24" t="s">
        <v>80</v>
      </c>
      <c r="T3447" s="24">
        <v>46078</v>
      </c>
      <c r="U3447" s="24">
        <v>46091</v>
      </c>
      <c r="X3447" s="24">
        <v>46076</v>
      </c>
      <c r="Y3447" s="23">
        <v>1111</v>
      </c>
      <c r="Z3447" s="23">
        <v>11400745</v>
      </c>
      <c r="AA3447" s="23">
        <v>5051</v>
      </c>
      <c r="AB3447" s="24">
        <v>46076</v>
      </c>
    </row>
    <row r="3448" spans="2:28" x14ac:dyDescent="0.2">
      <c r="B3448" s="23" t="s">
        <v>81</v>
      </c>
      <c r="C3448" s="23">
        <v>1100577851</v>
      </c>
      <c r="H3448" s="24">
        <v>47848</v>
      </c>
      <c r="O3448" s="23">
        <v>0.01</v>
      </c>
      <c r="P3448" s="23" t="s">
        <v>79</v>
      </c>
    </row>
    <row r="3449" spans="2:28" x14ac:dyDescent="0.2">
      <c r="C3449" s="23">
        <v>1100577855</v>
      </c>
      <c r="E3449" s="23">
        <v>20</v>
      </c>
      <c r="F3449" s="23" t="s">
        <v>82</v>
      </c>
      <c r="G3449" s="23" t="s">
        <v>139</v>
      </c>
      <c r="H3449" s="24">
        <v>47848</v>
      </c>
      <c r="I3449" s="24">
        <v>47848</v>
      </c>
      <c r="J3449" s="23" t="s">
        <v>168</v>
      </c>
      <c r="K3449" s="23" t="s">
        <v>168</v>
      </c>
      <c r="L3449" s="23">
        <v>1</v>
      </c>
      <c r="M3449" s="23" t="s">
        <v>78</v>
      </c>
      <c r="N3449" s="23" t="s">
        <v>78</v>
      </c>
      <c r="O3449" s="23">
        <v>0.01</v>
      </c>
      <c r="P3449" s="23" t="s">
        <v>79</v>
      </c>
      <c r="Q3449" s="23" t="s">
        <v>83</v>
      </c>
      <c r="R3449" s="23">
        <v>11100176</v>
      </c>
      <c r="S3449" s="24" t="s">
        <v>80</v>
      </c>
      <c r="T3449" s="24">
        <v>46078</v>
      </c>
      <c r="U3449" s="24">
        <v>46085</v>
      </c>
      <c r="X3449" s="24">
        <v>46076</v>
      </c>
      <c r="Y3449" s="23">
        <v>1111</v>
      </c>
      <c r="Z3449" s="23">
        <v>11400745</v>
      </c>
      <c r="AA3449" s="23">
        <v>515103</v>
      </c>
      <c r="AB3449" s="24">
        <v>46076</v>
      </c>
    </row>
    <row r="3450" spans="2:28" x14ac:dyDescent="0.2">
      <c r="B3450" s="23" t="s">
        <v>81</v>
      </c>
      <c r="C3450" s="23">
        <v>1100577855</v>
      </c>
      <c r="H3450" s="24">
        <v>47848</v>
      </c>
      <c r="O3450" s="23">
        <v>0.01</v>
      </c>
      <c r="P3450" s="23" t="s">
        <v>79</v>
      </c>
    </row>
    <row r="3451" spans="2:28" x14ac:dyDescent="0.2">
      <c r="C3451" s="23">
        <v>1100578102</v>
      </c>
      <c r="E3451" s="23">
        <v>20</v>
      </c>
      <c r="F3451" s="23" t="s">
        <v>82</v>
      </c>
      <c r="G3451" s="23" t="s">
        <v>139</v>
      </c>
      <c r="H3451" s="24">
        <v>47848</v>
      </c>
      <c r="I3451" s="24">
        <v>47848</v>
      </c>
      <c r="J3451" s="23" t="s">
        <v>3416</v>
      </c>
      <c r="K3451" s="23" t="s">
        <v>3416</v>
      </c>
      <c r="L3451" s="23">
        <v>1</v>
      </c>
      <c r="M3451" s="23" t="s">
        <v>78</v>
      </c>
      <c r="N3451" s="23" t="s">
        <v>78</v>
      </c>
      <c r="O3451" s="23">
        <v>0.01</v>
      </c>
      <c r="P3451" s="23" t="s">
        <v>79</v>
      </c>
      <c r="Q3451" s="23" t="s">
        <v>83</v>
      </c>
      <c r="R3451" s="23">
        <v>11100176</v>
      </c>
      <c r="S3451" s="24" t="s">
        <v>80</v>
      </c>
      <c r="T3451" s="24">
        <v>46079</v>
      </c>
      <c r="U3451" s="24">
        <v>46093</v>
      </c>
      <c r="X3451" s="24">
        <v>46027</v>
      </c>
      <c r="Y3451" s="23">
        <v>1111</v>
      </c>
      <c r="Z3451" s="23">
        <v>11400937</v>
      </c>
      <c r="AA3451" s="23">
        <v>3351</v>
      </c>
      <c r="AB3451" s="24">
        <v>46078</v>
      </c>
    </row>
    <row r="3452" spans="2:28" x14ac:dyDescent="0.2">
      <c r="B3452" s="23" t="s">
        <v>81</v>
      </c>
      <c r="C3452" s="23">
        <v>1100578102</v>
      </c>
      <c r="H3452" s="24">
        <v>47848</v>
      </c>
      <c r="O3452" s="23">
        <v>0.01</v>
      </c>
      <c r="P3452" s="23" t="s">
        <v>79</v>
      </c>
    </row>
    <row r="3453" spans="2:28" x14ac:dyDescent="0.2">
      <c r="C3453" s="23">
        <v>1100578221</v>
      </c>
      <c r="E3453" s="23">
        <v>20</v>
      </c>
      <c r="F3453" s="23" t="s">
        <v>82</v>
      </c>
      <c r="G3453" s="23" t="s">
        <v>139</v>
      </c>
      <c r="H3453" s="24">
        <v>47848</v>
      </c>
      <c r="I3453" s="24">
        <v>47848</v>
      </c>
      <c r="J3453" s="23" t="s">
        <v>1254</v>
      </c>
      <c r="K3453" s="23" t="s">
        <v>1254</v>
      </c>
      <c r="L3453" s="23">
        <v>1</v>
      </c>
      <c r="M3453" s="23" t="s">
        <v>78</v>
      </c>
      <c r="N3453" s="23" t="s">
        <v>78</v>
      </c>
      <c r="O3453" s="23">
        <v>0.01</v>
      </c>
      <c r="P3453" s="23" t="s">
        <v>79</v>
      </c>
      <c r="Q3453" s="23" t="s">
        <v>83</v>
      </c>
      <c r="R3453" s="23">
        <v>11100176</v>
      </c>
      <c r="S3453" s="24">
        <v>46085</v>
      </c>
      <c r="T3453" s="24">
        <v>46080</v>
      </c>
      <c r="U3453" s="24">
        <v>46090</v>
      </c>
      <c r="X3453" s="24">
        <v>46079</v>
      </c>
      <c r="Y3453" s="23">
        <v>1111</v>
      </c>
      <c r="Z3453" s="23">
        <v>11600003</v>
      </c>
      <c r="AA3453" s="23">
        <v>335103</v>
      </c>
      <c r="AB3453" s="24">
        <v>46079</v>
      </c>
    </row>
    <row r="3454" spans="2:28" x14ac:dyDescent="0.2">
      <c r="B3454" s="23" t="s">
        <v>81</v>
      </c>
      <c r="C3454" s="23">
        <v>1100578221</v>
      </c>
      <c r="H3454" s="24">
        <v>47848</v>
      </c>
      <c r="O3454" s="23">
        <v>0.01</v>
      </c>
      <c r="P3454" s="23" t="s">
        <v>79</v>
      </c>
    </row>
    <row r="3455" spans="2:28" x14ac:dyDescent="0.2">
      <c r="C3455" s="23">
        <v>1100578227</v>
      </c>
      <c r="E3455" s="23">
        <v>30</v>
      </c>
      <c r="F3455" s="23" t="s">
        <v>82</v>
      </c>
      <c r="G3455" s="23" t="s">
        <v>139</v>
      </c>
      <c r="H3455" s="24">
        <v>47848</v>
      </c>
      <c r="I3455" s="24">
        <v>47848</v>
      </c>
      <c r="J3455" s="23" t="s">
        <v>2709</v>
      </c>
      <c r="K3455" s="23" t="s">
        <v>2709</v>
      </c>
      <c r="L3455" s="23">
        <v>1</v>
      </c>
      <c r="M3455" s="23" t="s">
        <v>78</v>
      </c>
      <c r="N3455" s="23" t="s">
        <v>78</v>
      </c>
      <c r="O3455" s="23">
        <v>0.01</v>
      </c>
      <c r="P3455" s="23" t="s">
        <v>79</v>
      </c>
      <c r="Q3455" s="23" t="s">
        <v>83</v>
      </c>
      <c r="R3455" s="23">
        <v>11100176</v>
      </c>
      <c r="S3455" s="24" t="s">
        <v>80</v>
      </c>
      <c r="T3455" s="24">
        <v>46080</v>
      </c>
      <c r="U3455" s="24">
        <v>46090</v>
      </c>
      <c r="X3455" s="24">
        <v>46079</v>
      </c>
      <c r="Y3455" s="23">
        <v>1111</v>
      </c>
      <c r="Z3455" s="23">
        <v>11400811</v>
      </c>
      <c r="AA3455" s="23">
        <v>335103</v>
      </c>
      <c r="AB3455" s="24">
        <v>46079</v>
      </c>
    </row>
    <row r="3456" spans="2:28" x14ac:dyDescent="0.2">
      <c r="B3456" s="23" t="s">
        <v>81</v>
      </c>
      <c r="C3456" s="23">
        <v>1100578227</v>
      </c>
      <c r="H3456" s="24">
        <v>47848</v>
      </c>
      <c r="O3456" s="23">
        <v>0.01</v>
      </c>
      <c r="P3456" s="23" t="s">
        <v>79</v>
      </c>
    </row>
    <row r="3457" spans="2:28" x14ac:dyDescent="0.2">
      <c r="C3457" s="23">
        <v>1100578237</v>
      </c>
      <c r="E3457" s="23">
        <v>20</v>
      </c>
      <c r="F3457" s="23" t="s">
        <v>82</v>
      </c>
      <c r="G3457" s="23" t="s">
        <v>139</v>
      </c>
      <c r="H3457" s="24">
        <v>47848</v>
      </c>
      <c r="I3457" s="24">
        <v>47848</v>
      </c>
      <c r="J3457" s="23" t="s">
        <v>102</v>
      </c>
      <c r="K3457" s="23" t="s">
        <v>102</v>
      </c>
      <c r="L3457" s="23">
        <v>1</v>
      </c>
      <c r="M3457" s="23" t="s">
        <v>78</v>
      </c>
      <c r="N3457" s="23" t="s">
        <v>78</v>
      </c>
      <c r="O3457" s="23">
        <v>0.01</v>
      </c>
      <c r="P3457" s="23" t="s">
        <v>79</v>
      </c>
      <c r="Q3457" s="23" t="s">
        <v>83</v>
      </c>
      <c r="R3457" s="23">
        <v>11100176</v>
      </c>
      <c r="S3457" s="24" t="s">
        <v>80</v>
      </c>
      <c r="T3457" s="24">
        <v>46080</v>
      </c>
      <c r="U3457" s="24">
        <v>46100</v>
      </c>
      <c r="X3457" s="24">
        <v>46079</v>
      </c>
      <c r="Y3457" s="23">
        <v>1111</v>
      </c>
      <c r="Z3457" s="23">
        <v>11400811</v>
      </c>
      <c r="AA3457" s="23">
        <v>5151</v>
      </c>
      <c r="AB3457" s="24">
        <v>46079</v>
      </c>
    </row>
    <row r="3458" spans="2:28" x14ac:dyDescent="0.2">
      <c r="B3458" s="23" t="s">
        <v>81</v>
      </c>
      <c r="C3458" s="23">
        <v>1100578237</v>
      </c>
      <c r="H3458" s="24">
        <v>47848</v>
      </c>
      <c r="O3458" s="23">
        <v>0.01</v>
      </c>
      <c r="P3458" s="23" t="s">
        <v>79</v>
      </c>
    </row>
    <row r="3459" spans="2:28" x14ac:dyDescent="0.2">
      <c r="C3459" s="23">
        <v>1100578259</v>
      </c>
      <c r="E3459" s="23">
        <v>20</v>
      </c>
      <c r="F3459" s="23" t="s">
        <v>82</v>
      </c>
      <c r="G3459" s="23" t="s">
        <v>139</v>
      </c>
      <c r="H3459" s="24">
        <v>47848</v>
      </c>
      <c r="I3459" s="24">
        <v>47848</v>
      </c>
      <c r="J3459" s="23" t="s">
        <v>2304</v>
      </c>
      <c r="K3459" s="23" t="s">
        <v>2304</v>
      </c>
      <c r="L3459" s="23">
        <v>1</v>
      </c>
      <c r="M3459" s="23" t="s">
        <v>78</v>
      </c>
      <c r="N3459" s="23" t="s">
        <v>78</v>
      </c>
      <c r="O3459" s="23">
        <v>0.01</v>
      </c>
      <c r="P3459" s="23" t="s">
        <v>79</v>
      </c>
      <c r="Q3459" s="23" t="s">
        <v>83</v>
      </c>
      <c r="R3459" s="23">
        <v>11100176</v>
      </c>
      <c r="S3459" s="24" t="s">
        <v>80</v>
      </c>
      <c r="T3459" s="24">
        <v>46080</v>
      </c>
      <c r="U3459" s="24">
        <v>46090</v>
      </c>
      <c r="X3459" s="24">
        <v>46080</v>
      </c>
      <c r="Y3459" s="23">
        <v>1111</v>
      </c>
      <c r="Z3459" s="23">
        <v>11600007</v>
      </c>
      <c r="AA3459" s="23">
        <v>395103</v>
      </c>
      <c r="AB3459" s="24">
        <v>46079</v>
      </c>
    </row>
    <row r="3460" spans="2:28" x14ac:dyDescent="0.2">
      <c r="B3460" s="23" t="s">
        <v>81</v>
      </c>
      <c r="C3460" s="23">
        <v>1100578259</v>
      </c>
      <c r="H3460" s="24">
        <v>47848</v>
      </c>
      <c r="O3460" s="23">
        <v>0.01</v>
      </c>
      <c r="P3460" s="23" t="s">
        <v>79</v>
      </c>
    </row>
    <row r="3461" spans="2:28" x14ac:dyDescent="0.2">
      <c r="C3461" s="23">
        <v>1100578265</v>
      </c>
      <c r="E3461" s="23">
        <v>20</v>
      </c>
      <c r="F3461" s="23" t="s">
        <v>82</v>
      </c>
      <c r="G3461" s="23" t="s">
        <v>139</v>
      </c>
      <c r="H3461" s="24">
        <v>47848</v>
      </c>
      <c r="I3461" s="24">
        <v>47848</v>
      </c>
      <c r="J3461" s="23" t="s">
        <v>1433</v>
      </c>
      <c r="K3461" s="23" t="s">
        <v>1433</v>
      </c>
      <c r="L3461" s="23">
        <v>1</v>
      </c>
      <c r="M3461" s="23" t="s">
        <v>78</v>
      </c>
      <c r="N3461" s="23" t="s">
        <v>78</v>
      </c>
      <c r="O3461" s="23">
        <v>0.01</v>
      </c>
      <c r="P3461" s="23" t="s">
        <v>79</v>
      </c>
      <c r="Q3461" s="23" t="s">
        <v>83</v>
      </c>
      <c r="R3461" s="23">
        <v>11100176</v>
      </c>
      <c r="S3461" s="24" t="s">
        <v>80</v>
      </c>
      <c r="T3461" s="24">
        <v>46080</v>
      </c>
      <c r="U3461" s="24">
        <v>46090</v>
      </c>
      <c r="X3461" s="24">
        <v>46080</v>
      </c>
      <c r="Y3461" s="23">
        <v>1111</v>
      </c>
      <c r="Z3461" s="23">
        <v>11600007</v>
      </c>
      <c r="AA3461" s="23">
        <v>335103</v>
      </c>
      <c r="AB3461" s="24">
        <v>46079</v>
      </c>
    </row>
    <row r="3462" spans="2:28" x14ac:dyDescent="0.2">
      <c r="B3462" s="23" t="s">
        <v>81</v>
      </c>
      <c r="C3462" s="23">
        <v>1100578265</v>
      </c>
      <c r="H3462" s="24">
        <v>47848</v>
      </c>
      <c r="O3462" s="23">
        <v>0.01</v>
      </c>
      <c r="P3462" s="23" t="s">
        <v>79</v>
      </c>
    </row>
    <row r="3463" spans="2:28" x14ac:dyDescent="0.2">
      <c r="C3463" s="23">
        <v>1100578267</v>
      </c>
      <c r="E3463" s="23">
        <v>20</v>
      </c>
      <c r="F3463" s="23" t="s">
        <v>82</v>
      </c>
      <c r="G3463" s="23" t="s">
        <v>139</v>
      </c>
      <c r="H3463" s="24">
        <v>47848</v>
      </c>
      <c r="I3463" s="24">
        <v>47848</v>
      </c>
      <c r="J3463" s="23" t="s">
        <v>2283</v>
      </c>
      <c r="K3463" s="23" t="s">
        <v>2283</v>
      </c>
      <c r="L3463" s="23">
        <v>1</v>
      </c>
      <c r="M3463" s="23" t="s">
        <v>78</v>
      </c>
      <c r="N3463" s="23" t="s">
        <v>78</v>
      </c>
      <c r="O3463" s="23">
        <v>0.01</v>
      </c>
      <c r="P3463" s="23" t="s">
        <v>79</v>
      </c>
      <c r="Q3463" s="23" t="s">
        <v>83</v>
      </c>
      <c r="R3463" s="23">
        <v>11100176</v>
      </c>
      <c r="S3463" s="24" t="s">
        <v>80</v>
      </c>
      <c r="T3463" s="24">
        <v>46080</v>
      </c>
      <c r="U3463" s="24">
        <v>46090</v>
      </c>
      <c r="X3463" s="24">
        <v>46079</v>
      </c>
      <c r="Y3463" s="23">
        <v>1111</v>
      </c>
      <c r="Z3463" s="23">
        <v>11400745</v>
      </c>
      <c r="AA3463" s="23">
        <v>335103</v>
      </c>
      <c r="AB3463" s="24">
        <v>46079</v>
      </c>
    </row>
    <row r="3464" spans="2:28" x14ac:dyDescent="0.2">
      <c r="B3464" s="23" t="s">
        <v>81</v>
      </c>
      <c r="C3464" s="23">
        <v>1100578267</v>
      </c>
      <c r="H3464" s="24">
        <v>47848</v>
      </c>
      <c r="O3464" s="23">
        <v>0.01</v>
      </c>
      <c r="P3464" s="23" t="s">
        <v>79</v>
      </c>
    </row>
    <row r="3465" spans="2:28" x14ac:dyDescent="0.2">
      <c r="C3465" s="23">
        <v>1100578302</v>
      </c>
      <c r="E3465" s="23">
        <v>20</v>
      </c>
      <c r="F3465" s="23" t="s">
        <v>82</v>
      </c>
      <c r="G3465" s="23" t="s">
        <v>139</v>
      </c>
      <c r="H3465" s="24">
        <v>47848</v>
      </c>
      <c r="I3465" s="24">
        <v>47848</v>
      </c>
      <c r="J3465" s="23" t="s">
        <v>865</v>
      </c>
      <c r="K3465" s="23" t="s">
        <v>865</v>
      </c>
      <c r="L3465" s="23">
        <v>1</v>
      </c>
      <c r="M3465" s="23" t="s">
        <v>78</v>
      </c>
      <c r="N3465" s="23" t="s">
        <v>78</v>
      </c>
      <c r="O3465" s="23">
        <v>0.01</v>
      </c>
      <c r="P3465" s="23" t="s">
        <v>79</v>
      </c>
      <c r="Q3465" s="23" t="s">
        <v>83</v>
      </c>
      <c r="R3465" s="23">
        <v>11100176</v>
      </c>
      <c r="S3465" s="24" t="s">
        <v>80</v>
      </c>
      <c r="T3465" s="24">
        <v>46080</v>
      </c>
      <c r="U3465" s="24">
        <v>46090</v>
      </c>
      <c r="X3465" s="24">
        <v>46076</v>
      </c>
      <c r="Y3465" s="23">
        <v>1111</v>
      </c>
      <c r="Z3465" s="23">
        <v>11400704</v>
      </c>
      <c r="AA3465" s="23">
        <v>315103</v>
      </c>
      <c r="AB3465" s="24">
        <v>46079</v>
      </c>
    </row>
    <row r="3466" spans="2:28" x14ac:dyDescent="0.2">
      <c r="B3466" s="23" t="s">
        <v>81</v>
      </c>
      <c r="C3466" s="23">
        <v>1100578302</v>
      </c>
      <c r="H3466" s="24">
        <v>47848</v>
      </c>
      <c r="O3466" s="23">
        <v>0.01</v>
      </c>
      <c r="P3466" s="23" t="s">
        <v>79</v>
      </c>
    </row>
    <row r="3467" spans="2:28" x14ac:dyDescent="0.2">
      <c r="C3467" s="23">
        <v>1100578335</v>
      </c>
      <c r="E3467" s="23">
        <v>40</v>
      </c>
      <c r="F3467" s="23" t="s">
        <v>82</v>
      </c>
      <c r="G3467" s="23" t="s">
        <v>139</v>
      </c>
      <c r="H3467" s="24">
        <v>47848</v>
      </c>
      <c r="I3467" s="24">
        <v>47848</v>
      </c>
      <c r="J3467" s="23" t="s">
        <v>1777</v>
      </c>
      <c r="K3467" s="23" t="s">
        <v>1777</v>
      </c>
      <c r="L3467" s="23">
        <v>1</v>
      </c>
      <c r="M3467" s="23" t="s">
        <v>78</v>
      </c>
      <c r="N3467" s="23" t="s">
        <v>78</v>
      </c>
      <c r="O3467" s="23">
        <v>0.01</v>
      </c>
      <c r="P3467" s="23" t="s">
        <v>79</v>
      </c>
      <c r="Q3467" s="23" t="s">
        <v>83</v>
      </c>
      <c r="R3467" s="23">
        <v>11100176</v>
      </c>
      <c r="S3467" s="24" t="s">
        <v>80</v>
      </c>
      <c r="T3467" s="24">
        <v>46080</v>
      </c>
      <c r="U3467" s="24">
        <v>46090</v>
      </c>
      <c r="X3467" s="24">
        <v>46079</v>
      </c>
      <c r="Y3467" s="23">
        <v>1111</v>
      </c>
      <c r="Z3467" s="23">
        <v>11400797</v>
      </c>
      <c r="AA3467" s="23">
        <v>335103</v>
      </c>
      <c r="AB3467" s="24">
        <v>46080</v>
      </c>
    </row>
    <row r="3468" spans="2:28" x14ac:dyDescent="0.2">
      <c r="B3468" s="23" t="s">
        <v>81</v>
      </c>
      <c r="C3468" s="23">
        <v>1100578335</v>
      </c>
      <c r="H3468" s="24">
        <v>47848</v>
      </c>
      <c r="O3468" s="23">
        <v>0.01</v>
      </c>
      <c r="P3468" s="23" t="s">
        <v>79</v>
      </c>
    </row>
    <row r="3469" spans="2:28" x14ac:dyDescent="0.2">
      <c r="C3469" s="23">
        <v>1100578337</v>
      </c>
      <c r="E3469" s="23">
        <v>30</v>
      </c>
      <c r="F3469" s="23" t="s">
        <v>82</v>
      </c>
      <c r="G3469" s="23" t="s">
        <v>139</v>
      </c>
      <c r="H3469" s="24">
        <v>47848</v>
      </c>
      <c r="I3469" s="24">
        <v>47848</v>
      </c>
      <c r="J3469" s="23" t="s">
        <v>2661</v>
      </c>
      <c r="K3469" s="23" t="s">
        <v>2661</v>
      </c>
      <c r="L3469" s="23">
        <v>1</v>
      </c>
      <c r="M3469" s="23" t="s">
        <v>78</v>
      </c>
      <c r="N3469" s="23" t="s">
        <v>78</v>
      </c>
      <c r="O3469" s="23">
        <v>0.01</v>
      </c>
      <c r="P3469" s="23" t="s">
        <v>79</v>
      </c>
      <c r="Q3469" s="23" t="s">
        <v>83</v>
      </c>
      <c r="R3469" s="23">
        <v>11100176</v>
      </c>
      <c r="S3469" s="24" t="s">
        <v>80</v>
      </c>
      <c r="T3469" s="24">
        <v>46081</v>
      </c>
      <c r="U3469" s="24">
        <v>46090</v>
      </c>
      <c r="X3469" s="24">
        <v>46080</v>
      </c>
      <c r="Y3469" s="23">
        <v>1111</v>
      </c>
      <c r="Z3469" s="23">
        <v>11400811</v>
      </c>
      <c r="AA3469" s="23">
        <v>335103</v>
      </c>
      <c r="AB3469" s="24">
        <v>46080</v>
      </c>
    </row>
    <row r="3470" spans="2:28" x14ac:dyDescent="0.2">
      <c r="B3470" s="23" t="s">
        <v>81</v>
      </c>
      <c r="C3470" s="23">
        <v>1100578337</v>
      </c>
      <c r="H3470" s="24">
        <v>47848</v>
      </c>
      <c r="O3470" s="23">
        <v>0.01</v>
      </c>
      <c r="P3470" s="23" t="s">
        <v>79</v>
      </c>
    </row>
    <row r="3471" spans="2:28" x14ac:dyDescent="0.2">
      <c r="C3471" s="23">
        <v>1100578345</v>
      </c>
      <c r="E3471" s="23">
        <v>20</v>
      </c>
      <c r="F3471" s="23" t="s">
        <v>82</v>
      </c>
      <c r="G3471" s="23" t="s">
        <v>139</v>
      </c>
      <c r="H3471" s="24">
        <v>47848</v>
      </c>
      <c r="I3471" s="24">
        <v>47848</v>
      </c>
      <c r="J3471" s="23" t="s">
        <v>214</v>
      </c>
      <c r="K3471" s="23" t="s">
        <v>214</v>
      </c>
      <c r="L3471" s="23">
        <v>1</v>
      </c>
      <c r="M3471" s="23" t="s">
        <v>78</v>
      </c>
      <c r="N3471" s="23" t="s">
        <v>78</v>
      </c>
      <c r="O3471" s="23">
        <v>0.01</v>
      </c>
      <c r="P3471" s="23" t="s">
        <v>79</v>
      </c>
      <c r="Q3471" s="23" t="s">
        <v>83</v>
      </c>
      <c r="R3471" s="23">
        <v>11100176</v>
      </c>
      <c r="S3471" s="24" t="s">
        <v>80</v>
      </c>
      <c r="T3471" s="24">
        <v>46081</v>
      </c>
      <c r="U3471" s="24">
        <v>46090</v>
      </c>
      <c r="X3471" s="24">
        <v>46079</v>
      </c>
      <c r="Y3471" s="23">
        <v>1111</v>
      </c>
      <c r="Z3471" s="23">
        <v>11400797</v>
      </c>
      <c r="AA3471" s="23">
        <v>335103</v>
      </c>
      <c r="AB3471" s="24">
        <v>46080</v>
      </c>
    </row>
    <row r="3472" spans="2:28" x14ac:dyDescent="0.2">
      <c r="B3472" s="23" t="s">
        <v>81</v>
      </c>
      <c r="C3472" s="23">
        <v>1100578345</v>
      </c>
      <c r="H3472" s="24">
        <v>47848</v>
      </c>
      <c r="O3472" s="23">
        <v>0.01</v>
      </c>
      <c r="P3472" s="23" t="s">
        <v>79</v>
      </c>
    </row>
    <row r="3473" spans="2:28" x14ac:dyDescent="0.2">
      <c r="C3473" s="23">
        <v>1100578370</v>
      </c>
      <c r="E3473" s="23">
        <v>20</v>
      </c>
      <c r="F3473" s="23" t="s">
        <v>82</v>
      </c>
      <c r="G3473" s="23" t="s">
        <v>139</v>
      </c>
      <c r="H3473" s="24">
        <v>47848</v>
      </c>
      <c r="I3473" s="24">
        <v>47848</v>
      </c>
      <c r="J3473" s="23" t="s">
        <v>4220</v>
      </c>
      <c r="K3473" s="23" t="s">
        <v>4220</v>
      </c>
      <c r="L3473" s="23">
        <v>1</v>
      </c>
      <c r="M3473" s="23" t="s">
        <v>78</v>
      </c>
      <c r="N3473" s="23" t="s">
        <v>78</v>
      </c>
      <c r="O3473" s="23">
        <v>0.01</v>
      </c>
      <c r="P3473" s="23" t="s">
        <v>79</v>
      </c>
      <c r="Q3473" s="23" t="s">
        <v>83</v>
      </c>
      <c r="R3473" s="23">
        <v>11100176</v>
      </c>
      <c r="S3473" s="24" t="s">
        <v>80</v>
      </c>
      <c r="T3473" s="24">
        <v>46081</v>
      </c>
      <c r="U3473" s="24">
        <v>46090</v>
      </c>
      <c r="X3473" s="24">
        <v>46079</v>
      </c>
      <c r="Y3473" s="23">
        <v>1111</v>
      </c>
      <c r="Z3473" s="23">
        <v>11400937</v>
      </c>
      <c r="AA3473" s="23">
        <v>335103</v>
      </c>
      <c r="AB3473" s="24">
        <v>46080</v>
      </c>
    </row>
    <row r="3474" spans="2:28" x14ac:dyDescent="0.2">
      <c r="B3474" s="23" t="s">
        <v>81</v>
      </c>
      <c r="C3474" s="23">
        <v>1100578370</v>
      </c>
      <c r="H3474" s="24">
        <v>47848</v>
      </c>
      <c r="O3474" s="23">
        <v>0.01</v>
      </c>
      <c r="P3474" s="23" t="s">
        <v>79</v>
      </c>
    </row>
    <row r="3475" spans="2:28" x14ac:dyDescent="0.2">
      <c r="C3475" s="23">
        <v>1100578397</v>
      </c>
      <c r="E3475" s="23">
        <v>20</v>
      </c>
      <c r="F3475" s="23" t="s">
        <v>82</v>
      </c>
      <c r="G3475" s="23" t="s">
        <v>139</v>
      </c>
      <c r="H3475" s="24">
        <v>47848</v>
      </c>
      <c r="I3475" s="24">
        <v>47848</v>
      </c>
      <c r="J3475" s="23" t="s">
        <v>565</v>
      </c>
      <c r="K3475" s="23" t="s">
        <v>565</v>
      </c>
      <c r="L3475" s="23">
        <v>1</v>
      </c>
      <c r="M3475" s="23" t="s">
        <v>78</v>
      </c>
      <c r="N3475" s="23" t="s">
        <v>78</v>
      </c>
      <c r="O3475" s="23">
        <v>0.01</v>
      </c>
      <c r="P3475" s="23" t="s">
        <v>79</v>
      </c>
      <c r="Q3475" s="23" t="s">
        <v>83</v>
      </c>
      <c r="R3475" s="23">
        <v>11100176</v>
      </c>
      <c r="S3475" s="24" t="s">
        <v>80</v>
      </c>
      <c r="T3475" s="24">
        <v>46081</v>
      </c>
      <c r="U3475" s="24">
        <v>46091</v>
      </c>
      <c r="X3475" s="24">
        <v>46080</v>
      </c>
      <c r="Y3475" s="23">
        <v>1111</v>
      </c>
      <c r="Z3475" s="23">
        <v>11400937</v>
      </c>
      <c r="AA3475" s="23">
        <v>335103</v>
      </c>
      <c r="AB3475" s="24">
        <v>46080</v>
      </c>
    </row>
    <row r="3476" spans="2:28" x14ac:dyDescent="0.2">
      <c r="B3476" s="23" t="s">
        <v>81</v>
      </c>
      <c r="C3476" s="23">
        <v>1100578397</v>
      </c>
      <c r="H3476" s="24">
        <v>47848</v>
      </c>
      <c r="O3476" s="23">
        <v>0.01</v>
      </c>
      <c r="P3476" s="23" t="s">
        <v>79</v>
      </c>
    </row>
    <row r="3477" spans="2:28" x14ac:dyDescent="0.2">
      <c r="C3477" s="23">
        <v>1100578399</v>
      </c>
      <c r="E3477" s="23">
        <v>20</v>
      </c>
      <c r="F3477" s="23" t="s">
        <v>82</v>
      </c>
      <c r="G3477" s="23" t="s">
        <v>139</v>
      </c>
      <c r="H3477" s="24">
        <v>47848</v>
      </c>
      <c r="I3477" s="24">
        <v>47848</v>
      </c>
      <c r="J3477" s="23" t="s">
        <v>2694</v>
      </c>
      <c r="K3477" s="23" t="s">
        <v>2694</v>
      </c>
      <c r="L3477" s="23">
        <v>1</v>
      </c>
      <c r="M3477" s="23" t="s">
        <v>78</v>
      </c>
      <c r="N3477" s="23" t="s">
        <v>78</v>
      </c>
      <c r="O3477" s="23">
        <v>0.01</v>
      </c>
      <c r="P3477" s="23" t="s">
        <v>79</v>
      </c>
      <c r="Q3477" s="23" t="s">
        <v>83</v>
      </c>
      <c r="R3477" s="23">
        <v>11100176</v>
      </c>
      <c r="S3477" s="24" t="s">
        <v>80</v>
      </c>
      <c r="T3477" s="24">
        <v>46081</v>
      </c>
      <c r="U3477" s="24">
        <v>46090</v>
      </c>
      <c r="X3477" s="24">
        <v>46080</v>
      </c>
      <c r="Y3477" s="23">
        <v>1111</v>
      </c>
      <c r="Z3477" s="23">
        <v>11400811</v>
      </c>
      <c r="AA3477" s="23">
        <v>335103</v>
      </c>
      <c r="AB3477" s="24">
        <v>46077</v>
      </c>
    </row>
    <row r="3478" spans="2:28" x14ac:dyDescent="0.2">
      <c r="B3478" s="23" t="s">
        <v>81</v>
      </c>
      <c r="C3478" s="23">
        <v>1100578399</v>
      </c>
      <c r="H3478" s="24">
        <v>47848</v>
      </c>
      <c r="O3478" s="23">
        <v>0.01</v>
      </c>
      <c r="P3478" s="23" t="s">
        <v>79</v>
      </c>
    </row>
    <row r="3479" spans="2:28" x14ac:dyDescent="0.2">
      <c r="C3479" s="23">
        <v>1100578413</v>
      </c>
      <c r="E3479" s="23">
        <v>20</v>
      </c>
      <c r="F3479" s="23" t="s">
        <v>82</v>
      </c>
      <c r="G3479" s="23" t="s">
        <v>139</v>
      </c>
      <c r="H3479" s="24">
        <v>47848</v>
      </c>
      <c r="I3479" s="24">
        <v>47848</v>
      </c>
      <c r="J3479" s="23" t="s">
        <v>1254</v>
      </c>
      <c r="K3479" s="23" t="s">
        <v>1254</v>
      </c>
      <c r="L3479" s="23">
        <v>1</v>
      </c>
      <c r="M3479" s="23" t="s">
        <v>78</v>
      </c>
      <c r="N3479" s="23" t="s">
        <v>78</v>
      </c>
      <c r="O3479" s="23">
        <v>0.01</v>
      </c>
      <c r="P3479" s="23" t="s">
        <v>79</v>
      </c>
      <c r="Q3479" s="23" t="s">
        <v>83</v>
      </c>
      <c r="R3479" s="23">
        <v>11100176</v>
      </c>
      <c r="S3479" s="24" t="s">
        <v>80</v>
      </c>
      <c r="T3479" s="24">
        <v>46081</v>
      </c>
      <c r="U3479" s="24">
        <v>46090</v>
      </c>
      <c r="X3479" s="24">
        <v>46074</v>
      </c>
      <c r="Y3479" s="23">
        <v>1111</v>
      </c>
      <c r="Z3479" s="23">
        <v>11400937</v>
      </c>
      <c r="AA3479" s="23">
        <v>335103</v>
      </c>
      <c r="AB3479" s="24">
        <v>46080</v>
      </c>
    </row>
    <row r="3480" spans="2:28" x14ac:dyDescent="0.2">
      <c r="B3480" s="23" t="s">
        <v>81</v>
      </c>
      <c r="C3480" s="23">
        <v>1100578413</v>
      </c>
      <c r="H3480" s="24">
        <v>47848</v>
      </c>
      <c r="O3480" s="23">
        <v>0.01</v>
      </c>
      <c r="P3480" s="23" t="s">
        <v>79</v>
      </c>
    </row>
    <row r="3481" spans="2:28" x14ac:dyDescent="0.2">
      <c r="C3481" s="23">
        <v>1100578417</v>
      </c>
      <c r="E3481" s="23">
        <v>20</v>
      </c>
      <c r="F3481" s="23" t="s">
        <v>82</v>
      </c>
      <c r="G3481" s="23" t="s">
        <v>139</v>
      </c>
      <c r="H3481" s="24">
        <v>47848</v>
      </c>
      <c r="I3481" s="24">
        <v>47848</v>
      </c>
      <c r="J3481" s="23" t="s">
        <v>91</v>
      </c>
      <c r="K3481" s="23" t="s">
        <v>91</v>
      </c>
      <c r="L3481" s="23">
        <v>1</v>
      </c>
      <c r="M3481" s="23" t="s">
        <v>78</v>
      </c>
      <c r="N3481" s="23" t="s">
        <v>78</v>
      </c>
      <c r="O3481" s="23">
        <v>0.01</v>
      </c>
      <c r="P3481" s="23" t="s">
        <v>79</v>
      </c>
      <c r="Q3481" s="23" t="s">
        <v>83</v>
      </c>
      <c r="R3481" s="23">
        <v>11100176</v>
      </c>
      <c r="S3481" s="24" t="s">
        <v>80</v>
      </c>
      <c r="T3481" s="24">
        <v>46081</v>
      </c>
      <c r="U3481" s="24">
        <v>46090</v>
      </c>
      <c r="X3481" s="24">
        <v>46080</v>
      </c>
      <c r="Y3481" s="23">
        <v>1111</v>
      </c>
      <c r="Z3481" s="23">
        <v>11400811</v>
      </c>
      <c r="AA3481" s="23">
        <v>525103</v>
      </c>
      <c r="AB3481" s="24">
        <v>46080</v>
      </c>
    </row>
    <row r="3482" spans="2:28" x14ac:dyDescent="0.2">
      <c r="B3482" s="23" t="s">
        <v>81</v>
      </c>
      <c r="C3482" s="23">
        <v>1100578417</v>
      </c>
      <c r="H3482" s="24">
        <v>47848</v>
      </c>
      <c r="O3482" s="23">
        <v>0.01</v>
      </c>
      <c r="P3482" s="23" t="s">
        <v>79</v>
      </c>
    </row>
    <row r="3483" spans="2:28" x14ac:dyDescent="0.2">
      <c r="C3483" s="23">
        <v>1100578419</v>
      </c>
      <c r="E3483" s="23">
        <v>30</v>
      </c>
      <c r="F3483" s="23" t="s">
        <v>82</v>
      </c>
      <c r="G3483" s="23" t="s">
        <v>139</v>
      </c>
      <c r="H3483" s="24">
        <v>47848</v>
      </c>
      <c r="I3483" s="24">
        <v>47848</v>
      </c>
      <c r="J3483" s="23" t="s">
        <v>258</v>
      </c>
      <c r="K3483" s="23" t="s">
        <v>258</v>
      </c>
      <c r="L3483" s="23">
        <v>1</v>
      </c>
      <c r="M3483" s="23" t="s">
        <v>78</v>
      </c>
      <c r="N3483" s="23" t="s">
        <v>78</v>
      </c>
      <c r="O3483" s="23">
        <v>0.01</v>
      </c>
      <c r="P3483" s="23" t="s">
        <v>79</v>
      </c>
      <c r="Q3483" s="23" t="s">
        <v>83</v>
      </c>
      <c r="R3483" s="23">
        <v>11100176</v>
      </c>
      <c r="S3483" s="24" t="s">
        <v>80</v>
      </c>
      <c r="T3483" s="24">
        <v>46081</v>
      </c>
      <c r="U3483" s="24">
        <v>46090</v>
      </c>
      <c r="X3483" s="24">
        <v>46080</v>
      </c>
      <c r="Y3483" s="23">
        <v>1111</v>
      </c>
      <c r="Z3483" s="23">
        <v>11400811</v>
      </c>
      <c r="AA3483" s="23">
        <v>3351</v>
      </c>
      <c r="AB3483" s="24">
        <v>46078</v>
      </c>
    </row>
    <row r="3484" spans="2:28" x14ac:dyDescent="0.2">
      <c r="B3484" s="23" t="s">
        <v>81</v>
      </c>
      <c r="C3484" s="23">
        <v>1100578419</v>
      </c>
      <c r="H3484" s="24">
        <v>47848</v>
      </c>
      <c r="O3484" s="23">
        <v>0.01</v>
      </c>
      <c r="P3484" s="23" t="s">
        <v>79</v>
      </c>
    </row>
    <row r="3485" spans="2:28" x14ac:dyDescent="0.2">
      <c r="C3485" s="23">
        <v>1100578458</v>
      </c>
      <c r="E3485" s="23">
        <v>20</v>
      </c>
      <c r="F3485" s="23" t="s">
        <v>82</v>
      </c>
      <c r="G3485" s="23" t="s">
        <v>139</v>
      </c>
      <c r="H3485" s="24">
        <v>47848</v>
      </c>
      <c r="I3485" s="24">
        <v>47848</v>
      </c>
      <c r="J3485" s="23" t="s">
        <v>138</v>
      </c>
      <c r="K3485" s="23" t="s">
        <v>138</v>
      </c>
      <c r="L3485" s="23">
        <v>1</v>
      </c>
      <c r="M3485" s="23" t="s">
        <v>78</v>
      </c>
      <c r="N3485" s="23" t="s">
        <v>78</v>
      </c>
      <c r="O3485" s="23">
        <v>0.01</v>
      </c>
      <c r="P3485" s="23" t="s">
        <v>79</v>
      </c>
      <c r="Q3485" s="23" t="s">
        <v>83</v>
      </c>
      <c r="R3485" s="23">
        <v>11100176</v>
      </c>
      <c r="S3485" s="24" t="s">
        <v>80</v>
      </c>
      <c r="T3485" s="24">
        <v>46083</v>
      </c>
      <c r="U3485" s="24">
        <v>46093</v>
      </c>
      <c r="X3485" s="24">
        <v>46065</v>
      </c>
      <c r="Y3485" s="23">
        <v>1111</v>
      </c>
      <c r="Z3485" s="23">
        <v>11400937</v>
      </c>
      <c r="AA3485" s="23">
        <v>3951</v>
      </c>
      <c r="AB3485" s="24">
        <v>46065</v>
      </c>
    </row>
    <row r="3486" spans="2:28" x14ac:dyDescent="0.2">
      <c r="B3486" s="23" t="s">
        <v>81</v>
      </c>
      <c r="C3486" s="23">
        <v>1100578458</v>
      </c>
      <c r="H3486" s="24">
        <v>47848</v>
      </c>
      <c r="O3486" s="23">
        <v>0.01</v>
      </c>
      <c r="P3486" s="23" t="s">
        <v>79</v>
      </c>
    </row>
    <row r="3487" spans="2:28" x14ac:dyDescent="0.2">
      <c r="C3487" s="23">
        <v>1100578464</v>
      </c>
      <c r="E3487" s="23">
        <v>20</v>
      </c>
      <c r="F3487" s="23" t="s">
        <v>82</v>
      </c>
      <c r="G3487" s="23" t="s">
        <v>4221</v>
      </c>
      <c r="H3487" s="24">
        <v>47848</v>
      </c>
      <c r="I3487" s="24">
        <v>47848</v>
      </c>
      <c r="J3487" s="23" t="s">
        <v>3093</v>
      </c>
      <c r="K3487" s="23" t="s">
        <v>3093</v>
      </c>
      <c r="L3487" s="23">
        <v>1</v>
      </c>
      <c r="M3487" s="23" t="s">
        <v>78</v>
      </c>
      <c r="N3487" s="23" t="s">
        <v>78</v>
      </c>
      <c r="O3487" s="23">
        <v>10.88</v>
      </c>
      <c r="P3487" s="23" t="s">
        <v>79</v>
      </c>
      <c r="Q3487" s="23" t="s">
        <v>83</v>
      </c>
      <c r="R3487" s="23">
        <v>11100176</v>
      </c>
      <c r="S3487" s="24">
        <v>46087</v>
      </c>
      <c r="T3487" s="24">
        <v>46083</v>
      </c>
      <c r="U3487" s="24">
        <v>46090</v>
      </c>
      <c r="X3487" s="24">
        <v>46080</v>
      </c>
      <c r="Y3487" s="23">
        <v>1111</v>
      </c>
      <c r="Z3487" s="23">
        <v>11600003</v>
      </c>
      <c r="AA3487" s="23">
        <v>3951</v>
      </c>
      <c r="AB3487" s="24">
        <v>46078</v>
      </c>
    </row>
    <row r="3488" spans="2:28" x14ac:dyDescent="0.2">
      <c r="B3488" s="23" t="s">
        <v>81</v>
      </c>
      <c r="C3488" s="23">
        <v>1100578464</v>
      </c>
      <c r="H3488" s="24">
        <v>47848</v>
      </c>
      <c r="O3488" s="23">
        <v>10.88</v>
      </c>
      <c r="P3488" s="23" t="s">
        <v>79</v>
      </c>
    </row>
    <row r="3489" spans="2:28" x14ac:dyDescent="0.2">
      <c r="C3489" s="23">
        <v>1100578475</v>
      </c>
      <c r="E3489" s="23">
        <v>20</v>
      </c>
      <c r="F3489" s="23" t="s">
        <v>82</v>
      </c>
      <c r="G3489" s="23" t="s">
        <v>139</v>
      </c>
      <c r="H3489" s="24">
        <v>47848</v>
      </c>
      <c r="I3489" s="24">
        <v>47848</v>
      </c>
      <c r="J3489" s="23" t="s">
        <v>1898</v>
      </c>
      <c r="K3489" s="23" t="s">
        <v>1898</v>
      </c>
      <c r="L3489" s="23">
        <v>1</v>
      </c>
      <c r="M3489" s="23" t="s">
        <v>78</v>
      </c>
      <c r="N3489" s="23" t="s">
        <v>78</v>
      </c>
      <c r="O3489" s="23">
        <v>0.01</v>
      </c>
      <c r="P3489" s="23" t="s">
        <v>79</v>
      </c>
      <c r="Q3489" s="23" t="s">
        <v>83</v>
      </c>
      <c r="R3489" s="23">
        <v>11100176</v>
      </c>
      <c r="S3489" s="24" t="s">
        <v>80</v>
      </c>
      <c r="T3489" s="24">
        <v>46083</v>
      </c>
      <c r="U3489" s="24">
        <v>46091</v>
      </c>
      <c r="X3489" s="24">
        <v>46079</v>
      </c>
      <c r="Y3489" s="23">
        <v>1111</v>
      </c>
      <c r="Z3489" s="23">
        <v>11400704</v>
      </c>
      <c r="AA3489" s="23">
        <v>335103</v>
      </c>
      <c r="AB3489" s="24">
        <v>46083</v>
      </c>
    </row>
    <row r="3490" spans="2:28" x14ac:dyDescent="0.2">
      <c r="B3490" s="23" t="s">
        <v>81</v>
      </c>
      <c r="C3490" s="23">
        <v>1100578475</v>
      </c>
      <c r="H3490" s="24">
        <v>47848</v>
      </c>
      <c r="O3490" s="23">
        <v>0.01</v>
      </c>
      <c r="P3490" s="23" t="s">
        <v>79</v>
      </c>
    </row>
    <row r="3491" spans="2:28" x14ac:dyDescent="0.2">
      <c r="C3491" s="23">
        <v>1100578498</v>
      </c>
      <c r="E3491" s="23">
        <v>30</v>
      </c>
      <c r="F3491" s="23" t="s">
        <v>82</v>
      </c>
      <c r="G3491" s="23" t="s">
        <v>139</v>
      </c>
      <c r="H3491" s="24">
        <v>47848</v>
      </c>
      <c r="I3491" s="24">
        <v>47848</v>
      </c>
      <c r="J3491" s="23" t="s">
        <v>1062</v>
      </c>
      <c r="K3491" s="23" t="s">
        <v>1062</v>
      </c>
      <c r="L3491" s="23">
        <v>1</v>
      </c>
      <c r="M3491" s="23" t="s">
        <v>78</v>
      </c>
      <c r="N3491" s="23" t="s">
        <v>78</v>
      </c>
      <c r="O3491" s="23">
        <v>0.01</v>
      </c>
      <c r="P3491" s="23" t="s">
        <v>79</v>
      </c>
      <c r="Q3491" s="23" t="s">
        <v>83</v>
      </c>
      <c r="R3491" s="23">
        <v>11100176</v>
      </c>
      <c r="S3491" s="24">
        <v>46090</v>
      </c>
      <c r="T3491" s="24">
        <v>46084</v>
      </c>
      <c r="U3491" s="24">
        <v>46091</v>
      </c>
      <c r="X3491" s="24">
        <v>46073</v>
      </c>
      <c r="Y3491" s="23">
        <v>1111</v>
      </c>
      <c r="Z3491" s="23">
        <v>11600003</v>
      </c>
      <c r="AA3491" s="23">
        <v>335103</v>
      </c>
      <c r="AB3491" s="24">
        <v>46083</v>
      </c>
    </row>
    <row r="3492" spans="2:28" x14ac:dyDescent="0.2">
      <c r="B3492" s="23" t="s">
        <v>81</v>
      </c>
      <c r="C3492" s="23">
        <v>1100578498</v>
      </c>
      <c r="H3492" s="24">
        <v>47848</v>
      </c>
      <c r="O3492" s="23">
        <v>0.01</v>
      </c>
      <c r="P3492" s="23" t="s">
        <v>79</v>
      </c>
    </row>
    <row r="3493" spans="2:28" x14ac:dyDescent="0.2">
      <c r="C3493" s="23">
        <v>1100578501</v>
      </c>
      <c r="E3493" s="23">
        <v>20</v>
      </c>
      <c r="F3493" s="23" t="s">
        <v>82</v>
      </c>
      <c r="G3493" s="23" t="s">
        <v>139</v>
      </c>
      <c r="H3493" s="24">
        <v>47848</v>
      </c>
      <c r="I3493" s="24">
        <v>47848</v>
      </c>
      <c r="J3493" s="23" t="s">
        <v>938</v>
      </c>
      <c r="K3493" s="23" t="s">
        <v>938</v>
      </c>
      <c r="L3493" s="23">
        <v>1</v>
      </c>
      <c r="M3493" s="23" t="s">
        <v>78</v>
      </c>
      <c r="N3493" s="23" t="s">
        <v>78</v>
      </c>
      <c r="O3493" s="23">
        <v>0.01</v>
      </c>
      <c r="P3493" s="23" t="s">
        <v>79</v>
      </c>
      <c r="Q3493" s="23" t="s">
        <v>83</v>
      </c>
      <c r="R3493" s="23">
        <v>11100176</v>
      </c>
      <c r="S3493" s="24" t="s">
        <v>80</v>
      </c>
      <c r="T3493" s="24">
        <v>46084</v>
      </c>
      <c r="U3493" s="24">
        <v>46091</v>
      </c>
      <c r="X3493" s="24">
        <v>46080</v>
      </c>
      <c r="Y3493" s="23">
        <v>1111</v>
      </c>
      <c r="Z3493" s="23">
        <v>11400937</v>
      </c>
      <c r="AA3493" s="23">
        <v>505103</v>
      </c>
      <c r="AB3493" s="24">
        <v>46083</v>
      </c>
    </row>
    <row r="3494" spans="2:28" x14ac:dyDescent="0.2">
      <c r="B3494" s="23" t="s">
        <v>81</v>
      </c>
      <c r="C3494" s="23">
        <v>1100578501</v>
      </c>
      <c r="H3494" s="24">
        <v>47848</v>
      </c>
      <c r="O3494" s="23">
        <v>0.01</v>
      </c>
      <c r="P3494" s="23" t="s">
        <v>79</v>
      </c>
    </row>
    <row r="3495" spans="2:28" x14ac:dyDescent="0.2">
      <c r="C3495" s="23">
        <v>1100578514</v>
      </c>
      <c r="E3495" s="23">
        <v>20</v>
      </c>
      <c r="F3495" s="23" t="s">
        <v>82</v>
      </c>
      <c r="G3495" s="23" t="s">
        <v>139</v>
      </c>
      <c r="H3495" s="24">
        <v>47848</v>
      </c>
      <c r="I3495" s="24">
        <v>47848</v>
      </c>
      <c r="J3495" s="23" t="s">
        <v>686</v>
      </c>
      <c r="K3495" s="23" t="s">
        <v>686</v>
      </c>
      <c r="L3495" s="23">
        <v>1</v>
      </c>
      <c r="M3495" s="23" t="s">
        <v>78</v>
      </c>
      <c r="N3495" s="23" t="s">
        <v>78</v>
      </c>
      <c r="O3495" s="23">
        <v>0.01</v>
      </c>
      <c r="P3495" s="23" t="s">
        <v>79</v>
      </c>
      <c r="Q3495" s="23" t="s">
        <v>83</v>
      </c>
      <c r="R3495" s="23">
        <v>11100176</v>
      </c>
      <c r="S3495" s="24" t="s">
        <v>80</v>
      </c>
      <c r="T3495" s="24">
        <v>46084</v>
      </c>
      <c r="U3495" s="24">
        <v>46091</v>
      </c>
      <c r="X3495" s="24">
        <v>46084</v>
      </c>
      <c r="Y3495" s="23">
        <v>1111</v>
      </c>
      <c r="Z3495" s="23">
        <v>11400789</v>
      </c>
      <c r="AA3495" s="23">
        <v>335103</v>
      </c>
      <c r="AB3495" s="24">
        <v>46073</v>
      </c>
    </row>
    <row r="3496" spans="2:28" x14ac:dyDescent="0.2">
      <c r="B3496" s="23" t="s">
        <v>81</v>
      </c>
      <c r="C3496" s="23">
        <v>1100578514</v>
      </c>
      <c r="H3496" s="24">
        <v>47848</v>
      </c>
      <c r="O3496" s="23">
        <v>0.01</v>
      </c>
      <c r="P3496" s="23" t="s">
        <v>79</v>
      </c>
    </row>
    <row r="3497" spans="2:28" x14ac:dyDescent="0.2">
      <c r="C3497" s="23">
        <v>1100578542</v>
      </c>
      <c r="E3497" s="23">
        <v>20</v>
      </c>
      <c r="F3497" s="23" t="s">
        <v>82</v>
      </c>
      <c r="G3497" s="23" t="s">
        <v>139</v>
      </c>
      <c r="H3497" s="24">
        <v>47848</v>
      </c>
      <c r="I3497" s="24">
        <v>47848</v>
      </c>
      <c r="J3497" s="23" t="s">
        <v>4222</v>
      </c>
      <c r="K3497" s="23" t="s">
        <v>4222</v>
      </c>
      <c r="L3497" s="23">
        <v>1</v>
      </c>
      <c r="M3497" s="23" t="s">
        <v>78</v>
      </c>
      <c r="N3497" s="23" t="s">
        <v>78</v>
      </c>
      <c r="O3497" s="23">
        <v>0.01</v>
      </c>
      <c r="P3497" s="23" t="s">
        <v>79</v>
      </c>
      <c r="Q3497" s="23" t="s">
        <v>83</v>
      </c>
      <c r="R3497" s="23">
        <v>11100176</v>
      </c>
      <c r="S3497" s="24">
        <v>46090</v>
      </c>
      <c r="T3497" s="24">
        <v>46084</v>
      </c>
      <c r="U3497" s="24">
        <v>46091</v>
      </c>
      <c r="X3497" s="24">
        <v>46077</v>
      </c>
      <c r="Y3497" s="23">
        <v>1111</v>
      </c>
      <c r="Z3497" s="23">
        <v>11600003</v>
      </c>
      <c r="AA3497" s="23">
        <v>335103</v>
      </c>
      <c r="AB3497" s="24">
        <v>46080</v>
      </c>
    </row>
    <row r="3498" spans="2:28" x14ac:dyDescent="0.2">
      <c r="B3498" s="23" t="s">
        <v>81</v>
      </c>
      <c r="C3498" s="23">
        <v>1100578542</v>
      </c>
      <c r="H3498" s="24">
        <v>47848</v>
      </c>
      <c r="O3498" s="23">
        <v>0.01</v>
      </c>
      <c r="P3498" s="23" t="s">
        <v>79</v>
      </c>
    </row>
    <row r="3499" spans="2:28" x14ac:dyDescent="0.2">
      <c r="C3499" s="23">
        <v>1100578552</v>
      </c>
      <c r="E3499" s="23">
        <v>20</v>
      </c>
      <c r="F3499" s="23" t="s">
        <v>82</v>
      </c>
      <c r="G3499" s="23" t="s">
        <v>139</v>
      </c>
      <c r="H3499" s="24">
        <v>47848</v>
      </c>
      <c r="I3499" s="24">
        <v>47848</v>
      </c>
      <c r="J3499" s="23" t="s">
        <v>1777</v>
      </c>
      <c r="K3499" s="23" t="s">
        <v>1777</v>
      </c>
      <c r="L3499" s="23">
        <v>1</v>
      </c>
      <c r="M3499" s="23" t="s">
        <v>78</v>
      </c>
      <c r="N3499" s="23" t="s">
        <v>78</v>
      </c>
      <c r="O3499" s="23">
        <v>0.01</v>
      </c>
      <c r="P3499" s="23" t="s">
        <v>79</v>
      </c>
      <c r="Q3499" s="23" t="s">
        <v>83</v>
      </c>
      <c r="R3499" s="23">
        <v>11100176</v>
      </c>
      <c r="S3499" s="24" t="s">
        <v>80</v>
      </c>
      <c r="T3499" s="24">
        <v>46084</v>
      </c>
      <c r="U3499" s="24">
        <v>46091</v>
      </c>
      <c r="X3499" s="24">
        <v>46084</v>
      </c>
      <c r="Y3499" s="23">
        <v>1111</v>
      </c>
      <c r="Z3499" s="23">
        <v>11400789</v>
      </c>
      <c r="AA3499" s="23">
        <v>335103</v>
      </c>
      <c r="AB3499" s="24">
        <v>46083</v>
      </c>
    </row>
    <row r="3500" spans="2:28" x14ac:dyDescent="0.2">
      <c r="B3500" s="23" t="s">
        <v>81</v>
      </c>
      <c r="C3500" s="23">
        <v>1100578552</v>
      </c>
      <c r="H3500" s="24">
        <v>47848</v>
      </c>
      <c r="O3500" s="23">
        <v>0.01</v>
      </c>
      <c r="P3500" s="23" t="s">
        <v>79</v>
      </c>
    </row>
    <row r="3501" spans="2:28" x14ac:dyDescent="0.2">
      <c r="C3501" s="23">
        <v>1100578572</v>
      </c>
      <c r="E3501" s="23">
        <v>30</v>
      </c>
      <c r="F3501" s="23" t="s">
        <v>82</v>
      </c>
      <c r="G3501" s="23" t="s">
        <v>139</v>
      </c>
      <c r="H3501" s="24">
        <v>47848</v>
      </c>
      <c r="I3501" s="24">
        <v>47848</v>
      </c>
      <c r="J3501" s="23" t="s">
        <v>4223</v>
      </c>
      <c r="K3501" s="23" t="s">
        <v>4223</v>
      </c>
      <c r="L3501" s="23">
        <v>1</v>
      </c>
      <c r="M3501" s="23" t="s">
        <v>78</v>
      </c>
      <c r="N3501" s="23" t="s">
        <v>78</v>
      </c>
      <c r="O3501" s="23">
        <v>0.01</v>
      </c>
      <c r="P3501" s="23" t="s">
        <v>79</v>
      </c>
      <c r="Q3501" s="23" t="s">
        <v>83</v>
      </c>
      <c r="R3501" s="23">
        <v>11100176</v>
      </c>
      <c r="S3501" s="24" t="s">
        <v>80</v>
      </c>
      <c r="T3501" s="24">
        <v>46084</v>
      </c>
      <c r="U3501" s="24">
        <v>47116</v>
      </c>
      <c r="X3501" s="24">
        <v>46083</v>
      </c>
      <c r="Y3501" s="23">
        <v>1111</v>
      </c>
      <c r="Z3501" s="23">
        <v>11400704</v>
      </c>
      <c r="AA3501" s="23">
        <v>335103</v>
      </c>
      <c r="AB3501" s="24">
        <v>46084</v>
      </c>
    </row>
    <row r="3502" spans="2:28" x14ac:dyDescent="0.2">
      <c r="B3502" s="23" t="s">
        <v>81</v>
      </c>
      <c r="C3502" s="23">
        <v>1100578572</v>
      </c>
      <c r="H3502" s="24">
        <v>47848</v>
      </c>
      <c r="O3502" s="23">
        <v>0.01</v>
      </c>
      <c r="P3502" s="23" t="s">
        <v>79</v>
      </c>
    </row>
    <row r="3503" spans="2:28" x14ac:dyDescent="0.2">
      <c r="C3503" s="23">
        <v>1100578573</v>
      </c>
      <c r="E3503" s="23">
        <v>20</v>
      </c>
      <c r="F3503" s="23" t="s">
        <v>82</v>
      </c>
      <c r="G3503" s="23" t="s">
        <v>139</v>
      </c>
      <c r="H3503" s="24">
        <v>47848</v>
      </c>
      <c r="I3503" s="24">
        <v>47848</v>
      </c>
      <c r="J3503" s="23" t="s">
        <v>2746</v>
      </c>
      <c r="K3503" s="23" t="s">
        <v>2746</v>
      </c>
      <c r="L3503" s="23">
        <v>1</v>
      </c>
      <c r="M3503" s="23" t="s">
        <v>78</v>
      </c>
      <c r="N3503" s="23" t="s">
        <v>78</v>
      </c>
      <c r="O3503" s="23">
        <v>0.01</v>
      </c>
      <c r="P3503" s="23" t="s">
        <v>79</v>
      </c>
      <c r="Q3503" s="23" t="s">
        <v>83</v>
      </c>
      <c r="R3503" s="23">
        <v>11100176</v>
      </c>
      <c r="S3503" s="24" t="s">
        <v>80</v>
      </c>
      <c r="T3503" s="24">
        <v>46084</v>
      </c>
      <c r="U3503" s="24">
        <v>46092</v>
      </c>
      <c r="X3503" s="24">
        <v>46079</v>
      </c>
      <c r="Y3503" s="23">
        <v>1111</v>
      </c>
      <c r="Z3503" s="23">
        <v>11400704</v>
      </c>
      <c r="AA3503" s="23">
        <v>5051</v>
      </c>
      <c r="AB3503" s="24">
        <v>46078</v>
      </c>
    </row>
    <row r="3504" spans="2:28" x14ac:dyDescent="0.2">
      <c r="B3504" s="23" t="s">
        <v>81</v>
      </c>
      <c r="C3504" s="23">
        <v>1100578573</v>
      </c>
      <c r="H3504" s="24">
        <v>47848</v>
      </c>
      <c r="O3504" s="23">
        <v>0.01</v>
      </c>
      <c r="P3504" s="23" t="s">
        <v>79</v>
      </c>
    </row>
    <row r="3505" spans="2:28" x14ac:dyDescent="0.2">
      <c r="C3505" s="23">
        <v>1100578605</v>
      </c>
      <c r="E3505" s="23">
        <v>20</v>
      </c>
      <c r="F3505" s="23" t="s">
        <v>82</v>
      </c>
      <c r="G3505" s="23" t="s">
        <v>139</v>
      </c>
      <c r="H3505" s="24">
        <v>47848</v>
      </c>
      <c r="I3505" s="24">
        <v>47848</v>
      </c>
      <c r="J3505" s="23" t="s">
        <v>502</v>
      </c>
      <c r="K3505" s="23" t="s">
        <v>502</v>
      </c>
      <c r="L3505" s="23">
        <v>1</v>
      </c>
      <c r="M3505" s="23" t="s">
        <v>78</v>
      </c>
      <c r="N3505" s="23" t="s">
        <v>78</v>
      </c>
      <c r="O3505" s="23">
        <v>0.01</v>
      </c>
      <c r="P3505" s="23" t="s">
        <v>79</v>
      </c>
      <c r="Q3505" s="23" t="s">
        <v>83</v>
      </c>
      <c r="R3505" s="23">
        <v>11100176</v>
      </c>
      <c r="S3505" s="24" t="s">
        <v>80</v>
      </c>
      <c r="T3505" s="24">
        <v>46085</v>
      </c>
      <c r="U3505" s="24">
        <v>46092</v>
      </c>
      <c r="X3505" s="24">
        <v>46048</v>
      </c>
      <c r="Y3505" s="23">
        <v>1111</v>
      </c>
      <c r="Z3505" s="23">
        <v>11400937</v>
      </c>
      <c r="AA3505" s="23">
        <v>335103</v>
      </c>
      <c r="AB3505" s="24">
        <v>46083</v>
      </c>
    </row>
    <row r="3506" spans="2:28" x14ac:dyDescent="0.2">
      <c r="B3506" s="23" t="s">
        <v>81</v>
      </c>
      <c r="C3506" s="23">
        <v>1100578605</v>
      </c>
      <c r="H3506" s="24">
        <v>47848</v>
      </c>
      <c r="O3506" s="23">
        <v>0.01</v>
      </c>
      <c r="P3506" s="23" t="s">
        <v>79</v>
      </c>
    </row>
    <row r="3507" spans="2:28" x14ac:dyDescent="0.2">
      <c r="C3507" s="23">
        <v>1100578617</v>
      </c>
      <c r="E3507" s="23">
        <v>30</v>
      </c>
      <c r="F3507" s="23" t="s">
        <v>82</v>
      </c>
      <c r="G3507" s="23" t="s">
        <v>139</v>
      </c>
      <c r="H3507" s="24">
        <v>47848</v>
      </c>
      <c r="I3507" s="24">
        <v>47848</v>
      </c>
      <c r="J3507" s="23" t="s">
        <v>2671</v>
      </c>
      <c r="K3507" s="23" t="s">
        <v>2671</v>
      </c>
      <c r="L3507" s="23">
        <v>1</v>
      </c>
      <c r="M3507" s="23" t="s">
        <v>78</v>
      </c>
      <c r="N3507" s="23" t="s">
        <v>78</v>
      </c>
      <c r="O3507" s="23">
        <v>0.01</v>
      </c>
      <c r="P3507" s="23" t="s">
        <v>79</v>
      </c>
      <c r="Q3507" s="23" t="s">
        <v>83</v>
      </c>
      <c r="R3507" s="23">
        <v>11100176</v>
      </c>
      <c r="S3507" s="24" t="s">
        <v>80</v>
      </c>
      <c r="T3507" s="24">
        <v>46085</v>
      </c>
      <c r="U3507" s="24">
        <v>46092</v>
      </c>
      <c r="X3507" s="24">
        <v>46080</v>
      </c>
      <c r="Y3507" s="23">
        <v>1111</v>
      </c>
      <c r="Z3507" s="23">
        <v>11400704</v>
      </c>
      <c r="AA3507" s="23">
        <v>3351</v>
      </c>
      <c r="AB3507" s="24">
        <v>46080</v>
      </c>
    </row>
    <row r="3508" spans="2:28" x14ac:dyDescent="0.2">
      <c r="B3508" s="23" t="s">
        <v>81</v>
      </c>
      <c r="C3508" s="23">
        <v>1100578617</v>
      </c>
      <c r="H3508" s="24">
        <v>47848</v>
      </c>
      <c r="O3508" s="23">
        <v>0.01</v>
      </c>
      <c r="P3508" s="23" t="s">
        <v>79</v>
      </c>
    </row>
    <row r="3509" spans="2:28" x14ac:dyDescent="0.2">
      <c r="C3509" s="23">
        <v>1100578634</v>
      </c>
      <c r="E3509" s="23">
        <v>20</v>
      </c>
      <c r="F3509" s="23" t="s">
        <v>82</v>
      </c>
      <c r="G3509" s="23" t="s">
        <v>139</v>
      </c>
      <c r="H3509" s="24">
        <v>47848</v>
      </c>
      <c r="I3509" s="24">
        <v>47848</v>
      </c>
      <c r="J3509" s="23" t="s">
        <v>2303</v>
      </c>
      <c r="K3509" s="23" t="s">
        <v>2303</v>
      </c>
      <c r="L3509" s="23">
        <v>1</v>
      </c>
      <c r="M3509" s="23" t="s">
        <v>78</v>
      </c>
      <c r="N3509" s="23" t="s">
        <v>78</v>
      </c>
      <c r="O3509" s="23">
        <v>0.01</v>
      </c>
      <c r="P3509" s="23" t="s">
        <v>79</v>
      </c>
      <c r="Q3509" s="23" t="s">
        <v>83</v>
      </c>
      <c r="R3509" s="23">
        <v>11100176</v>
      </c>
      <c r="S3509" s="24" t="s">
        <v>80</v>
      </c>
      <c r="T3509" s="24">
        <v>46085</v>
      </c>
      <c r="U3509" s="24">
        <v>46092</v>
      </c>
      <c r="X3509" s="24">
        <v>46085</v>
      </c>
      <c r="Y3509" s="23">
        <v>1111</v>
      </c>
      <c r="Z3509" s="23">
        <v>11600007</v>
      </c>
      <c r="AA3509" s="23">
        <v>5251</v>
      </c>
      <c r="AB3509" s="24">
        <v>46084</v>
      </c>
    </row>
    <row r="3510" spans="2:28" x14ac:dyDescent="0.2">
      <c r="B3510" s="23" t="s">
        <v>81</v>
      </c>
      <c r="C3510" s="23">
        <v>1100578634</v>
      </c>
      <c r="H3510" s="24">
        <v>47848</v>
      </c>
      <c r="O3510" s="23">
        <v>0.01</v>
      </c>
      <c r="P3510" s="23" t="s">
        <v>79</v>
      </c>
    </row>
    <row r="3512" spans="2:28" x14ac:dyDescent="0.2">
      <c r="B3512" s="23" t="s">
        <v>93</v>
      </c>
      <c r="O3512" s="23">
        <v>18441.21</v>
      </c>
      <c r="P3512" s="23" t="s">
        <v>3850</v>
      </c>
    </row>
    <row r="3513" spans="2:28" x14ac:dyDescent="0.2">
      <c r="O3513" s="23">
        <v>5416443.0999999996</v>
      </c>
      <c r="P3513" s="23" t="s">
        <v>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CheckWS"/>
  <dimension ref="A1:AI268"/>
  <sheetViews>
    <sheetView topLeftCell="A2" workbookViewId="0">
      <selection activeCell="B49" sqref="B49"/>
    </sheetView>
  </sheetViews>
  <sheetFormatPr defaultColWidth="9.28515625" defaultRowHeight="12.75" x14ac:dyDescent="0.2"/>
  <cols>
    <col min="1" max="1" width="13.7109375" style="34" customWidth="1"/>
    <col min="2" max="2" width="98.7109375" style="34" bestFit="1" customWidth="1"/>
    <col min="3" max="10" width="9.28515625" style="34"/>
    <col min="11" max="11" width="11.140625" style="34" customWidth="1"/>
    <col min="12" max="12" width="9.28515625" style="34"/>
    <col min="13" max="13" width="13.140625" style="34" customWidth="1"/>
    <col min="14" max="14" width="26.28515625" style="34" customWidth="1"/>
    <col min="15" max="15" width="10.7109375" style="34" customWidth="1"/>
    <col min="16" max="16" width="11.5703125" style="34" customWidth="1"/>
    <col min="17" max="17" width="12.28515625" style="34" customWidth="1"/>
    <col min="18" max="19" width="9.28515625" style="34"/>
    <col min="20" max="20" width="11.5703125" style="34" customWidth="1"/>
    <col min="21" max="21" width="13" style="34" customWidth="1"/>
    <col min="22" max="23" width="9.28515625" style="34"/>
    <col min="24" max="24" width="10.28515625" style="34" customWidth="1"/>
    <col min="25" max="26" width="11.140625" style="34" customWidth="1"/>
    <col min="27" max="27" width="73.28515625" style="34" customWidth="1"/>
    <col min="28" max="16384" width="9.28515625" style="34"/>
  </cols>
  <sheetData>
    <row r="1" spans="1:35" x14ac:dyDescent="0.2">
      <c r="K1" s="35">
        <v>43465</v>
      </c>
    </row>
    <row r="2" spans="1:35" x14ac:dyDescent="0.2">
      <c r="K2" s="35">
        <v>44561</v>
      </c>
    </row>
    <row r="3" spans="1:35" x14ac:dyDescent="0.2">
      <c r="A3" s="35">
        <v>44245</v>
      </c>
      <c r="B3" s="34" t="s">
        <v>4350</v>
      </c>
      <c r="E3" s="34">
        <f t="shared" ref="E3:E56" si="0">MONTH(A3)</f>
        <v>2</v>
      </c>
      <c r="F3" s="34">
        <f t="shared" ref="F3:F56" si="1">DAY(A3)</f>
        <v>18</v>
      </c>
      <c r="O3" s="35"/>
      <c r="P3" s="35"/>
      <c r="Q3" s="35"/>
      <c r="T3" s="35"/>
      <c r="U3" s="35"/>
      <c r="X3" s="35"/>
      <c r="Y3" s="35"/>
      <c r="Z3" s="35"/>
    </row>
    <row r="4" spans="1:35" x14ac:dyDescent="0.2">
      <c r="A4" s="35">
        <v>44250</v>
      </c>
      <c r="B4" s="34" t="s">
        <v>4351</v>
      </c>
      <c r="E4" s="34">
        <f t="shared" si="0"/>
        <v>2</v>
      </c>
      <c r="F4" s="34">
        <f t="shared" si="1"/>
        <v>23</v>
      </c>
      <c r="O4" s="35"/>
      <c r="P4" s="35"/>
      <c r="Q4" s="35"/>
      <c r="T4" s="35"/>
      <c r="U4" s="35"/>
      <c r="X4" s="35"/>
      <c r="Y4" s="35"/>
      <c r="Z4" s="35"/>
    </row>
    <row r="5" spans="1:35" x14ac:dyDescent="0.2">
      <c r="A5" s="35">
        <v>44250</v>
      </c>
      <c r="B5" s="34" t="s">
        <v>4352</v>
      </c>
      <c r="E5" s="34">
        <f t="shared" si="0"/>
        <v>2</v>
      </c>
      <c r="F5" s="34">
        <f t="shared" si="1"/>
        <v>23</v>
      </c>
      <c r="O5" s="35"/>
      <c r="P5" s="35"/>
      <c r="Q5" s="35"/>
      <c r="T5" s="35"/>
      <c r="U5" s="35"/>
      <c r="X5" s="35"/>
      <c r="Y5" s="35"/>
      <c r="Z5" s="35"/>
    </row>
    <row r="6" spans="1:35" x14ac:dyDescent="0.2">
      <c r="A6" s="35">
        <v>44295</v>
      </c>
      <c r="B6" s="34" t="s">
        <v>4353</v>
      </c>
      <c r="E6" s="34">
        <f t="shared" si="0"/>
        <v>4</v>
      </c>
      <c r="F6" s="34">
        <f t="shared" si="1"/>
        <v>9</v>
      </c>
      <c r="O6" s="35"/>
      <c r="P6" s="35"/>
      <c r="Q6" s="35"/>
      <c r="T6" s="35"/>
      <c r="U6" s="35"/>
      <c r="X6" s="35"/>
      <c r="Y6" s="35"/>
      <c r="Z6" s="35"/>
    </row>
    <row r="7" spans="1:35" x14ac:dyDescent="0.2">
      <c r="A7" s="35">
        <v>44330</v>
      </c>
      <c r="B7" s="34" t="s">
        <v>4354</v>
      </c>
      <c r="E7" s="34">
        <f t="shared" si="0"/>
        <v>5</v>
      </c>
      <c r="F7" s="34">
        <f t="shared" si="1"/>
        <v>14</v>
      </c>
      <c r="O7" s="35"/>
      <c r="P7" s="35"/>
      <c r="Q7" s="35"/>
      <c r="T7" s="35"/>
      <c r="U7" s="35"/>
      <c r="X7" s="35"/>
      <c r="Y7" s="35"/>
      <c r="Z7" s="35"/>
    </row>
    <row r="8" spans="1:35" x14ac:dyDescent="0.2">
      <c r="A8" s="35">
        <v>44358</v>
      </c>
      <c r="B8" s="34" t="s">
        <v>4355</v>
      </c>
      <c r="E8" s="34">
        <f t="shared" si="0"/>
        <v>6</v>
      </c>
      <c r="F8" s="34">
        <f t="shared" si="1"/>
        <v>11</v>
      </c>
      <c r="O8" s="35"/>
      <c r="P8" s="35"/>
      <c r="Q8" s="35"/>
      <c r="T8" s="35"/>
      <c r="U8" s="35"/>
      <c r="X8" s="35"/>
      <c r="Y8" s="35"/>
      <c r="Z8" s="35"/>
    </row>
    <row r="9" spans="1:35" x14ac:dyDescent="0.2">
      <c r="A9" s="35">
        <v>44358</v>
      </c>
      <c r="B9" s="34" t="s">
        <v>4356</v>
      </c>
      <c r="E9" s="34">
        <f t="shared" si="0"/>
        <v>6</v>
      </c>
      <c r="F9" s="34">
        <f t="shared" si="1"/>
        <v>11</v>
      </c>
      <c r="O9" s="35"/>
      <c r="P9" s="35"/>
      <c r="Q9" s="35"/>
      <c r="T9" s="35"/>
      <c r="U9" s="35"/>
      <c r="X9" s="35"/>
      <c r="Y9" s="35"/>
      <c r="Z9" s="35"/>
    </row>
    <row r="10" spans="1:35" x14ac:dyDescent="0.2">
      <c r="A10" s="35">
        <v>44365</v>
      </c>
      <c r="B10" s="34" t="s">
        <v>4357</v>
      </c>
      <c r="E10" s="34">
        <f t="shared" si="0"/>
        <v>6</v>
      </c>
      <c r="F10" s="34">
        <f t="shared" si="1"/>
        <v>18</v>
      </c>
      <c r="O10" s="35"/>
      <c r="P10" s="35"/>
      <c r="Q10" s="35"/>
      <c r="T10" s="35"/>
      <c r="U10" s="35"/>
      <c r="X10" s="35"/>
      <c r="Y10" s="35"/>
      <c r="Z10" s="35"/>
    </row>
    <row r="11" spans="1:35" x14ac:dyDescent="0.2">
      <c r="A11" s="35"/>
      <c r="E11" s="34">
        <f t="shared" si="0"/>
        <v>1</v>
      </c>
      <c r="F11" s="34">
        <f t="shared" si="1"/>
        <v>0</v>
      </c>
      <c r="O11" s="35"/>
      <c r="P11" s="35"/>
      <c r="Q11" s="35"/>
      <c r="T11" s="35"/>
      <c r="U11" s="35"/>
      <c r="X11" s="35"/>
      <c r="Y11" s="35"/>
      <c r="Z11" s="35"/>
    </row>
    <row r="12" spans="1:35" x14ac:dyDescent="0.2">
      <c r="A12" s="35"/>
      <c r="E12" s="34">
        <f t="shared" si="0"/>
        <v>1</v>
      </c>
      <c r="F12" s="34">
        <f t="shared" si="1"/>
        <v>0</v>
      </c>
      <c r="O12" s="35"/>
      <c r="P12" s="35"/>
      <c r="Q12" s="35"/>
      <c r="T12" s="35"/>
      <c r="U12" s="35"/>
      <c r="X12" s="35"/>
      <c r="Y12" s="35"/>
      <c r="Z12" s="35"/>
    </row>
    <row r="13" spans="1:35" x14ac:dyDescent="0.2">
      <c r="A13" s="35"/>
      <c r="E13" s="34">
        <f t="shared" si="0"/>
        <v>1</v>
      </c>
      <c r="F13" s="34">
        <f t="shared" si="1"/>
        <v>0</v>
      </c>
      <c r="O13" s="35"/>
      <c r="P13" s="35"/>
      <c r="Q13" s="35"/>
      <c r="T13" s="35"/>
      <c r="U13" s="35"/>
      <c r="X13" s="35"/>
      <c r="Y13" s="35"/>
      <c r="Z13" s="35"/>
    </row>
    <row r="14" spans="1:35" x14ac:dyDescent="0.2">
      <c r="A14" s="35"/>
      <c r="E14" s="34">
        <f t="shared" si="0"/>
        <v>1</v>
      </c>
      <c r="F14" s="34">
        <f t="shared" si="1"/>
        <v>0</v>
      </c>
      <c r="O14" s="35"/>
      <c r="P14" s="35"/>
      <c r="Q14" s="35"/>
      <c r="T14" s="35"/>
      <c r="U14" s="35"/>
      <c r="X14" s="35"/>
      <c r="Y14" s="35"/>
      <c r="Z14" s="35"/>
    </row>
    <row r="15" spans="1:35" x14ac:dyDescent="0.2">
      <c r="A15" s="35"/>
      <c r="E15" s="34">
        <f t="shared" si="0"/>
        <v>1</v>
      </c>
      <c r="F15" s="34">
        <f t="shared" si="1"/>
        <v>0</v>
      </c>
      <c r="O15" s="35"/>
      <c r="P15" s="35"/>
      <c r="Q15" s="35"/>
      <c r="T15" s="35"/>
      <c r="U15" s="35"/>
      <c r="X15" s="35"/>
      <c r="Y15" s="35"/>
      <c r="Z15" s="35"/>
      <c r="AE15" s="10">
        <v>10</v>
      </c>
      <c r="AF15" s="99" t="s">
        <v>86</v>
      </c>
      <c r="AG15" s="100"/>
      <c r="AH15" s="101"/>
      <c r="AI15" s="47" t="s">
        <v>117</v>
      </c>
    </row>
    <row r="16" spans="1:35" x14ac:dyDescent="0.2">
      <c r="A16" s="35"/>
      <c r="E16" s="34">
        <f t="shared" si="0"/>
        <v>1</v>
      </c>
      <c r="F16" s="34">
        <f t="shared" si="1"/>
        <v>0</v>
      </c>
      <c r="O16" s="35"/>
      <c r="P16" s="35"/>
      <c r="Q16" s="35"/>
      <c r="T16" s="35"/>
      <c r="U16" s="35"/>
      <c r="X16" s="35"/>
      <c r="Y16" s="35"/>
      <c r="Z16" s="35"/>
      <c r="AE16" s="10">
        <v>20</v>
      </c>
      <c r="AF16" s="99" t="s">
        <v>90</v>
      </c>
      <c r="AG16" s="100"/>
      <c r="AH16" s="101"/>
      <c r="AI16" s="47" t="s">
        <v>82</v>
      </c>
    </row>
    <row r="17" spans="5:35" x14ac:dyDescent="0.2">
      <c r="E17" s="34">
        <f t="shared" si="0"/>
        <v>1</v>
      </c>
      <c r="F17" s="34">
        <f t="shared" si="1"/>
        <v>0</v>
      </c>
      <c r="O17" s="35"/>
      <c r="P17" s="35"/>
      <c r="Q17" s="35"/>
      <c r="T17" s="35"/>
      <c r="U17" s="35"/>
      <c r="X17" s="35"/>
      <c r="Y17" s="35"/>
      <c r="Z17" s="35"/>
      <c r="AE17" s="10">
        <v>30</v>
      </c>
      <c r="AF17" s="99" t="s">
        <v>85</v>
      </c>
      <c r="AG17" s="102"/>
      <c r="AH17" s="103"/>
      <c r="AI17" s="47" t="s">
        <v>118</v>
      </c>
    </row>
    <row r="18" spans="5:35" x14ac:dyDescent="0.2">
      <c r="E18" s="34">
        <f t="shared" si="0"/>
        <v>1</v>
      </c>
      <c r="F18" s="34">
        <f t="shared" si="1"/>
        <v>0</v>
      </c>
      <c r="O18" s="35"/>
      <c r="P18" s="35"/>
      <c r="Q18" s="35"/>
      <c r="T18" s="35"/>
      <c r="U18" s="35"/>
      <c r="X18" s="35"/>
      <c r="Y18" s="35"/>
      <c r="Z18" s="35"/>
      <c r="AE18" s="10">
        <v>40</v>
      </c>
      <c r="AF18" s="99" t="s">
        <v>89</v>
      </c>
      <c r="AG18" s="104"/>
      <c r="AH18" s="105"/>
      <c r="AI18" s="47" t="s">
        <v>88</v>
      </c>
    </row>
    <row r="19" spans="5:35" x14ac:dyDescent="0.2">
      <c r="E19" s="34">
        <f t="shared" si="0"/>
        <v>1</v>
      </c>
      <c r="F19" s="34">
        <f t="shared" si="1"/>
        <v>0</v>
      </c>
      <c r="O19" s="35"/>
      <c r="P19" s="35"/>
      <c r="Q19" s="35"/>
      <c r="T19" s="35"/>
      <c r="U19" s="35"/>
      <c r="X19" s="35"/>
      <c r="Y19" s="35"/>
      <c r="Z19" s="35"/>
    </row>
    <row r="20" spans="5:35" x14ac:dyDescent="0.2">
      <c r="E20" s="34">
        <f t="shared" si="0"/>
        <v>1</v>
      </c>
      <c r="F20" s="34">
        <f t="shared" si="1"/>
        <v>0</v>
      </c>
      <c r="O20" s="35"/>
      <c r="P20" s="35"/>
      <c r="Q20" s="35"/>
      <c r="T20" s="35"/>
      <c r="U20" s="35"/>
      <c r="X20" s="35"/>
      <c r="Y20" s="35"/>
      <c r="Z20" s="35"/>
    </row>
    <row r="21" spans="5:35" x14ac:dyDescent="0.2">
      <c r="E21" s="34">
        <f t="shared" si="0"/>
        <v>1</v>
      </c>
      <c r="F21" s="34">
        <f t="shared" si="1"/>
        <v>0</v>
      </c>
      <c r="O21" s="35"/>
      <c r="P21" s="35"/>
      <c r="Q21" s="35"/>
      <c r="T21" s="35"/>
      <c r="U21" s="35"/>
      <c r="X21" s="35"/>
      <c r="Y21" s="35"/>
      <c r="Z21" s="35"/>
    </row>
    <row r="22" spans="5:35" x14ac:dyDescent="0.2">
      <c r="E22" s="34">
        <f t="shared" si="0"/>
        <v>1</v>
      </c>
      <c r="F22" s="34">
        <f t="shared" si="1"/>
        <v>0</v>
      </c>
      <c r="O22" s="35"/>
      <c r="P22" s="35"/>
      <c r="Q22" s="35"/>
      <c r="T22" s="35"/>
      <c r="U22" s="35"/>
      <c r="X22" s="35"/>
      <c r="Y22" s="35"/>
      <c r="Z22" s="35"/>
    </row>
    <row r="23" spans="5:35" x14ac:dyDescent="0.2">
      <c r="E23" s="34">
        <f t="shared" si="0"/>
        <v>1</v>
      </c>
      <c r="F23" s="34">
        <f t="shared" si="1"/>
        <v>0</v>
      </c>
      <c r="O23" s="35"/>
      <c r="P23" s="35"/>
      <c r="Q23" s="35"/>
      <c r="T23" s="35"/>
      <c r="U23" s="35"/>
      <c r="X23" s="35"/>
      <c r="Y23" s="35"/>
      <c r="Z23" s="35"/>
    </row>
    <row r="24" spans="5:35" x14ac:dyDescent="0.2">
      <c r="E24" s="34">
        <f t="shared" si="0"/>
        <v>1</v>
      </c>
      <c r="F24" s="34">
        <f t="shared" si="1"/>
        <v>0</v>
      </c>
      <c r="O24" s="35"/>
      <c r="P24" s="35"/>
      <c r="Q24" s="35"/>
      <c r="T24" s="35"/>
      <c r="U24" s="35"/>
      <c r="X24" s="35"/>
      <c r="Y24" s="35"/>
      <c r="Z24" s="35"/>
    </row>
    <row r="25" spans="5:35" x14ac:dyDescent="0.2">
      <c r="E25" s="34">
        <f t="shared" si="0"/>
        <v>1</v>
      </c>
      <c r="F25" s="34">
        <f t="shared" si="1"/>
        <v>0</v>
      </c>
      <c r="O25" s="35"/>
      <c r="P25" s="35"/>
      <c r="Q25" s="35"/>
      <c r="T25" s="35"/>
      <c r="U25" s="35"/>
      <c r="X25" s="35"/>
      <c r="Y25" s="35"/>
      <c r="Z25" s="35"/>
    </row>
    <row r="26" spans="5:35" x14ac:dyDescent="0.2">
      <c r="E26" s="34">
        <f t="shared" si="0"/>
        <v>1</v>
      </c>
      <c r="F26" s="34">
        <f t="shared" si="1"/>
        <v>0</v>
      </c>
      <c r="O26" s="35"/>
      <c r="P26" s="35"/>
      <c r="Q26" s="35"/>
      <c r="T26" s="35"/>
      <c r="U26" s="35"/>
      <c r="X26" s="35"/>
      <c r="Y26" s="35"/>
      <c r="Z26" s="35"/>
    </row>
    <row r="27" spans="5:35" x14ac:dyDescent="0.2">
      <c r="E27" s="34">
        <f t="shared" si="0"/>
        <v>1</v>
      </c>
      <c r="F27" s="34">
        <f t="shared" si="1"/>
        <v>0</v>
      </c>
      <c r="O27" s="35"/>
      <c r="P27" s="35"/>
      <c r="Q27" s="35"/>
      <c r="T27" s="35"/>
      <c r="U27" s="35"/>
      <c r="X27" s="35"/>
      <c r="Y27" s="35"/>
      <c r="Z27" s="35"/>
    </row>
    <row r="28" spans="5:35" x14ac:dyDescent="0.2">
      <c r="E28" s="34">
        <f t="shared" si="0"/>
        <v>1</v>
      </c>
      <c r="F28" s="34">
        <f t="shared" si="1"/>
        <v>0</v>
      </c>
      <c r="O28" s="35"/>
      <c r="P28" s="35"/>
      <c r="Q28" s="35"/>
      <c r="T28" s="35"/>
      <c r="U28" s="35"/>
      <c r="X28" s="35"/>
      <c r="Y28" s="35"/>
      <c r="Z28" s="35"/>
    </row>
    <row r="29" spans="5:35" x14ac:dyDescent="0.2">
      <c r="E29" s="34">
        <f t="shared" si="0"/>
        <v>1</v>
      </c>
      <c r="F29" s="34">
        <f t="shared" si="1"/>
        <v>0</v>
      </c>
      <c r="O29" s="35"/>
      <c r="P29" s="35"/>
      <c r="Q29" s="35"/>
      <c r="T29" s="35"/>
      <c r="U29" s="35"/>
      <c r="X29" s="35"/>
      <c r="Y29" s="35"/>
      <c r="Z29" s="35"/>
    </row>
    <row r="30" spans="5:35" x14ac:dyDescent="0.2">
      <c r="E30" s="34">
        <f t="shared" si="0"/>
        <v>1</v>
      </c>
      <c r="F30" s="34">
        <f t="shared" si="1"/>
        <v>0</v>
      </c>
      <c r="O30" s="35"/>
      <c r="P30" s="35"/>
      <c r="Q30" s="35"/>
      <c r="T30" s="35"/>
      <c r="U30" s="35"/>
      <c r="X30" s="35"/>
      <c r="Y30" s="35"/>
      <c r="Z30" s="35"/>
    </row>
    <row r="31" spans="5:35" x14ac:dyDescent="0.2">
      <c r="E31" s="34">
        <f t="shared" si="0"/>
        <v>1</v>
      </c>
      <c r="F31" s="34">
        <f t="shared" si="1"/>
        <v>0</v>
      </c>
      <c r="O31" s="35"/>
      <c r="P31" s="35"/>
      <c r="Q31" s="35"/>
      <c r="T31" s="35"/>
      <c r="U31" s="35"/>
      <c r="X31" s="35"/>
      <c r="Y31" s="35"/>
      <c r="Z31" s="35"/>
    </row>
    <row r="32" spans="5:35" x14ac:dyDescent="0.2">
      <c r="E32" s="34">
        <f t="shared" si="0"/>
        <v>1</v>
      </c>
      <c r="F32" s="34">
        <f t="shared" si="1"/>
        <v>0</v>
      </c>
      <c r="O32" s="35"/>
      <c r="P32" s="35"/>
      <c r="Q32" s="35"/>
      <c r="T32" s="35"/>
      <c r="U32" s="35"/>
      <c r="X32" s="35"/>
      <c r="Y32" s="35"/>
      <c r="Z32" s="35"/>
    </row>
    <row r="33" spans="5:6" x14ac:dyDescent="0.2">
      <c r="E33" s="34">
        <f t="shared" si="0"/>
        <v>1</v>
      </c>
      <c r="F33" s="34">
        <f t="shared" si="1"/>
        <v>0</v>
      </c>
    </row>
    <row r="34" spans="5:6" x14ac:dyDescent="0.2">
      <c r="E34" s="34">
        <f t="shared" si="0"/>
        <v>1</v>
      </c>
      <c r="F34" s="34">
        <f t="shared" si="1"/>
        <v>0</v>
      </c>
    </row>
    <row r="35" spans="5:6" x14ac:dyDescent="0.2">
      <c r="E35" s="34">
        <f t="shared" si="0"/>
        <v>1</v>
      </c>
      <c r="F35" s="34">
        <f t="shared" si="1"/>
        <v>0</v>
      </c>
    </row>
    <row r="36" spans="5:6" x14ac:dyDescent="0.2">
      <c r="E36" s="34">
        <f t="shared" si="0"/>
        <v>1</v>
      </c>
      <c r="F36" s="34">
        <f t="shared" si="1"/>
        <v>0</v>
      </c>
    </row>
    <row r="37" spans="5:6" x14ac:dyDescent="0.2">
      <c r="E37" s="34">
        <f t="shared" si="0"/>
        <v>1</v>
      </c>
      <c r="F37" s="34">
        <f t="shared" si="1"/>
        <v>0</v>
      </c>
    </row>
    <row r="38" spans="5:6" x14ac:dyDescent="0.2">
      <c r="E38" s="34">
        <f t="shared" si="0"/>
        <v>1</v>
      </c>
      <c r="F38" s="34">
        <f t="shared" si="1"/>
        <v>0</v>
      </c>
    </row>
    <row r="39" spans="5:6" x14ac:dyDescent="0.2">
      <c r="E39" s="34">
        <f t="shared" si="0"/>
        <v>1</v>
      </c>
      <c r="F39" s="34">
        <f t="shared" si="1"/>
        <v>0</v>
      </c>
    </row>
    <row r="40" spans="5:6" x14ac:dyDescent="0.2">
      <c r="E40" s="34">
        <f t="shared" si="0"/>
        <v>1</v>
      </c>
      <c r="F40" s="34">
        <f t="shared" si="1"/>
        <v>0</v>
      </c>
    </row>
    <row r="41" spans="5:6" x14ac:dyDescent="0.2">
      <c r="E41" s="34">
        <f t="shared" si="0"/>
        <v>1</v>
      </c>
      <c r="F41" s="34">
        <f t="shared" si="1"/>
        <v>0</v>
      </c>
    </row>
    <row r="42" spans="5:6" x14ac:dyDescent="0.2">
      <c r="E42" s="34">
        <f t="shared" si="0"/>
        <v>1</v>
      </c>
      <c r="F42" s="34">
        <f t="shared" si="1"/>
        <v>0</v>
      </c>
    </row>
    <row r="43" spans="5:6" x14ac:dyDescent="0.2">
      <c r="E43" s="34">
        <f t="shared" si="0"/>
        <v>1</v>
      </c>
      <c r="F43" s="34">
        <f t="shared" si="1"/>
        <v>0</v>
      </c>
    </row>
    <row r="44" spans="5:6" x14ac:dyDescent="0.2">
      <c r="E44" s="34">
        <f t="shared" si="0"/>
        <v>1</v>
      </c>
      <c r="F44" s="34">
        <f t="shared" si="1"/>
        <v>0</v>
      </c>
    </row>
    <row r="45" spans="5:6" x14ac:dyDescent="0.2">
      <c r="E45" s="34">
        <f t="shared" si="0"/>
        <v>1</v>
      </c>
      <c r="F45" s="34">
        <f t="shared" si="1"/>
        <v>0</v>
      </c>
    </row>
    <row r="46" spans="5:6" x14ac:dyDescent="0.2">
      <c r="E46" s="34">
        <f t="shared" si="0"/>
        <v>1</v>
      </c>
      <c r="F46" s="34">
        <f t="shared" si="1"/>
        <v>0</v>
      </c>
    </row>
    <row r="47" spans="5:6" x14ac:dyDescent="0.2">
      <c r="E47" s="34">
        <f t="shared" si="0"/>
        <v>1</v>
      </c>
      <c r="F47" s="34">
        <f t="shared" si="1"/>
        <v>0</v>
      </c>
    </row>
    <row r="48" spans="5:6" x14ac:dyDescent="0.2">
      <c r="E48" s="34">
        <f t="shared" si="0"/>
        <v>1</v>
      </c>
      <c r="F48" s="34">
        <f t="shared" si="1"/>
        <v>0</v>
      </c>
    </row>
    <row r="49" spans="5:6" x14ac:dyDescent="0.2">
      <c r="E49" s="34">
        <f t="shared" si="0"/>
        <v>1</v>
      </c>
      <c r="F49" s="34">
        <f t="shared" si="1"/>
        <v>0</v>
      </c>
    </row>
    <row r="50" spans="5:6" x14ac:dyDescent="0.2">
      <c r="E50" s="34">
        <f t="shared" si="0"/>
        <v>1</v>
      </c>
      <c r="F50" s="34">
        <f t="shared" si="1"/>
        <v>0</v>
      </c>
    </row>
    <row r="51" spans="5:6" x14ac:dyDescent="0.2">
      <c r="E51" s="34">
        <f t="shared" si="0"/>
        <v>1</v>
      </c>
      <c r="F51" s="34">
        <f t="shared" si="1"/>
        <v>0</v>
      </c>
    </row>
    <row r="52" spans="5:6" x14ac:dyDescent="0.2">
      <c r="E52" s="34">
        <f t="shared" si="0"/>
        <v>1</v>
      </c>
      <c r="F52" s="34">
        <f t="shared" si="1"/>
        <v>0</v>
      </c>
    </row>
    <row r="53" spans="5:6" x14ac:dyDescent="0.2">
      <c r="E53" s="34">
        <f t="shared" si="0"/>
        <v>1</v>
      </c>
      <c r="F53" s="34">
        <f t="shared" si="1"/>
        <v>0</v>
      </c>
    </row>
    <row r="54" spans="5:6" x14ac:dyDescent="0.2">
      <c r="E54" s="34">
        <f t="shared" si="0"/>
        <v>1</v>
      </c>
      <c r="F54" s="34">
        <f t="shared" si="1"/>
        <v>0</v>
      </c>
    </row>
    <row r="55" spans="5:6" x14ac:dyDescent="0.2">
      <c r="E55" s="34">
        <f t="shared" si="0"/>
        <v>1</v>
      </c>
      <c r="F55" s="34">
        <f t="shared" si="1"/>
        <v>0</v>
      </c>
    </row>
    <row r="56" spans="5:6" x14ac:dyDescent="0.2">
      <c r="E56" s="34">
        <f t="shared" si="0"/>
        <v>1</v>
      </c>
      <c r="F56" s="34">
        <f t="shared" si="1"/>
        <v>0</v>
      </c>
    </row>
    <row r="203" spans="1:6" x14ac:dyDescent="0.2">
      <c r="A203" s="35">
        <v>44246</v>
      </c>
      <c r="B203" s="34" t="s">
        <v>4358</v>
      </c>
      <c r="E203" s="34">
        <f>MONTH(A203)</f>
        <v>2</v>
      </c>
      <c r="F203" s="34">
        <f>DAY(A203)</f>
        <v>19</v>
      </c>
    </row>
    <row r="204" spans="1:6" x14ac:dyDescent="0.2">
      <c r="A204" s="35">
        <v>44265</v>
      </c>
      <c r="B204" s="34" t="s">
        <v>4359</v>
      </c>
      <c r="E204" s="34">
        <f t="shared" ref="E204:E267" si="2">MONTH(A204)</f>
        <v>3</v>
      </c>
      <c r="F204" s="34">
        <f t="shared" ref="F204:F267" si="3">DAY(A204)</f>
        <v>10</v>
      </c>
    </row>
    <row r="205" spans="1:6" x14ac:dyDescent="0.2">
      <c r="A205" s="35">
        <v>44265</v>
      </c>
      <c r="B205" s="34" t="s">
        <v>4360</v>
      </c>
      <c r="E205" s="34">
        <f t="shared" si="2"/>
        <v>3</v>
      </c>
      <c r="F205" s="34">
        <f t="shared" si="3"/>
        <v>10</v>
      </c>
    </row>
    <row r="206" spans="1:6" x14ac:dyDescent="0.2">
      <c r="A206" s="35">
        <v>44279</v>
      </c>
      <c r="B206" s="34" t="s">
        <v>4361</v>
      </c>
      <c r="E206" s="34">
        <f t="shared" si="2"/>
        <v>3</v>
      </c>
      <c r="F206" s="34">
        <f t="shared" si="3"/>
        <v>24</v>
      </c>
    </row>
    <row r="207" spans="1:6" x14ac:dyDescent="0.2">
      <c r="A207" s="35">
        <v>44279</v>
      </c>
      <c r="B207" s="34" t="s">
        <v>4362</v>
      </c>
      <c r="E207" s="34">
        <f t="shared" si="2"/>
        <v>3</v>
      </c>
      <c r="F207" s="34">
        <f t="shared" si="3"/>
        <v>24</v>
      </c>
    </row>
    <row r="208" spans="1:6" x14ac:dyDescent="0.2">
      <c r="A208" s="35"/>
      <c r="E208" s="34">
        <f t="shared" si="2"/>
        <v>1</v>
      </c>
      <c r="F208" s="34">
        <f t="shared" si="3"/>
        <v>0</v>
      </c>
    </row>
    <row r="209" spans="1:6" x14ac:dyDescent="0.2">
      <c r="A209" s="35"/>
      <c r="E209" s="34">
        <f t="shared" si="2"/>
        <v>1</v>
      </c>
      <c r="F209" s="34">
        <f t="shared" si="3"/>
        <v>0</v>
      </c>
    </row>
    <row r="210" spans="1:6" x14ac:dyDescent="0.2">
      <c r="A210" s="35"/>
      <c r="E210" s="34">
        <f t="shared" si="2"/>
        <v>1</v>
      </c>
      <c r="F210" s="34">
        <f t="shared" si="3"/>
        <v>0</v>
      </c>
    </row>
    <row r="211" spans="1:6" x14ac:dyDescent="0.2">
      <c r="A211" s="35"/>
      <c r="E211" s="34">
        <f t="shared" si="2"/>
        <v>1</v>
      </c>
      <c r="F211" s="34">
        <f t="shared" si="3"/>
        <v>0</v>
      </c>
    </row>
    <row r="212" spans="1:6" x14ac:dyDescent="0.2">
      <c r="A212" s="35"/>
      <c r="E212" s="34">
        <f t="shared" si="2"/>
        <v>1</v>
      </c>
      <c r="F212" s="34">
        <f t="shared" si="3"/>
        <v>0</v>
      </c>
    </row>
    <row r="213" spans="1:6" x14ac:dyDescent="0.2">
      <c r="A213" s="35"/>
      <c r="E213" s="34">
        <f t="shared" si="2"/>
        <v>1</v>
      </c>
      <c r="F213" s="34">
        <f t="shared" si="3"/>
        <v>0</v>
      </c>
    </row>
    <row r="214" spans="1:6" x14ac:dyDescent="0.2">
      <c r="A214" s="35"/>
      <c r="E214" s="34">
        <f t="shared" si="2"/>
        <v>1</v>
      </c>
      <c r="F214" s="34">
        <f t="shared" si="3"/>
        <v>0</v>
      </c>
    </row>
    <row r="215" spans="1:6" x14ac:dyDescent="0.2">
      <c r="A215" s="35"/>
      <c r="E215" s="34">
        <f t="shared" si="2"/>
        <v>1</v>
      </c>
      <c r="F215" s="34">
        <f t="shared" si="3"/>
        <v>0</v>
      </c>
    </row>
    <row r="216" spans="1:6" x14ac:dyDescent="0.2">
      <c r="A216" s="35"/>
      <c r="E216" s="34">
        <f t="shared" si="2"/>
        <v>1</v>
      </c>
      <c r="F216" s="34">
        <f t="shared" si="3"/>
        <v>0</v>
      </c>
    </row>
    <row r="217" spans="1:6" x14ac:dyDescent="0.2">
      <c r="A217" s="35"/>
      <c r="E217" s="34">
        <f t="shared" si="2"/>
        <v>1</v>
      </c>
      <c r="F217" s="34">
        <f t="shared" si="3"/>
        <v>0</v>
      </c>
    </row>
    <row r="218" spans="1:6" x14ac:dyDescent="0.2">
      <c r="A218" s="35"/>
      <c r="E218" s="34">
        <f t="shared" si="2"/>
        <v>1</v>
      </c>
      <c r="F218" s="34">
        <f t="shared" si="3"/>
        <v>0</v>
      </c>
    </row>
    <row r="219" spans="1:6" x14ac:dyDescent="0.2">
      <c r="A219" s="35"/>
      <c r="E219" s="34">
        <f t="shared" si="2"/>
        <v>1</v>
      </c>
      <c r="F219" s="34">
        <f t="shared" si="3"/>
        <v>0</v>
      </c>
    </row>
    <row r="220" spans="1:6" x14ac:dyDescent="0.2">
      <c r="A220" s="35"/>
      <c r="E220" s="34">
        <f t="shared" si="2"/>
        <v>1</v>
      </c>
      <c r="F220" s="34">
        <f t="shared" si="3"/>
        <v>0</v>
      </c>
    </row>
    <row r="221" spans="1:6" x14ac:dyDescent="0.2">
      <c r="A221" s="35"/>
      <c r="E221" s="34">
        <f t="shared" si="2"/>
        <v>1</v>
      </c>
      <c r="F221" s="34">
        <f t="shared" si="3"/>
        <v>0</v>
      </c>
    </row>
    <row r="222" spans="1:6" x14ac:dyDescent="0.2">
      <c r="A222" s="35"/>
      <c r="E222" s="34">
        <f t="shared" si="2"/>
        <v>1</v>
      </c>
      <c r="F222" s="34">
        <f t="shared" si="3"/>
        <v>0</v>
      </c>
    </row>
    <row r="223" spans="1:6" x14ac:dyDescent="0.2">
      <c r="A223" s="35"/>
      <c r="E223" s="34">
        <f t="shared" si="2"/>
        <v>1</v>
      </c>
      <c r="F223" s="34">
        <f t="shared" si="3"/>
        <v>0</v>
      </c>
    </row>
    <row r="224" spans="1:6" x14ac:dyDescent="0.2">
      <c r="A224" s="35"/>
      <c r="E224" s="34">
        <f t="shared" si="2"/>
        <v>1</v>
      </c>
      <c r="F224" s="34">
        <f t="shared" si="3"/>
        <v>0</v>
      </c>
    </row>
    <row r="225" spans="5:6" x14ac:dyDescent="0.2">
      <c r="E225" s="34">
        <f t="shared" si="2"/>
        <v>1</v>
      </c>
      <c r="F225" s="34">
        <f t="shared" si="3"/>
        <v>0</v>
      </c>
    </row>
    <row r="226" spans="5:6" x14ac:dyDescent="0.2">
      <c r="E226" s="34">
        <f t="shared" si="2"/>
        <v>1</v>
      </c>
      <c r="F226" s="34">
        <f t="shared" si="3"/>
        <v>0</v>
      </c>
    </row>
    <row r="227" spans="5:6" x14ac:dyDescent="0.2">
      <c r="E227" s="34">
        <f t="shared" si="2"/>
        <v>1</v>
      </c>
      <c r="F227" s="34">
        <f t="shared" si="3"/>
        <v>0</v>
      </c>
    </row>
    <row r="228" spans="5:6" x14ac:dyDescent="0.2">
      <c r="E228" s="34">
        <f t="shared" si="2"/>
        <v>1</v>
      </c>
      <c r="F228" s="34">
        <f t="shared" si="3"/>
        <v>0</v>
      </c>
    </row>
    <row r="229" spans="5:6" x14ac:dyDescent="0.2">
      <c r="E229" s="34">
        <f t="shared" si="2"/>
        <v>1</v>
      </c>
      <c r="F229" s="34">
        <f t="shared" si="3"/>
        <v>0</v>
      </c>
    </row>
    <row r="230" spans="5:6" x14ac:dyDescent="0.2">
      <c r="E230" s="34">
        <f t="shared" si="2"/>
        <v>1</v>
      </c>
      <c r="F230" s="34">
        <f t="shared" si="3"/>
        <v>0</v>
      </c>
    </row>
    <row r="231" spans="5:6" x14ac:dyDescent="0.2">
      <c r="E231" s="34">
        <f t="shared" si="2"/>
        <v>1</v>
      </c>
      <c r="F231" s="34">
        <f t="shared" si="3"/>
        <v>0</v>
      </c>
    </row>
    <row r="232" spans="5:6" x14ac:dyDescent="0.2">
      <c r="E232" s="34">
        <f t="shared" si="2"/>
        <v>1</v>
      </c>
      <c r="F232" s="34">
        <f t="shared" si="3"/>
        <v>0</v>
      </c>
    </row>
    <row r="233" spans="5:6" x14ac:dyDescent="0.2">
      <c r="E233" s="34">
        <f t="shared" si="2"/>
        <v>1</v>
      </c>
      <c r="F233" s="34">
        <f t="shared" si="3"/>
        <v>0</v>
      </c>
    </row>
    <row r="234" spans="5:6" x14ac:dyDescent="0.2">
      <c r="E234" s="34">
        <f t="shared" si="2"/>
        <v>1</v>
      </c>
      <c r="F234" s="34">
        <f t="shared" si="3"/>
        <v>0</v>
      </c>
    </row>
    <row r="235" spans="5:6" x14ac:dyDescent="0.2">
      <c r="E235" s="34">
        <f t="shared" si="2"/>
        <v>1</v>
      </c>
      <c r="F235" s="34">
        <f t="shared" si="3"/>
        <v>0</v>
      </c>
    </row>
    <row r="236" spans="5:6" x14ac:dyDescent="0.2">
      <c r="E236" s="34">
        <f t="shared" si="2"/>
        <v>1</v>
      </c>
      <c r="F236" s="34">
        <f t="shared" si="3"/>
        <v>0</v>
      </c>
    </row>
    <row r="237" spans="5:6" x14ac:dyDescent="0.2">
      <c r="E237" s="34">
        <f t="shared" si="2"/>
        <v>1</v>
      </c>
      <c r="F237" s="34">
        <f t="shared" si="3"/>
        <v>0</v>
      </c>
    </row>
    <row r="238" spans="5:6" x14ac:dyDescent="0.2">
      <c r="E238" s="34">
        <f t="shared" si="2"/>
        <v>1</v>
      </c>
      <c r="F238" s="34">
        <f t="shared" si="3"/>
        <v>0</v>
      </c>
    </row>
    <row r="239" spans="5:6" x14ac:dyDescent="0.2">
      <c r="E239" s="34">
        <f t="shared" si="2"/>
        <v>1</v>
      </c>
      <c r="F239" s="34">
        <f t="shared" si="3"/>
        <v>0</v>
      </c>
    </row>
    <row r="240" spans="5:6" x14ac:dyDescent="0.2">
      <c r="E240" s="34">
        <f t="shared" si="2"/>
        <v>1</v>
      </c>
      <c r="F240" s="34">
        <f t="shared" si="3"/>
        <v>0</v>
      </c>
    </row>
    <row r="241" spans="5:6" x14ac:dyDescent="0.2">
      <c r="E241" s="34">
        <f t="shared" si="2"/>
        <v>1</v>
      </c>
      <c r="F241" s="34">
        <f t="shared" si="3"/>
        <v>0</v>
      </c>
    </row>
    <row r="242" spans="5:6" x14ac:dyDescent="0.2">
      <c r="E242" s="34">
        <f t="shared" si="2"/>
        <v>1</v>
      </c>
      <c r="F242" s="34">
        <f t="shared" si="3"/>
        <v>0</v>
      </c>
    </row>
    <row r="243" spans="5:6" x14ac:dyDescent="0.2">
      <c r="E243" s="34">
        <f t="shared" si="2"/>
        <v>1</v>
      </c>
      <c r="F243" s="34">
        <f t="shared" si="3"/>
        <v>0</v>
      </c>
    </row>
    <row r="244" spans="5:6" x14ac:dyDescent="0.2">
      <c r="E244" s="34">
        <f t="shared" si="2"/>
        <v>1</v>
      </c>
      <c r="F244" s="34">
        <f t="shared" si="3"/>
        <v>0</v>
      </c>
    </row>
    <row r="245" spans="5:6" x14ac:dyDescent="0.2">
      <c r="E245" s="34">
        <f t="shared" si="2"/>
        <v>1</v>
      </c>
      <c r="F245" s="34">
        <f t="shared" si="3"/>
        <v>0</v>
      </c>
    </row>
    <row r="246" spans="5:6" x14ac:dyDescent="0.2">
      <c r="E246" s="34">
        <f t="shared" si="2"/>
        <v>1</v>
      </c>
      <c r="F246" s="34">
        <f t="shared" si="3"/>
        <v>0</v>
      </c>
    </row>
    <row r="247" spans="5:6" x14ac:dyDescent="0.2">
      <c r="E247" s="34">
        <f t="shared" si="2"/>
        <v>1</v>
      </c>
      <c r="F247" s="34">
        <f t="shared" si="3"/>
        <v>0</v>
      </c>
    </row>
    <row r="248" spans="5:6" x14ac:dyDescent="0.2">
      <c r="E248" s="34">
        <f t="shared" si="2"/>
        <v>1</v>
      </c>
      <c r="F248" s="34">
        <f t="shared" si="3"/>
        <v>0</v>
      </c>
    </row>
    <row r="249" spans="5:6" x14ac:dyDescent="0.2">
      <c r="E249" s="34">
        <f t="shared" si="2"/>
        <v>1</v>
      </c>
      <c r="F249" s="34">
        <f t="shared" si="3"/>
        <v>0</v>
      </c>
    </row>
    <row r="250" spans="5:6" x14ac:dyDescent="0.2">
      <c r="E250" s="34">
        <f t="shared" si="2"/>
        <v>1</v>
      </c>
      <c r="F250" s="34">
        <f t="shared" si="3"/>
        <v>0</v>
      </c>
    </row>
    <row r="251" spans="5:6" x14ac:dyDescent="0.2">
      <c r="E251" s="34">
        <f t="shared" si="2"/>
        <v>1</v>
      </c>
      <c r="F251" s="34">
        <f t="shared" si="3"/>
        <v>0</v>
      </c>
    </row>
    <row r="252" spans="5:6" x14ac:dyDescent="0.2">
      <c r="E252" s="34">
        <f t="shared" si="2"/>
        <v>1</v>
      </c>
      <c r="F252" s="34">
        <f t="shared" si="3"/>
        <v>0</v>
      </c>
    </row>
    <row r="253" spans="5:6" x14ac:dyDescent="0.2">
      <c r="E253" s="34">
        <f t="shared" si="2"/>
        <v>1</v>
      </c>
      <c r="F253" s="34">
        <f t="shared" si="3"/>
        <v>0</v>
      </c>
    </row>
    <row r="254" spans="5:6" x14ac:dyDescent="0.2">
      <c r="E254" s="34">
        <f t="shared" si="2"/>
        <v>1</v>
      </c>
      <c r="F254" s="34">
        <f t="shared" si="3"/>
        <v>0</v>
      </c>
    </row>
    <row r="255" spans="5:6" x14ac:dyDescent="0.2">
      <c r="E255" s="34">
        <f t="shared" si="2"/>
        <v>1</v>
      </c>
      <c r="F255" s="34">
        <f t="shared" si="3"/>
        <v>0</v>
      </c>
    </row>
    <row r="256" spans="5:6" x14ac:dyDescent="0.2">
      <c r="E256" s="34">
        <f t="shared" si="2"/>
        <v>1</v>
      </c>
      <c r="F256" s="34">
        <f t="shared" si="3"/>
        <v>0</v>
      </c>
    </row>
    <row r="257" spans="5:6" x14ac:dyDescent="0.2">
      <c r="E257" s="34">
        <f t="shared" si="2"/>
        <v>1</v>
      </c>
      <c r="F257" s="34">
        <f t="shared" si="3"/>
        <v>0</v>
      </c>
    </row>
    <row r="258" spans="5:6" x14ac:dyDescent="0.2">
      <c r="E258" s="34">
        <f t="shared" si="2"/>
        <v>1</v>
      </c>
      <c r="F258" s="34">
        <f t="shared" si="3"/>
        <v>0</v>
      </c>
    </row>
    <row r="259" spans="5:6" x14ac:dyDescent="0.2">
      <c r="E259" s="34">
        <f t="shared" si="2"/>
        <v>1</v>
      </c>
      <c r="F259" s="34">
        <f t="shared" si="3"/>
        <v>0</v>
      </c>
    </row>
    <row r="260" spans="5:6" x14ac:dyDescent="0.2">
      <c r="E260" s="34">
        <f t="shared" si="2"/>
        <v>1</v>
      </c>
      <c r="F260" s="34">
        <f t="shared" si="3"/>
        <v>0</v>
      </c>
    </row>
    <row r="261" spans="5:6" x14ac:dyDescent="0.2">
      <c r="E261" s="34">
        <f t="shared" si="2"/>
        <v>1</v>
      </c>
      <c r="F261" s="34">
        <f t="shared" si="3"/>
        <v>0</v>
      </c>
    </row>
    <row r="262" spans="5:6" x14ac:dyDescent="0.2">
      <c r="E262" s="34">
        <f t="shared" si="2"/>
        <v>1</v>
      </c>
      <c r="F262" s="34">
        <f t="shared" si="3"/>
        <v>0</v>
      </c>
    </row>
    <row r="263" spans="5:6" x14ac:dyDescent="0.2">
      <c r="E263" s="34">
        <f t="shared" si="2"/>
        <v>1</v>
      </c>
      <c r="F263" s="34">
        <f t="shared" si="3"/>
        <v>0</v>
      </c>
    </row>
    <row r="264" spans="5:6" x14ac:dyDescent="0.2">
      <c r="E264" s="34">
        <f t="shared" si="2"/>
        <v>1</v>
      </c>
      <c r="F264" s="34">
        <f t="shared" si="3"/>
        <v>0</v>
      </c>
    </row>
    <row r="265" spans="5:6" x14ac:dyDescent="0.2">
      <c r="E265" s="34">
        <f t="shared" si="2"/>
        <v>1</v>
      </c>
      <c r="F265" s="34">
        <f t="shared" si="3"/>
        <v>0</v>
      </c>
    </row>
    <row r="266" spans="5:6" x14ac:dyDescent="0.2">
      <c r="E266" s="34">
        <f t="shared" si="2"/>
        <v>1</v>
      </c>
      <c r="F266" s="34">
        <f t="shared" si="3"/>
        <v>0</v>
      </c>
    </row>
    <row r="267" spans="5:6" x14ac:dyDescent="0.2">
      <c r="E267" s="34">
        <f t="shared" si="2"/>
        <v>1</v>
      </c>
      <c r="F267" s="34">
        <f t="shared" si="3"/>
        <v>0</v>
      </c>
    </row>
    <row r="268" spans="5:6" x14ac:dyDescent="0.2">
      <c r="E268" s="34">
        <f t="shared" ref="E268" si="4">MONTH(A268)</f>
        <v>1</v>
      </c>
      <c r="F268" s="34">
        <f t="shared" ref="F268" si="5">DAY(A268)</f>
        <v>0</v>
      </c>
    </row>
  </sheetData>
  <mergeCells count="4">
    <mergeCell ref="AF15:AH15"/>
    <mergeCell ref="AF16:AH16"/>
    <mergeCell ref="AF17:AH17"/>
    <mergeCell ref="AF18:AH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3A722-C87D-4B27-A04C-915E21E674DE}">
  <sheetPr codeName="WW_Pesonnel_Info"/>
  <dimension ref="A1:L16"/>
  <sheetViews>
    <sheetView workbookViewId="0">
      <selection activeCell="E8" sqref="E8"/>
    </sheetView>
  </sheetViews>
  <sheetFormatPr defaultColWidth="9.140625" defaultRowHeight="15" x14ac:dyDescent="0.25"/>
  <cols>
    <col min="1" max="1" width="18.28515625" style="64" bestFit="1" customWidth="1"/>
    <col min="2" max="2" width="17.5703125" style="64" bestFit="1" customWidth="1"/>
    <col min="3" max="3" width="22.5703125" style="64" bestFit="1" customWidth="1"/>
    <col min="4" max="4" width="35.85546875" style="64" customWidth="1"/>
    <col min="5" max="5" width="17.7109375" style="64" bestFit="1" customWidth="1"/>
    <col min="6" max="6" width="17" style="64" bestFit="1" customWidth="1"/>
    <col min="7" max="7" width="22" style="64" bestFit="1" customWidth="1"/>
    <col min="8" max="8" width="29.85546875" style="64" bestFit="1" customWidth="1"/>
    <col min="9" max="9" width="15" style="64" bestFit="1" customWidth="1"/>
    <col min="10" max="10" width="14.28515625" style="64" bestFit="1" customWidth="1"/>
    <col min="11" max="11" width="18.28515625" style="64" bestFit="1" customWidth="1"/>
    <col min="12" max="12" width="32" style="64" bestFit="1" customWidth="1"/>
    <col min="13" max="13" width="14.28515625" style="64" bestFit="1" customWidth="1"/>
    <col min="14" max="14" width="17.85546875" style="64" bestFit="1" customWidth="1"/>
    <col min="15" max="15" width="39.140625" style="64" bestFit="1" customWidth="1"/>
    <col min="16" max="16" width="13.85546875" style="64" bestFit="1" customWidth="1"/>
    <col min="17" max="16384" width="9.140625" style="64"/>
  </cols>
  <sheetData>
    <row r="1" spans="1:12" s="66" customFormat="1" x14ac:dyDescent="0.25">
      <c r="A1" s="67" t="s">
        <v>148</v>
      </c>
      <c r="B1" s="67" t="s">
        <v>149</v>
      </c>
      <c r="C1" s="67" t="s">
        <v>154</v>
      </c>
      <c r="D1" s="67" t="s">
        <v>150</v>
      </c>
      <c r="E1" s="67" t="s">
        <v>151</v>
      </c>
      <c r="F1" s="67" t="s">
        <v>152</v>
      </c>
      <c r="G1" s="67" t="s">
        <v>155</v>
      </c>
      <c r="H1" s="67" t="s">
        <v>153</v>
      </c>
      <c r="I1" s="67" t="s">
        <v>180</v>
      </c>
      <c r="J1" s="67" t="s">
        <v>181</v>
      </c>
      <c r="K1" s="67" t="s">
        <v>182</v>
      </c>
      <c r="L1" s="67" t="s">
        <v>188</v>
      </c>
    </row>
    <row r="2" spans="1:12" x14ac:dyDescent="0.25">
      <c r="A2" s="64" t="s">
        <v>443</v>
      </c>
      <c r="B2" s="64" t="s">
        <v>444</v>
      </c>
      <c r="C2" s="64" t="s">
        <v>445</v>
      </c>
      <c r="D2" s="64" t="s">
        <v>446</v>
      </c>
      <c r="E2" s="64" t="s">
        <v>960</v>
      </c>
      <c r="F2" s="64" t="s">
        <v>1185</v>
      </c>
      <c r="G2" s="64" t="s">
        <v>961</v>
      </c>
      <c r="H2" s="64" t="s">
        <v>962</v>
      </c>
      <c r="I2" s="64" t="s">
        <v>2305</v>
      </c>
      <c r="J2" s="64" t="s">
        <v>2322</v>
      </c>
      <c r="K2" s="64" t="s">
        <v>2306</v>
      </c>
      <c r="L2" s="64" t="s">
        <v>2307</v>
      </c>
    </row>
    <row r="3" spans="1:12" x14ac:dyDescent="0.25">
      <c r="A3" s="64" t="s">
        <v>439</v>
      </c>
      <c r="B3" s="64" t="s">
        <v>440</v>
      </c>
      <c r="C3" s="64" t="s">
        <v>441</v>
      </c>
      <c r="D3" s="64" t="s">
        <v>442</v>
      </c>
      <c r="E3" s="68" t="s">
        <v>2314</v>
      </c>
      <c r="F3" s="68" t="s">
        <v>2315</v>
      </c>
      <c r="G3" s="68" t="s">
        <v>2316</v>
      </c>
      <c r="H3" s="64" t="s">
        <v>2317</v>
      </c>
      <c r="I3" s="64" t="s">
        <v>236</v>
      </c>
      <c r="J3" s="64" t="s">
        <v>248</v>
      </c>
      <c r="K3" s="64" t="s">
        <v>185</v>
      </c>
      <c r="L3" s="64" t="s">
        <v>246</v>
      </c>
    </row>
    <row r="4" spans="1:12" x14ac:dyDescent="0.25">
      <c r="A4" s="64" t="s">
        <v>516</v>
      </c>
      <c r="B4" s="64" t="s">
        <v>517</v>
      </c>
      <c r="C4" s="64" t="s">
        <v>518</v>
      </c>
      <c r="D4" s="64" t="s">
        <v>519</v>
      </c>
      <c r="E4" s="64" t="s">
        <v>465</v>
      </c>
      <c r="F4" s="64" t="s">
        <v>466</v>
      </c>
      <c r="G4" s="64" t="s">
        <v>467</v>
      </c>
      <c r="H4" s="64" t="s">
        <v>468</v>
      </c>
      <c r="I4" s="64" t="s">
        <v>269</v>
      </c>
      <c r="J4" s="64" t="s">
        <v>1186</v>
      </c>
      <c r="K4" s="64" t="s">
        <v>270</v>
      </c>
      <c r="L4" s="64" t="s">
        <v>481</v>
      </c>
    </row>
    <row r="5" spans="1:12" x14ac:dyDescent="0.25">
      <c r="A5" s="64" t="s">
        <v>447</v>
      </c>
      <c r="B5" s="64" t="s">
        <v>2313</v>
      </c>
      <c r="C5" s="64" t="s">
        <v>448</v>
      </c>
      <c r="D5" s="64" t="s">
        <v>449</v>
      </c>
      <c r="E5" s="64" t="s">
        <v>2318</v>
      </c>
      <c r="F5" s="64" t="s">
        <v>2319</v>
      </c>
      <c r="G5" s="64" t="s">
        <v>2320</v>
      </c>
      <c r="H5" s="64" t="s">
        <v>2321</v>
      </c>
      <c r="I5" s="64" t="s">
        <v>183</v>
      </c>
      <c r="J5" s="64" t="s">
        <v>247</v>
      </c>
      <c r="K5" s="64" t="s">
        <v>184</v>
      </c>
      <c r="L5" s="64" t="s">
        <v>244</v>
      </c>
    </row>
    <row r="6" spans="1:12" x14ac:dyDescent="0.25">
      <c r="A6" s="64" t="s">
        <v>512</v>
      </c>
      <c r="B6" s="64" t="s">
        <v>513</v>
      </c>
      <c r="C6" s="64" t="s">
        <v>514</v>
      </c>
      <c r="D6" s="64" t="s">
        <v>515</v>
      </c>
      <c r="E6" s="64" t="s">
        <v>162</v>
      </c>
      <c r="F6" s="64" t="s">
        <v>162</v>
      </c>
      <c r="G6" s="64" t="s">
        <v>162</v>
      </c>
      <c r="I6" s="64" t="s">
        <v>186</v>
      </c>
      <c r="J6" s="64" t="s">
        <v>255</v>
      </c>
      <c r="K6" s="64" t="s">
        <v>187</v>
      </c>
      <c r="L6" s="64" t="s">
        <v>245</v>
      </c>
    </row>
    <row r="7" spans="1:12" x14ac:dyDescent="0.25">
      <c r="A7" s="64" t="s">
        <v>956</v>
      </c>
      <c r="B7" s="64" t="s">
        <v>957</v>
      </c>
      <c r="C7" s="64" t="s">
        <v>958</v>
      </c>
      <c r="D7" s="64" t="s">
        <v>959</v>
      </c>
      <c r="E7" s="64" t="s">
        <v>477</v>
      </c>
      <c r="F7" s="64" t="s">
        <v>478</v>
      </c>
      <c r="G7" s="64" t="s">
        <v>479</v>
      </c>
      <c r="H7" s="64" t="s">
        <v>480</v>
      </c>
    </row>
    <row r="8" spans="1:12" x14ac:dyDescent="0.25">
      <c r="A8" s="64" t="s">
        <v>520</v>
      </c>
      <c r="B8" s="64" t="s">
        <v>521</v>
      </c>
      <c r="C8" s="64" t="s">
        <v>522</v>
      </c>
      <c r="D8" s="64" t="s">
        <v>523</v>
      </c>
      <c r="E8" s="64" t="s">
        <v>473</v>
      </c>
      <c r="F8" s="64" t="s">
        <v>474</v>
      </c>
      <c r="G8" s="64" t="s">
        <v>475</v>
      </c>
      <c r="H8" s="64" t="s">
        <v>476</v>
      </c>
    </row>
    <row r="9" spans="1:12" x14ac:dyDescent="0.25">
      <c r="A9" s="64" t="s">
        <v>450</v>
      </c>
      <c r="B9" s="64" t="s">
        <v>451</v>
      </c>
      <c r="C9" s="64" t="s">
        <v>452</v>
      </c>
      <c r="D9" s="64" t="s">
        <v>453</v>
      </c>
      <c r="E9" s="64" t="s">
        <v>963</v>
      </c>
      <c r="F9" s="64" t="s">
        <v>964</v>
      </c>
      <c r="G9" s="64" t="s">
        <v>965</v>
      </c>
      <c r="H9" s="64" t="s">
        <v>966</v>
      </c>
    </row>
    <row r="10" spans="1:12" x14ac:dyDescent="0.25">
      <c r="A10" s="64" t="s">
        <v>162</v>
      </c>
      <c r="B10" s="64" t="s">
        <v>162</v>
      </c>
      <c r="C10" s="64" t="s">
        <v>162</v>
      </c>
      <c r="E10" s="64" t="s">
        <v>469</v>
      </c>
      <c r="F10" s="64" t="s">
        <v>470</v>
      </c>
      <c r="G10" s="64" t="s">
        <v>471</v>
      </c>
      <c r="H10" s="64" t="s">
        <v>472</v>
      </c>
    </row>
    <row r="11" spans="1:12" x14ac:dyDescent="0.25">
      <c r="A11" s="68" t="s">
        <v>454</v>
      </c>
      <c r="B11" s="68" t="s">
        <v>455</v>
      </c>
      <c r="C11" s="68" t="s">
        <v>456</v>
      </c>
      <c r="D11" s="64" t="s">
        <v>457</v>
      </c>
    </row>
    <row r="12" spans="1:12" x14ac:dyDescent="0.25">
      <c r="A12" s="64" t="s">
        <v>461</v>
      </c>
      <c r="B12" s="64" t="s">
        <v>462</v>
      </c>
      <c r="C12" s="64" t="s">
        <v>463</v>
      </c>
      <c r="D12" s="64" t="s">
        <v>464</v>
      </c>
    </row>
    <row r="13" spans="1:12" x14ac:dyDescent="0.25">
      <c r="A13" s="64" t="s">
        <v>146</v>
      </c>
      <c r="B13" s="64" t="s">
        <v>458</v>
      </c>
      <c r="C13" s="64" t="s">
        <v>459</v>
      </c>
      <c r="D13" s="65" t="s">
        <v>460</v>
      </c>
    </row>
    <row r="14" spans="1:12" x14ac:dyDescent="0.25">
      <c r="A14" s="64" t="s">
        <v>524</v>
      </c>
      <c r="B14" s="64" t="s">
        <v>525</v>
      </c>
      <c r="C14" s="64" t="s">
        <v>526</v>
      </c>
      <c r="D14" s="64" t="s">
        <v>527</v>
      </c>
    </row>
    <row r="15" spans="1:12" x14ac:dyDescent="0.25">
      <c r="A15" s="64" t="s">
        <v>528</v>
      </c>
      <c r="B15" s="64" t="s">
        <v>529</v>
      </c>
      <c r="C15" s="64" t="s">
        <v>530</v>
      </c>
      <c r="D15" s="64" t="s">
        <v>531</v>
      </c>
    </row>
    <row r="16" spans="1:12" x14ac:dyDescent="0.25">
      <c r="A16" s="64" t="s">
        <v>532</v>
      </c>
      <c r="B16" s="64" t="s">
        <v>533</v>
      </c>
      <c r="C16" s="64" t="s">
        <v>534</v>
      </c>
      <c r="D16" s="64" t="s">
        <v>535</v>
      </c>
    </row>
  </sheetData>
  <sortState xmlns:xlrd2="http://schemas.microsoft.com/office/spreadsheetml/2017/richdata2" ref="I2:L6">
    <sortCondition ref="J2:J6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A5E48EA8-1243-48B0-94F7-A745A1CD71B9}">
  <ds:schemaRefs/>
</ds:datastoreItem>
</file>

<file path=customXml/itemProps2.xml><?xml version="1.0" encoding="utf-8"?>
<ds:datastoreItem xmlns:ds="http://schemas.openxmlformats.org/officeDocument/2006/customXml" ds:itemID="{61E03BC8-FE52-4E56-860D-1673FF6DEB89}">
  <ds:schemaRefs/>
</ds:datastoreItem>
</file>

<file path=customXml/itemProps3.xml><?xml version="1.0" encoding="utf-8"?>
<ds:datastoreItem xmlns:ds="http://schemas.openxmlformats.org/officeDocument/2006/customXml" ds:itemID="{6FA0A24E-8DE8-4D0B-83E6-25C2A03AFD7A}">
  <ds:schemaRefs/>
</ds:datastoreItem>
</file>

<file path=customXml/itemProps4.xml><?xml version="1.0" encoding="utf-8"?>
<ds:datastoreItem xmlns:ds="http://schemas.openxmlformats.org/officeDocument/2006/customXml" ds:itemID="{192950DA-0F32-4530-A88A-8B9D8D7016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New_Order</vt:lpstr>
      <vt:lpstr>QuerySheet</vt:lpstr>
      <vt:lpstr>Emails</vt:lpstr>
      <vt:lpstr>Open_Equip</vt:lpstr>
      <vt:lpstr>Open_Parts</vt:lpstr>
      <vt:lpstr>Check</vt:lpstr>
      <vt:lpstr>WW_Personnel_Info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Zillmer</dc:creator>
  <cp:lastModifiedBy>Purdon, Joey</cp:lastModifiedBy>
  <dcterms:created xsi:type="dcterms:W3CDTF">2019-01-24T17:02:11Z</dcterms:created>
  <dcterms:modified xsi:type="dcterms:W3CDTF">2026-03-06T23:48:03Z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89548096-0c2f-47c9-a41f-33a1d2cbf556</vt:lpwstr>
  </property>
</Properties>
</file>